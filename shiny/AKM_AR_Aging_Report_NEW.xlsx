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_AR_REPORT" sheetId="2" state="visible" r:id="rId2"/>
    <sheet xmlns:r="http://schemas.openxmlformats.org/officeDocument/2006/relationships" name="CALLING_LIST" sheetId="3" state="visible" r:id="rId3"/>
    <sheet xmlns:r="http://schemas.openxmlformats.org/officeDocument/2006/relationships" name="Watches_Report" sheetId="4" state="visible" r:id="rId4"/>
    <sheet xmlns:r="http://schemas.openxmlformats.org/officeDocument/2006/relationships" name="Praveen_Report" sheetId="5" state="visible" r:id="rId5"/>
    <sheet xmlns:r="http://schemas.openxmlformats.org/officeDocument/2006/relationships" name="Mujahid_Report" sheetId="6" state="visible" r:id="rId6"/>
    <sheet xmlns:r="http://schemas.openxmlformats.org/officeDocument/2006/relationships" name="Vinod_Report" sheetId="7" state="visible" r:id="rId7"/>
    <sheet xmlns:r="http://schemas.openxmlformats.org/officeDocument/2006/relationships" name="Watches" sheetId="8" state="visible" r:id="rId8"/>
    <sheet xmlns:r="http://schemas.openxmlformats.org/officeDocument/2006/relationships" name="Praveen" sheetId="9" state="visible" r:id="rId9"/>
    <sheet xmlns:r="http://schemas.openxmlformats.org/officeDocument/2006/relationships" name="Mujahid" sheetId="10" state="visible" r:id="rId10"/>
    <sheet xmlns:r="http://schemas.openxmlformats.org/officeDocument/2006/relationships" name="Vinod" sheetId="11" state="visible" r:id="rId11"/>
    <sheet xmlns:r="http://schemas.openxmlformats.org/officeDocument/2006/relationships" name="DSO Actions" sheetId="12" state="visible" r:id="rId12"/>
  </sheets>
  <definedNames>
    <definedName name="_xlnm._FilterDatabase" localSheetId="3" hidden="1">'Watches_Report'!$A$4:$O$61</definedName>
    <definedName name="_xlnm._FilterDatabase" localSheetId="4" hidden="1">'Praveen_Report'!$A$4:$O$79</definedName>
    <definedName name="_xlnm._FilterDatabase" localSheetId="5" hidden="1">'Mujahid_Report'!$A$4:$O$75</definedName>
    <definedName name="_xlnm._FilterDatabase" localSheetId="6" hidden="1">'Vinod_Report'!$A$4:$O$67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\-mmm\-yyyy"/>
    <numFmt numFmtId="166" formatCode="d\-mmm\-yy;@"/>
    <numFmt numFmtId="167" formatCode="yyyy\-mm\-dd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1F3864"/>
      <sz val="18"/>
    </font>
    <font>
      <name val="Calibri"/>
      <family val="2"/>
      <b val="1"/>
      <color rgb="FF2F5496"/>
      <sz val="12"/>
    </font>
    <font>
      <name val="Calibri"/>
      <family val="2"/>
      <b val="1"/>
      <sz val="10"/>
    </font>
    <font>
      <name val="Arial MT"/>
      <family val="2"/>
      <sz val="7.5"/>
    </font>
    <font>
      <name val="Arial"/>
      <family val="2"/>
      <b val="1"/>
      <sz val="7.5"/>
    </font>
    <font>
      <name val="Times New Roman"/>
      <family val="1"/>
      <color rgb="FF000000"/>
      <sz val="10"/>
    </font>
    <font>
      <name val="Arial"/>
      <family val="2"/>
      <i val="1"/>
      <sz val="7.5"/>
    </font>
    <font>
      <name val="Arial"/>
      <family val="2"/>
      <b val="1"/>
      <sz val="7"/>
    </font>
    <font>
      <name val="Arial"/>
      <family val="2"/>
      <b val="1"/>
      <i val="1"/>
      <sz val="7"/>
    </font>
    <font>
      <name val="Arial"/>
      <family val="2"/>
      <color rgb="FF000000"/>
      <sz val="7"/>
    </font>
    <font>
      <name val="Arial"/>
      <family val="2"/>
      <i val="1"/>
      <sz val="7"/>
    </font>
    <font>
      <name val="Arial"/>
      <family val="2"/>
      <b val="1"/>
      <color rgb="FF000000"/>
      <sz val="7"/>
    </font>
    <font>
      <name val="Arial"/>
      <family val="2"/>
      <sz val="7"/>
    </font>
    <font>
      <name val="Arial"/>
      <family val="2"/>
      <i val="1"/>
      <color rgb="FF000000"/>
      <sz val="7"/>
    </font>
    <font>
      <name val="Arial"/>
      <family val="2"/>
      <b val="1"/>
      <color rgb="FF000000"/>
      <sz val="7.5"/>
    </font>
    <font>
      <name val="Arial MT"/>
      <sz val="7.5"/>
    </font>
    <font>
      <name val="Arial MT"/>
      <b val="1"/>
      <sz val="7.5"/>
    </font>
    <font>
      <name val="Times New Roman"/>
      <family val="1"/>
      <color rgb="FF000000"/>
      <sz val="10"/>
    </font>
    <font>
      <name val="Arial MT"/>
      <family val="2"/>
      <b val="1"/>
      <sz val="7.5"/>
    </font>
    <font>
      <name val="Arial"/>
      <family val="2"/>
      <b val="1"/>
      <i val="1"/>
      <sz val="7.5"/>
    </font>
    <font>
      <name val="Times New Roman"/>
      <family val="1"/>
      <b val="1"/>
      <color rgb="FF000000"/>
      <sz val="7.5"/>
    </font>
    <font>
      <name val="Times New Roman"/>
      <family val="1"/>
      <color rgb="FF000000"/>
      <sz val="7.5"/>
    </font>
    <font>
      <name val="Arial"/>
      <family val="2"/>
      <color rgb="FF000000"/>
      <sz val="7.5"/>
    </font>
    <font>
      <name val="Times New Roman"/>
      <family val="1"/>
      <b val="1"/>
      <color rgb="FF000000"/>
      <sz val="10"/>
    </font>
    <font>
      <name val="Arial"/>
      <family val="2"/>
      <color rgb="FF000000"/>
      <sz val="8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Times New Roman"/>
      <family val="1"/>
      <color rgb="FF000000"/>
      <sz val="7"/>
    </font>
    <font>
      <name val="Calibri"/>
      <family val="2"/>
      <b val="1"/>
      <sz val="11"/>
    </font>
    <font>
      <name val="Calibri"/>
      <b val="1"/>
      <color rgb="FFFFFFFF"/>
      <sz val="10"/>
    </font>
    <font>
      <name val="Calibri"/>
      <b val="1"/>
      <color rgb="FF1F3864"/>
      <sz val="18"/>
    </font>
    <font>
      <name val="Calibri"/>
      <color rgb="FF666666"/>
      <sz val="10"/>
    </font>
    <font>
      <name val="Calibri"/>
      <b val="1"/>
      <color rgb="FFFFFFFF"/>
      <sz val="14"/>
    </font>
    <font>
      <name val="Calibri"/>
      <b val="1"/>
      <color rgb="FF1F3864"/>
      <sz val="12"/>
    </font>
    <font>
      <name val="Calibri"/>
      <sz val="10"/>
    </font>
    <font>
      <name val="Calibri"/>
      <b val="1"/>
      <color rgb="FFC00000"/>
      <sz val="10"/>
    </font>
    <font>
      <name val="Calibri"/>
      <b val="1"/>
      <sz val="11"/>
    </font>
    <font>
      <name val="Calibri"/>
      <b val="1"/>
      <color rgb="FFFFFFFF"/>
      <sz val="10"/>
    </font>
    <font>
      <name val="Calibri"/>
      <b val="1"/>
      <color rgb="FF1F3864"/>
      <sz val="14"/>
    </font>
    <font>
      <name val="Calibri"/>
      <i val="1"/>
      <color rgb="FF666666"/>
      <sz val="10"/>
    </font>
    <font>
      <name val="Calibri"/>
      <b val="1"/>
      <color rgb="FFFFFFFF"/>
      <sz val="10"/>
    </font>
  </fonts>
  <fills count="4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6EAF8"/>
        <bgColor rgb="FFD6EAF8"/>
      </patternFill>
    </fill>
    <fill>
      <patternFill patternType="solid">
        <fgColor rgb="FF7030A0"/>
        <bgColor rgb="FF7030A0"/>
      </patternFill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C55A11"/>
        <bgColor rgb="FFC55A11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00A2E8"/>
        <bgColor rgb="FF00A2E8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CE4EC"/>
        <bgColor rgb="FFFCE4EC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8CECC"/>
        <bgColor rgb="FFF8CECC"/>
      </patternFill>
    </fill>
    <fill>
      <patternFill patternType="solid">
        <fgColor rgb="FFFCE4EC"/>
        <bgColor rgb="FFFCE4EC"/>
      </patternFill>
    </fill>
    <fill>
      <patternFill patternType="solid">
        <fgColor rgb="FFD5E8D4"/>
        <bgColor rgb="FFD5E8D4"/>
      </patternFill>
    </fill>
    <fill>
      <patternFill patternType="solid">
        <fgColor rgb="FFFCE4D6"/>
        <bgColor rgb="FFFCE4D6"/>
      </patternFill>
    </fill>
    <fill>
      <patternFill patternType="solid">
        <fgColor rgb="FFF9D7C5"/>
        <bgColor rgb="FFF9D7C5"/>
      </patternFill>
    </fill>
    <fill>
      <patternFill patternType="solid">
        <fgColor rgb="FFFDE9D9"/>
        <bgColor rgb="FFFDE9D9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FCE4EC"/>
        <bgColor rgb="FFFCE4EC"/>
      </patternFill>
    </fill>
    <fill>
      <patternFill patternType="solid">
        <fgColor rgb="FFF8CECC"/>
        <bgColor rgb="FFF8CECC"/>
      </patternFill>
    </fill>
    <fill>
      <patternFill patternType="solid">
        <fgColor rgb="FFF9D7C5"/>
        <bgColor rgb="FFF9D7C5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0">
    <xf numFmtId="0" fontId="0" fillId="0" borderId="0" pivotButton="0" quotePrefix="0" xfId="0"/>
    <xf numFmtId="0" fontId="2" fillId="4" borderId="1" pivotButton="0" quotePrefix="0" xfId="0"/>
    <xf numFmtId="4" fontId="2" fillId="4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5" fillId="5" borderId="1" pivotButton="0" quotePrefix="0" xfId="0"/>
    <xf numFmtId="4" fontId="5" fillId="5" borderId="1" pivotButton="0" quotePrefix="0" xfId="0"/>
    <xf numFmtId="164" fontId="5" fillId="5" borderId="1" pivotButton="0" quotePrefix="0" xfId="0"/>
    <xf numFmtId="165" fontId="2" fillId="3" borderId="1" pivotButton="0" quotePrefix="0" xfId="0"/>
    <xf numFmtId="165" fontId="2" fillId="4" borderId="1" pivotButton="0" quotePrefix="0" xfId="0"/>
    <xf numFmtId="0" fontId="0" fillId="5" borderId="1" pivotButton="0" quotePrefix="0" xfId="0"/>
    <xf numFmtId="0" fontId="6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2" fontId="8" fillId="0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2" fontId="11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right" vertical="center" wrapText="1"/>
    </xf>
    <xf numFmtId="0" fontId="13" fillId="0" borderId="2" applyAlignment="1" pivotButton="0" quotePrefix="0" xfId="0">
      <alignment horizontal="right" vertical="center" wrapText="1"/>
    </xf>
    <xf numFmtId="2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166" fontId="14" fillId="0" borderId="2" applyAlignment="1" pivotButton="0" quotePrefix="0" xfId="0">
      <alignment horizontal="left" vertical="center" shrinkToFit="1"/>
    </xf>
    <xf numFmtId="0" fontId="15" fillId="0" borderId="2" applyAlignment="1" pivotButton="0" quotePrefix="0" xfId="0">
      <alignment horizontal="left" vertical="center" wrapText="1"/>
    </xf>
    <xf numFmtId="2" fontId="14" fillId="0" borderId="2" applyAlignment="1" pivotButton="0" quotePrefix="0" xfId="0">
      <alignment horizontal="right" vertical="center" shrinkToFit="1"/>
    </xf>
    <xf numFmtId="166" fontId="12" fillId="0" borderId="2" applyAlignment="1" pivotButton="0" quotePrefix="0" xfId="0">
      <alignment horizontal="right" vertical="center" shrinkToFit="1"/>
    </xf>
    <xf numFmtId="1" fontId="16" fillId="0" borderId="2" applyAlignment="1" pivotButton="0" quotePrefix="0" xfId="0">
      <alignment horizontal="right" vertical="center" shrinkToFit="1"/>
    </xf>
    <xf numFmtId="0" fontId="15" fillId="0" borderId="2" applyAlignment="1" pivotButton="0" quotePrefix="0" xfId="0">
      <alignment horizontal="right" vertical="center" wrapText="1"/>
    </xf>
    <xf numFmtId="2" fontId="12" fillId="0" borderId="2" applyAlignment="1" pivotButton="0" quotePrefix="0" xfId="0">
      <alignment horizontal="right" vertical="center" shrinkToFit="1"/>
    </xf>
    <xf numFmtId="0" fontId="17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14" fontId="9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10" fillId="6" borderId="2" applyAlignment="1" pivotButton="0" quotePrefix="0" xfId="0">
      <alignment horizontal="center" vertical="top" wrapText="1"/>
    </xf>
    <xf numFmtId="0" fontId="10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top" wrapText="1"/>
    </xf>
    <xf numFmtId="2" fontId="11" fillId="6" borderId="2" applyAlignment="1" pivotButton="0" quotePrefix="0" xfId="0">
      <alignment horizontal="center" vertical="top" wrapText="1"/>
    </xf>
    <xf numFmtId="0" fontId="11" fillId="6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wrapText="1"/>
    </xf>
    <xf numFmtId="0" fontId="15" fillId="0" borderId="2" applyAlignment="1" pivotButton="0" quotePrefix="0" xfId="0">
      <alignment horizontal="right" vertical="top" wrapText="1"/>
    </xf>
    <xf numFmtId="2" fontId="10" fillId="0" borderId="2" applyAlignment="1" pivotButton="0" quotePrefix="0" xfId="0">
      <alignment horizontal="right" vertical="top" wrapText="1"/>
    </xf>
    <xf numFmtId="0" fontId="13" fillId="0" borderId="2" applyAlignment="1" pivotButton="0" quotePrefix="0" xfId="0">
      <alignment horizontal="right" vertical="top" wrapText="1"/>
    </xf>
    <xf numFmtId="2" fontId="12" fillId="0" borderId="2" applyAlignment="1" pivotButton="0" quotePrefix="0" xfId="0">
      <alignment horizontal="left" vertical="top"/>
    </xf>
    <xf numFmtId="0" fontId="12" fillId="0" borderId="2" applyAlignment="1" pivotButton="0" quotePrefix="0" xfId="0">
      <alignment horizontal="left" vertical="top"/>
    </xf>
    <xf numFmtId="0" fontId="8" fillId="0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left" wrapText="1"/>
    </xf>
    <xf numFmtId="2" fontId="12" fillId="0" borderId="2" applyAlignment="1" pivotButton="0" quotePrefix="0" xfId="0">
      <alignment horizontal="left" wrapText="1"/>
    </xf>
    <xf numFmtId="2" fontId="12" fillId="0" borderId="2" applyAlignment="1" pivotButton="0" quotePrefix="0" xfId="0">
      <alignment horizontal="left"/>
    </xf>
    <xf numFmtId="0" fontId="12" fillId="0" borderId="2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166" fontId="14" fillId="0" borderId="2" applyAlignment="1" pivotButton="0" quotePrefix="0" xfId="0">
      <alignment horizontal="left" shrinkToFit="1"/>
    </xf>
    <xf numFmtId="0" fontId="15" fillId="0" borderId="2" applyAlignment="1" pivotButton="0" quotePrefix="0" xfId="0">
      <alignment horizontal="left" wrapText="1"/>
    </xf>
    <xf numFmtId="2" fontId="15" fillId="0" borderId="2" applyAlignment="1" pivotButton="0" quotePrefix="0" xfId="0">
      <alignment horizontal="right" wrapText="1"/>
    </xf>
    <xf numFmtId="2" fontId="10" fillId="0" borderId="2" applyAlignment="1" pivotButton="0" quotePrefix="0" xfId="0">
      <alignment horizontal="right" wrapText="1"/>
    </xf>
    <xf numFmtId="166" fontId="12" fillId="0" borderId="2" applyAlignment="1" pivotButton="0" quotePrefix="0" xfId="0">
      <alignment horizontal="right" shrinkToFit="1"/>
    </xf>
    <xf numFmtId="1" fontId="16" fillId="0" borderId="2" applyAlignment="1" pivotButton="0" quotePrefix="0" xfId="0">
      <alignment horizontal="right" shrinkToFit="1"/>
    </xf>
    <xf numFmtId="0" fontId="15" fillId="0" borderId="2" applyAlignment="1" pivotButton="0" quotePrefix="0" xfId="0">
      <alignment horizontal="right" wrapText="1"/>
    </xf>
    <xf numFmtId="0" fontId="12" fillId="7" borderId="2" applyAlignment="1" pivotButton="0" quotePrefix="0" xfId="0">
      <alignment horizontal="left"/>
    </xf>
    <xf numFmtId="0" fontId="10" fillId="8" borderId="2" applyAlignment="1" pivotButton="0" quotePrefix="0" xfId="0">
      <alignment horizontal="left" wrapText="1"/>
    </xf>
    <xf numFmtId="0" fontId="12" fillId="9" borderId="2" applyAlignment="1" pivotButton="0" quotePrefix="0" xfId="0">
      <alignment horizontal="left"/>
    </xf>
    <xf numFmtId="0" fontId="12" fillId="8" borderId="2" applyAlignment="1" pivotButton="0" quotePrefix="0" xfId="0">
      <alignment horizontal="left"/>
    </xf>
    <xf numFmtId="0" fontId="10" fillId="10" borderId="2" applyAlignment="1" pivotButton="0" quotePrefix="0" xfId="0">
      <alignment horizontal="left" wrapText="1"/>
    </xf>
    <xf numFmtId="0" fontId="10" fillId="0" borderId="2" applyAlignment="1" pivotButton="0" quotePrefix="0" xfId="0">
      <alignment horizontal="right" wrapText="1"/>
    </xf>
    <xf numFmtId="0" fontId="17" fillId="0" borderId="2" applyAlignment="1" pivotButton="0" quotePrefix="0" xfId="0">
      <alignment horizontal="center"/>
    </xf>
    <xf numFmtId="2" fontId="12" fillId="9" borderId="2" applyAlignment="1" pivotButton="0" quotePrefix="0" xfId="0">
      <alignment horizontal="left"/>
    </xf>
    <xf numFmtId="2" fontId="12" fillId="8" borderId="2" applyAlignment="1" pivotButton="0" quotePrefix="0" xfId="0">
      <alignment horizontal="left"/>
    </xf>
    <xf numFmtId="0" fontId="18" fillId="0" borderId="2" applyAlignment="1" pivotButton="0" quotePrefix="0" xfId="0">
      <alignment horizontal="left" vertical="top" wrapText="1"/>
    </xf>
    <xf numFmtId="0" fontId="19" fillId="0" borderId="2" applyAlignment="1" pivotButton="0" quotePrefix="0" xfId="0">
      <alignment horizontal="left" vertical="top" wrapText="1"/>
    </xf>
    <xf numFmtId="14" fontId="20" fillId="0" borderId="0" applyAlignment="1" pivotButton="0" quotePrefix="0" xfId="0">
      <alignment horizontal="left" vertical="top"/>
    </xf>
    <xf numFmtId="0" fontId="7" fillId="6" borderId="2" applyAlignment="1" pivotButton="0" quotePrefix="0" xfId="0">
      <alignment horizontal="center" vertical="top"/>
    </xf>
    <xf numFmtId="0" fontId="19" fillId="6" borderId="2" applyAlignment="1" pivotButton="0" quotePrefix="0" xfId="0">
      <alignment horizontal="center" vertical="top"/>
    </xf>
    <xf numFmtId="0" fontId="21" fillId="6" borderId="2" applyAlignment="1" pivotButton="0" quotePrefix="0" xfId="0">
      <alignment horizontal="center" vertical="top"/>
    </xf>
    <xf numFmtId="0" fontId="22" fillId="6" borderId="2" applyAlignment="1" pivotButton="0" quotePrefix="0" xfId="0">
      <alignment horizontal="center" vertical="top"/>
    </xf>
    <xf numFmtId="0" fontId="23" fillId="0" borderId="2" applyAlignment="1" pivotButton="0" quotePrefix="0" xfId="0">
      <alignment horizontal="left" vertical="top"/>
    </xf>
    <xf numFmtId="0" fontId="24" fillId="0" borderId="2" applyAlignment="1" pivotButton="0" quotePrefix="0" xfId="0">
      <alignment horizontal="left" vertical="top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15" fontId="17" fillId="0" borderId="2" applyAlignment="1" pivotButton="0" quotePrefix="0" xfId="0">
      <alignment horizontal="left" vertical="center"/>
    </xf>
    <xf numFmtId="15" fontId="25" fillId="0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8" fillId="0" borderId="2" applyAlignment="1" pivotButton="0" quotePrefix="0" xfId="0">
      <alignment horizontal="left" vertical="top"/>
    </xf>
    <xf numFmtId="0" fontId="19" fillId="0" borderId="2" applyAlignment="1" pivotButton="0" quotePrefix="0" xfId="0">
      <alignment horizontal="left" vertical="top"/>
    </xf>
    <xf numFmtId="14" fontId="27" fillId="0" borderId="0" applyAlignment="1" pivotButton="0" quotePrefix="0" xfId="0">
      <alignment horizontal="left" vertical="top"/>
    </xf>
    <xf numFmtId="2" fontId="22" fillId="6" borderId="2" applyAlignment="1" pivotButton="0" quotePrefix="0" xfId="0">
      <alignment horizontal="center" vertical="top"/>
    </xf>
    <xf numFmtId="0" fontId="28" fillId="0" borderId="0" applyAlignment="1" pivotButton="0" quotePrefix="0" xfId="0">
      <alignment horizontal="left" vertical="top"/>
    </xf>
    <xf numFmtId="0" fontId="29" fillId="0" borderId="2" applyAlignment="1" pivotButton="0" quotePrefix="0" xfId="0">
      <alignment horizontal="left"/>
    </xf>
    <xf numFmtId="0" fontId="28" fillId="0" borderId="2" pivotButton="0" quotePrefix="0" xfId="0"/>
    <xf numFmtId="2" fontId="12" fillId="0" borderId="2" pivotButton="0" quotePrefix="0" xfId="0"/>
    <xf numFmtId="0" fontId="12" fillId="0" borderId="2" pivotButton="0" quotePrefix="0" xfId="0"/>
    <xf numFmtId="0" fontId="12" fillId="0" borderId="0" pivotButton="0" quotePrefix="0" xfId="0"/>
    <xf numFmtId="0" fontId="28" fillId="0" borderId="0" pivotButton="0" quotePrefix="0" xfId="0"/>
    <xf numFmtId="0" fontId="29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/>
    </xf>
    <xf numFmtId="166" fontId="12" fillId="0" borderId="2" applyAlignment="1" pivotButton="0" quotePrefix="0" xfId="0">
      <alignment horizontal="center" vertical="center" shrinkToFit="1"/>
    </xf>
    <xf numFmtId="0" fontId="10" fillId="1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/>
    </xf>
    <xf numFmtId="2" fontId="30" fillId="0" borderId="0" applyAlignment="1" pivotButton="0" quotePrefix="0" xfId="0">
      <alignment horizontal="left" vertical="top"/>
    </xf>
    <xf numFmtId="0" fontId="30" fillId="0" borderId="0" applyAlignment="1" pivotButton="0" quotePrefix="0" xfId="0">
      <alignment horizontal="left" vertical="top"/>
    </xf>
    <xf numFmtId="0" fontId="31" fillId="1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22" fillId="0" borderId="0" applyAlignment="1" pivotButton="0" quotePrefix="0" xfId="0">
      <alignment horizontal="center" vertical="top"/>
    </xf>
    <xf numFmtId="167" fontId="0" fillId="0" borderId="0" pivotButton="0" quotePrefix="0" xfId="0"/>
    <xf numFmtId="0" fontId="32" fillId="14" borderId="6" applyAlignment="1" pivotButton="0" quotePrefix="0" xfId="0">
      <alignment horizontal="center"/>
    </xf>
    <xf numFmtId="0" fontId="36" fillId="0" borderId="0" pivotButton="0" quotePrefix="0" xfId="0"/>
    <xf numFmtId="0" fontId="32" fillId="21" borderId="7" applyAlignment="1" pivotButton="0" quotePrefix="0" xfId="0">
      <alignment horizontal="center"/>
    </xf>
    <xf numFmtId="0" fontId="37" fillId="22" borderId="7" applyAlignment="1" pivotButton="0" quotePrefix="0" xfId="0">
      <alignment horizontal="center" vertical="center" wrapText="1"/>
    </xf>
    <xf numFmtId="0" fontId="1" fillId="22" borderId="7" applyAlignment="1" pivotButton="0" quotePrefix="0" xfId="0">
      <alignment horizontal="center"/>
    </xf>
    <xf numFmtId="3" fontId="1" fillId="22" borderId="7" applyAlignment="1" pivotButton="0" quotePrefix="0" xfId="0">
      <alignment horizontal="center" vertical="center" wrapText="1"/>
    </xf>
    <xf numFmtId="164" fontId="1" fillId="22" borderId="7" applyAlignment="1" pivotButton="0" quotePrefix="0" xfId="0">
      <alignment horizontal="center" vertical="center" wrapText="1"/>
    </xf>
    <xf numFmtId="3" fontId="0" fillId="22" borderId="7" pivotButton="0" quotePrefix="0" xfId="0"/>
    <xf numFmtId="0" fontId="37" fillId="22" borderId="7" pivotButton="0" quotePrefix="0" xfId="0"/>
    <xf numFmtId="0" fontId="2" fillId="22" borderId="7" applyAlignment="1" pivotButton="0" quotePrefix="0" xfId="0">
      <alignment horizontal="center"/>
    </xf>
    <xf numFmtId="3" fontId="2" fillId="22" borderId="7" pivotButton="0" quotePrefix="0" xfId="0"/>
    <xf numFmtId="164" fontId="2" fillId="22" borderId="7" pivotButton="0" quotePrefix="0" xfId="0"/>
    <xf numFmtId="0" fontId="37" fillId="23" borderId="7" pivotButton="0" quotePrefix="0" xfId="0"/>
    <xf numFmtId="0" fontId="2" fillId="23" borderId="7" applyAlignment="1" pivotButton="0" quotePrefix="0" xfId="0">
      <alignment horizontal="center"/>
    </xf>
    <xf numFmtId="3" fontId="2" fillId="23" borderId="7" pivotButton="0" quotePrefix="0" xfId="0"/>
    <xf numFmtId="164" fontId="2" fillId="23" borderId="7" pivotButton="0" quotePrefix="0" xfId="0"/>
    <xf numFmtId="3" fontId="0" fillId="23" borderId="7" pivotButton="0" quotePrefix="0" xfId="0"/>
    <xf numFmtId="0" fontId="38" fillId="23" borderId="7" pivotButton="0" quotePrefix="0" xfId="0"/>
    <xf numFmtId="0" fontId="38" fillId="24" borderId="7" pivotButton="0" quotePrefix="0" xfId="0"/>
    <xf numFmtId="0" fontId="2" fillId="24" borderId="7" applyAlignment="1" pivotButton="0" quotePrefix="0" xfId="0">
      <alignment horizontal="center"/>
    </xf>
    <xf numFmtId="3" fontId="2" fillId="24" borderId="7" pivotButton="0" quotePrefix="0" xfId="0"/>
    <xf numFmtId="164" fontId="2" fillId="24" borderId="7" pivotButton="0" quotePrefix="0" xfId="0"/>
    <xf numFmtId="3" fontId="0" fillId="24" borderId="7" pivotButton="0" quotePrefix="0" xfId="0"/>
    <xf numFmtId="0" fontId="39" fillId="25" borderId="7" pivotButton="0" quotePrefix="0" xfId="0"/>
    <xf numFmtId="0" fontId="39" fillId="25" borderId="7" applyAlignment="1" pivotButton="0" quotePrefix="0" xfId="0">
      <alignment horizontal="center"/>
    </xf>
    <xf numFmtId="3" fontId="39" fillId="25" borderId="7" pivotButton="0" quotePrefix="0" xfId="0"/>
    <xf numFmtId="164" fontId="39" fillId="25" borderId="7" pivotButton="0" quotePrefix="0" xfId="0"/>
    <xf numFmtId="0" fontId="39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 vertical="center" wrapText="1"/>
    </xf>
    <xf numFmtId="3" fontId="0" fillId="0" borderId="7" pivotButton="0" quotePrefix="0" xfId="0"/>
    <xf numFmtId="164" fontId="0" fillId="0" borderId="7" pivotButton="0" quotePrefix="0" xfId="0"/>
    <xf numFmtId="0" fontId="39" fillId="3" borderId="7" pivotButton="0" quotePrefix="0" xfId="0"/>
    <xf numFmtId="0" fontId="2" fillId="3" borderId="7" applyAlignment="1" pivotButton="0" quotePrefix="0" xfId="0">
      <alignment horizontal="center"/>
    </xf>
    <xf numFmtId="3" fontId="2" fillId="3" borderId="7" pivotButton="0" quotePrefix="0" xfId="0"/>
    <xf numFmtId="0" fontId="39" fillId="4" borderId="7" pivotButton="0" quotePrefix="0" xfId="0"/>
    <xf numFmtId="0" fontId="2" fillId="4" borderId="7" applyAlignment="1" pivotButton="0" quotePrefix="0" xfId="0">
      <alignment horizontal="center"/>
    </xf>
    <xf numFmtId="3" fontId="2" fillId="4" borderId="7" pivotButton="0" quotePrefix="0" xfId="0"/>
    <xf numFmtId="0" fontId="32" fillId="14" borderId="7" applyAlignment="1" pivotButton="0" quotePrefix="0" xfId="0">
      <alignment horizontal="center"/>
    </xf>
    <xf numFmtId="0" fontId="1" fillId="2" borderId="7" applyAlignment="1" pivotButton="0" quotePrefix="0" xfId="0">
      <alignment horizontal="center" vertical="center" wrapText="1"/>
    </xf>
    <xf numFmtId="164" fontId="1" fillId="2" borderId="7" applyAlignment="1" pivotButton="0" quotePrefix="0" xfId="0">
      <alignment horizontal="center" vertical="center" wrapText="1"/>
    </xf>
    <xf numFmtId="0" fontId="2" fillId="3" borderId="7" pivotButton="0" quotePrefix="0" xfId="0"/>
    <xf numFmtId="164" fontId="2" fillId="3" borderId="7" pivotButton="0" quotePrefix="0" xfId="0"/>
    <xf numFmtId="0" fontId="2" fillId="4" borderId="7" pivotButton="0" quotePrefix="0" xfId="0"/>
    <xf numFmtId="164" fontId="2" fillId="4" borderId="7" pivotButton="0" quotePrefix="0" xfId="0"/>
    <xf numFmtId="0" fontId="39" fillId="26" borderId="7" pivotButton="0" quotePrefix="0" xfId="0"/>
    <xf numFmtId="0" fontId="39" fillId="26" borderId="7" applyAlignment="1" pivotButton="0" quotePrefix="0" xfId="0">
      <alignment horizontal="center"/>
    </xf>
    <xf numFmtId="3" fontId="39" fillId="26" borderId="7" pivotButton="0" quotePrefix="0" xfId="0"/>
    <xf numFmtId="164" fontId="39" fillId="26" borderId="7" pivotButton="0" quotePrefix="0" xfId="0"/>
    <xf numFmtId="0" fontId="36" fillId="3" borderId="1" pivotButton="0" quotePrefix="0" xfId="0"/>
    <xf numFmtId="0" fontId="32" fillId="20" borderId="7" applyAlignment="1" pivotButton="0" quotePrefix="0" xfId="0">
      <alignment horizontal="center"/>
    </xf>
    <xf numFmtId="4" fontId="32" fillId="20" borderId="7" applyAlignment="1" pivotButton="0" quotePrefix="0" xfId="0">
      <alignment horizontal="center"/>
    </xf>
    <xf numFmtId="0" fontId="39" fillId="13" borderId="7" pivotButton="0" quotePrefix="0" xfId="0"/>
    <xf numFmtId="0" fontId="39" fillId="13" borderId="7" applyAlignment="1" pivotButton="0" quotePrefix="0" xfId="0">
      <alignment horizontal="center"/>
    </xf>
    <xf numFmtId="3" fontId="39" fillId="13" borderId="7" pivotButton="0" quotePrefix="0" xfId="0"/>
    <xf numFmtId="4" fontId="32" fillId="21" borderId="7" applyAlignment="1" pivotButton="0" quotePrefix="0" xfId="0">
      <alignment horizontal="center"/>
    </xf>
    <xf numFmtId="0" fontId="2" fillId="24" borderId="7" pivotButton="0" quotePrefix="0" xfId="0"/>
    <xf numFmtId="0" fontId="0" fillId="23" borderId="7" pivotButton="0" quotePrefix="0" xfId="0"/>
    <xf numFmtId="0" fontId="0" fillId="23" borderId="7" applyAlignment="1" pivotButton="0" quotePrefix="0" xfId="0">
      <alignment horizontal="center"/>
    </xf>
    <xf numFmtId="0" fontId="0" fillId="27" borderId="7" pivotButton="0" quotePrefix="0" xfId="0"/>
    <xf numFmtId="0" fontId="0" fillId="27" borderId="7" applyAlignment="1" pivotButton="0" quotePrefix="0" xfId="0">
      <alignment horizontal="center"/>
    </xf>
    <xf numFmtId="3" fontId="0" fillId="27" borderId="7" pivotButton="0" quotePrefix="0" xfId="0"/>
    <xf numFmtId="0" fontId="0" fillId="22" borderId="7" pivotButton="0" quotePrefix="0" xfId="0"/>
    <xf numFmtId="0" fontId="0" fillId="22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32" fillId="19" borderId="7" applyAlignment="1" pivotButton="0" quotePrefix="0" xfId="0">
      <alignment horizontal="center"/>
    </xf>
    <xf numFmtId="0" fontId="40" fillId="28" borderId="8" applyAlignment="1" pivotButton="0" quotePrefix="0" xfId="0">
      <alignment horizontal="center" vertical="center" wrapText="1"/>
    </xf>
    <xf numFmtId="0" fontId="0" fillId="29" borderId="8" applyAlignment="1" pivotButton="0" quotePrefix="0" xfId="0">
      <alignment horizontal="center" vertical="center"/>
    </xf>
    <xf numFmtId="165" fontId="0" fillId="29" borderId="8" applyAlignment="1" pivotButton="0" quotePrefix="0" xfId="0">
      <alignment vertical="center"/>
    </xf>
    <xf numFmtId="0" fontId="0" fillId="29" borderId="8" applyAlignment="1" pivotButton="0" quotePrefix="0" xfId="0">
      <alignment vertical="center"/>
    </xf>
    <xf numFmtId="4" fontId="0" fillId="29" borderId="8" applyAlignment="1" pivotButton="0" quotePrefix="0" xfId="0">
      <alignment horizontal="right" vertical="center"/>
    </xf>
    <xf numFmtId="4" fontId="0" fillId="29" borderId="8" applyAlignment="1" pivotButton="0" quotePrefix="0" xfId="0">
      <alignment vertical="center"/>
    </xf>
    <xf numFmtId="0" fontId="0" fillId="30" borderId="8" applyAlignment="1" pivotButton="0" quotePrefix="0" xfId="0">
      <alignment horizontal="center" vertical="center"/>
    </xf>
    <xf numFmtId="165" fontId="0" fillId="30" borderId="8" applyAlignment="1" pivotButton="0" quotePrefix="0" xfId="0">
      <alignment vertical="center"/>
    </xf>
    <xf numFmtId="0" fontId="0" fillId="30" borderId="8" applyAlignment="1" pivotButton="0" quotePrefix="0" xfId="0">
      <alignment vertical="center"/>
    </xf>
    <xf numFmtId="4" fontId="0" fillId="30" borderId="8" applyAlignment="1" pivotButton="0" quotePrefix="0" xfId="0">
      <alignment horizontal="right" vertical="center"/>
    </xf>
    <xf numFmtId="4" fontId="0" fillId="30" borderId="8" applyAlignment="1" pivotButton="0" quotePrefix="0" xfId="0">
      <alignment vertical="center"/>
    </xf>
    <xf numFmtId="0" fontId="0" fillId="31" borderId="8" applyAlignment="1" pivotButton="0" quotePrefix="0" xfId="0">
      <alignment horizontal="center" vertical="center"/>
    </xf>
    <xf numFmtId="165" fontId="0" fillId="31" borderId="8" applyAlignment="1" pivotButton="0" quotePrefix="0" xfId="0">
      <alignment vertical="center"/>
    </xf>
    <xf numFmtId="0" fontId="0" fillId="31" borderId="8" applyAlignment="1" pivotButton="0" quotePrefix="0" xfId="0">
      <alignment vertical="center"/>
    </xf>
    <xf numFmtId="4" fontId="0" fillId="31" borderId="8" applyAlignment="1" pivotButton="0" quotePrefix="0" xfId="0">
      <alignment horizontal="right" vertical="center"/>
    </xf>
    <xf numFmtId="4" fontId="0" fillId="31" borderId="8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4" fontId="0" fillId="0" borderId="8" applyAlignment="1" pivotButton="0" quotePrefix="0" xfId="0">
      <alignment horizontal="right" vertical="center"/>
    </xf>
    <xf numFmtId="4" fontId="0" fillId="0" borderId="8" applyAlignment="1" pivotButton="0" quotePrefix="0" xfId="0">
      <alignment vertical="center"/>
    </xf>
    <xf numFmtId="0" fontId="0" fillId="32" borderId="8" applyAlignment="1" pivotButton="0" quotePrefix="0" xfId="0">
      <alignment horizontal="center" vertical="center"/>
    </xf>
    <xf numFmtId="165" fontId="0" fillId="32" borderId="8" applyAlignment="1" pivotButton="0" quotePrefix="0" xfId="0">
      <alignment vertical="center"/>
    </xf>
    <xf numFmtId="0" fontId="0" fillId="32" borderId="8" applyAlignment="1" pivotButton="0" quotePrefix="0" xfId="0">
      <alignment vertical="center"/>
    </xf>
    <xf numFmtId="4" fontId="0" fillId="32" borderId="8" applyAlignment="1" pivotButton="0" quotePrefix="0" xfId="0">
      <alignment horizontal="right" vertical="center"/>
    </xf>
    <xf numFmtId="4" fontId="0" fillId="32" borderId="8" applyAlignment="1" pivotButton="0" quotePrefix="0" xfId="0">
      <alignment vertical="center"/>
    </xf>
    <xf numFmtId="0" fontId="0" fillId="33" borderId="8" applyAlignment="1" pivotButton="0" quotePrefix="0" xfId="0">
      <alignment horizontal="center" vertical="center"/>
    </xf>
    <xf numFmtId="165" fontId="0" fillId="33" borderId="8" applyAlignment="1" pivotButton="0" quotePrefix="0" xfId="0">
      <alignment vertical="center"/>
    </xf>
    <xf numFmtId="0" fontId="0" fillId="33" borderId="8" applyAlignment="1" pivotButton="0" quotePrefix="0" xfId="0">
      <alignment vertical="center"/>
    </xf>
    <xf numFmtId="4" fontId="0" fillId="33" borderId="8" applyAlignment="1" pivotButton="0" quotePrefix="0" xfId="0">
      <alignment horizontal="right" vertical="center"/>
    </xf>
    <xf numFmtId="4" fontId="0" fillId="33" borderId="8" applyAlignment="1" pivotButton="0" quotePrefix="0" xfId="0">
      <alignment vertical="center"/>
    </xf>
    <xf numFmtId="0" fontId="0" fillId="34" borderId="8" applyAlignment="1" pivotButton="0" quotePrefix="0" xfId="0">
      <alignment horizontal="center" vertical="center"/>
    </xf>
    <xf numFmtId="165" fontId="0" fillId="34" borderId="8" applyAlignment="1" pivotButton="0" quotePrefix="0" xfId="0">
      <alignment vertical="center"/>
    </xf>
    <xf numFmtId="0" fontId="0" fillId="34" borderId="8" applyAlignment="1" pivotButton="0" quotePrefix="0" xfId="0">
      <alignment vertical="center"/>
    </xf>
    <xf numFmtId="4" fontId="0" fillId="34" borderId="8" applyAlignment="1" pivotButton="0" quotePrefix="0" xfId="0">
      <alignment horizontal="right" vertical="center"/>
    </xf>
    <xf numFmtId="4" fontId="0" fillId="34" borderId="8" applyAlignment="1" pivotButton="0" quotePrefix="0" xfId="0">
      <alignment vertical="center"/>
    </xf>
    <xf numFmtId="0" fontId="0" fillId="35" borderId="8" applyAlignment="1" pivotButton="0" quotePrefix="0" xfId="0">
      <alignment horizontal="center" vertical="center"/>
    </xf>
    <xf numFmtId="165" fontId="0" fillId="35" borderId="8" applyAlignment="1" pivotButton="0" quotePrefix="0" xfId="0">
      <alignment vertical="center"/>
    </xf>
    <xf numFmtId="0" fontId="0" fillId="35" borderId="8" applyAlignment="1" pivotButton="0" quotePrefix="0" xfId="0">
      <alignment vertical="center"/>
    </xf>
    <xf numFmtId="4" fontId="0" fillId="35" borderId="8" applyAlignment="1" pivotButton="0" quotePrefix="0" xfId="0">
      <alignment horizontal="right" vertical="center"/>
    </xf>
    <xf numFmtId="4" fontId="0" fillId="35" borderId="8" applyAlignment="1" pivotButton="0" quotePrefix="0" xfId="0">
      <alignment vertical="center"/>
    </xf>
    <xf numFmtId="0" fontId="0" fillId="36" borderId="8" applyAlignment="1" pivotButton="0" quotePrefix="0" xfId="0">
      <alignment horizontal="center" vertical="center"/>
    </xf>
    <xf numFmtId="165" fontId="0" fillId="36" borderId="8" applyAlignment="1" pivotButton="0" quotePrefix="0" xfId="0">
      <alignment vertical="center"/>
    </xf>
    <xf numFmtId="0" fontId="0" fillId="36" borderId="8" applyAlignment="1" pivotButton="0" quotePrefix="0" xfId="0">
      <alignment vertical="center"/>
    </xf>
    <xf numFmtId="4" fontId="0" fillId="36" borderId="8" applyAlignment="1" pivotButton="0" quotePrefix="0" xfId="0">
      <alignment horizontal="right" vertical="center"/>
    </xf>
    <xf numFmtId="4" fontId="0" fillId="36" borderId="8" applyAlignment="1" pivotButton="0" quotePrefix="0" xfId="0">
      <alignment vertical="center"/>
    </xf>
    <xf numFmtId="0" fontId="41" fillId="0" borderId="0" pivotButton="0" quotePrefix="0" xfId="0"/>
    <xf numFmtId="0" fontId="42" fillId="0" borderId="0" pivotButton="0" quotePrefix="0" xfId="0"/>
    <xf numFmtId="0" fontId="43" fillId="37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center" vertical="center"/>
    </xf>
    <xf numFmtId="0" fontId="0" fillId="38" borderId="9" pivotButton="0" quotePrefix="0" xfId="0"/>
    <xf numFmtId="165" fontId="0" fillId="38" borderId="9" pivotButton="0" quotePrefix="0" xfId="0"/>
    <xf numFmtId="4" fontId="0" fillId="38" borderId="9" applyAlignment="1" pivotButton="0" quotePrefix="0" xfId="0">
      <alignment horizontal="right" vertical="center"/>
    </xf>
    <xf numFmtId="0" fontId="0" fillId="39" borderId="9" applyAlignment="1" pivotButton="0" quotePrefix="0" xfId="0">
      <alignment horizontal="center" vertical="center"/>
    </xf>
    <xf numFmtId="0" fontId="0" fillId="39" borderId="9" pivotButton="0" quotePrefix="0" xfId="0"/>
    <xf numFmtId="165" fontId="0" fillId="39" borderId="9" pivotButton="0" quotePrefix="0" xfId="0"/>
    <xf numFmtId="4" fontId="0" fillId="39" borderId="9" applyAlignment="1" pivotButton="0" quotePrefix="0" xfId="0">
      <alignment horizontal="right" vertical="center"/>
    </xf>
    <xf numFmtId="0" fontId="0" fillId="40" borderId="9" applyAlignment="1" pivotButton="0" quotePrefix="0" xfId="0">
      <alignment horizontal="center" vertical="center"/>
    </xf>
    <xf numFmtId="0" fontId="0" fillId="40" borderId="9" pivotButton="0" quotePrefix="0" xfId="0"/>
    <xf numFmtId="165" fontId="0" fillId="40" borderId="9" pivotButton="0" quotePrefix="0" xfId="0"/>
    <xf numFmtId="4" fontId="0" fillId="40" borderId="9" applyAlignment="1" pivotButton="0" quotePrefix="0" xfId="0">
      <alignment horizontal="right" vertical="center"/>
    </xf>
    <xf numFmtId="0" fontId="0" fillId="41" borderId="9" applyAlignment="1" pivotButton="0" quotePrefix="0" xfId="0">
      <alignment horizontal="center" vertical="center"/>
    </xf>
    <xf numFmtId="0" fontId="0" fillId="41" borderId="9" pivotButton="0" quotePrefix="0" xfId="0"/>
    <xf numFmtId="165" fontId="0" fillId="41" borderId="9" pivotButton="0" quotePrefix="0" xfId="0"/>
    <xf numFmtId="4" fontId="0" fillId="41" borderId="9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3" fontId="35" fillId="16" borderId="7" applyAlignment="1" pivotButton="0" quotePrefix="0" xfId="0">
      <alignment horizontal="center" vertical="center"/>
    </xf>
    <xf numFmtId="0" fontId="0" fillId="0" borderId="5" pivotButton="0" quotePrefix="0" xfId="0"/>
    <xf numFmtId="3" fontId="35" fillId="17" borderId="7" applyAlignment="1" pivotButton="0" quotePrefix="0" xfId="0">
      <alignment horizontal="center" vertical="center"/>
    </xf>
    <xf numFmtId="3" fontId="35" fillId="14" borderId="7" applyAlignment="1" pivotButton="0" quotePrefix="0" xfId="0">
      <alignment horizontal="center" vertical="center"/>
    </xf>
    <xf numFmtId="3" fontId="35" fillId="20" borderId="7" applyAlignment="1" pivotButton="0" quotePrefix="0" xfId="0">
      <alignment horizontal="center" vertical="center"/>
    </xf>
    <xf numFmtId="0" fontId="32" fillId="16" borderId="7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2" fillId="17" borderId="7" applyAlignment="1" pivotButton="0" quotePrefix="0" xfId="0">
      <alignment horizontal="center" vertical="center"/>
    </xf>
    <xf numFmtId="0" fontId="32" fillId="18" borderId="7" applyAlignment="1" pivotButton="0" quotePrefix="0" xfId="0">
      <alignment horizontal="center" vertical="center"/>
    </xf>
    <xf numFmtId="0" fontId="32" fillId="20" borderId="7" applyAlignment="1" pivotButton="0" quotePrefix="0" xfId="0">
      <alignment horizontal="center" vertical="center"/>
    </xf>
    <xf numFmtId="164" fontId="35" fillId="14" borderId="7" applyAlignment="1" pivotButton="0" quotePrefix="0" xfId="0">
      <alignment horizontal="center" vertical="center"/>
    </xf>
    <xf numFmtId="3" fontId="35" fillId="15" borderId="7" applyAlignment="1" pivotButton="0" quotePrefix="0" xfId="0">
      <alignment horizontal="center" vertical="center"/>
    </xf>
    <xf numFmtId="3" fontId="35" fillId="18" borderId="7" applyAlignment="1" pivotButton="0" quotePrefix="0" xfId="0">
      <alignment horizontal="center" vertical="center"/>
    </xf>
    <xf numFmtId="3" fontId="35" fillId="19" borderId="7" applyAlignment="1" pivotButton="0" quotePrefix="0" xfId="0">
      <alignment horizontal="center" vertical="center"/>
    </xf>
    <xf numFmtId="0" fontId="32" fillId="15" borderId="7" applyAlignment="1" pivotButton="0" quotePrefix="0" xfId="0">
      <alignment horizontal="center" vertical="center"/>
    </xf>
    <xf numFmtId="0" fontId="32" fillId="14" borderId="7" applyAlignment="1" pivotButton="0" quotePrefix="0" xfId="0">
      <alignment horizontal="center" vertical="center"/>
    </xf>
    <xf numFmtId="0" fontId="32" fillId="19" borderId="7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7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0" borderId="2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2"/>
    </xf>
    <xf numFmtId="0" fontId="7" fillId="0" borderId="2" applyAlignment="1" pivotButton="0" quotePrefix="0" xfId="0">
      <alignment horizontal="left" vertical="top"/>
    </xf>
  </cellXfs>
  <cellStyles count="1">
    <cellStyle name="Normal" xfId="0" builtinId="0"/>
  </cellStyles>
  <dxfs count="16">
    <dxf>
      <font>
        <name val="Calibri"/>
        <color rgb="FF006100"/>
        <sz val="10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name val="Calibri"/>
        <b val="1"/>
        <color rgb="FF9C0006"/>
        <sz val="10"/>
      </font>
      <fill>
        <patternFill patternType="solid">
          <fgColor rgb="FFFCE4D6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color rgb="FF006100"/>
        <sz val="10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name val="Calibri"/>
        <b val="1"/>
        <color rgb="FF9C0006"/>
        <sz val="10"/>
      </font>
      <fill>
        <patternFill patternType="solid">
          <fgColor rgb="FFFCE4D6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color rgb="FF006100"/>
        <sz val="10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name val="Calibri"/>
        <b val="1"/>
        <color rgb="FF9C0006"/>
        <sz val="10"/>
      </font>
      <fill>
        <patternFill patternType="solid">
          <fgColor rgb="FFFCE4D6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color rgb="FF006100"/>
        <sz val="10"/>
      </font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ont>
        <name val="Calibri"/>
        <b val="1"/>
        <color rgb="FF9C0006"/>
        <sz val="10"/>
      </font>
      <fill>
        <patternFill patternType="solid">
          <fgColor rgb="FFFCE4D6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Aging Distribution</a:t>
            </a:r>
          </a:p>
        </rich>
      </tx>
      <layout>
        <manualLayout>
          <xMode val="edge"/>
          <yMode val="edge"/>
          <wMode val="factor"/>
          <hMode val="factor"/>
          <x val="0.07530503472222221"/>
          <y val="0.03821759259259259"/>
        </manualLayout>
      </layout>
      <overlay val="1"/>
    </title>
    <plotArea>
      <layout/>
      <pieChart>
        <varyColors val="1"/>
        <ser>
          <idx val="0"/>
          <order val="0"/>
          <tx>
            <strRef>
              <f>DASHBOARD!$B$12</f>
              <strCache>
                <ptCount val="1"/>
                <pt idx="0">
                  <v>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A9D18E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D966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4B18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DASHBOARD!$A$13:$A$17</f>
              <strCache>
                <ptCount val="5"/>
                <pt idx="0">
                  <v>0-30 Days</v>
                </pt>
                <pt idx="1">
                  <v>31-60 Days</v>
                </pt>
                <pt idx="2">
                  <v>61-90 Days</v>
                </pt>
                <pt idx="3">
                  <v>90+ Days</v>
                </pt>
                <pt idx="4">
                  <v>TOTAL</v>
                </pt>
              </strCache>
            </strRef>
          </cat>
          <val>
            <numRef>
              <f>DASHBOARD!$B$13:$B$17</f>
              <numCache>
                <formatCode>General</formatCode>
                <ptCount val="5"/>
                <pt idx="0">
                  <v>198</v>
                </pt>
                <pt idx="1">
                  <v>71</v>
                </pt>
                <pt idx="2">
                  <v>19</v>
                </pt>
                <pt idx="3">
                  <v>64</v>
                </pt>
                <pt idx="4">
                  <v>352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Outstanding by Collector</a:t>
            </a:r>
          </a:p>
        </rich>
      </tx>
      <layout>
        <manualLayout>
          <xMode val="edge"/>
          <yMode val="edge"/>
          <wMode val="factor"/>
          <hMode val="factor"/>
          <x val="0.4886012564801743"/>
          <y val="0.06686167989970748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469604162394995"/>
          <y val="0.03343083994985374"/>
          <w val="0.8530395837605005"/>
          <h val="0.8409990644190788"/>
        </manualLayout>
      </layout>
      <barChart>
        <barDir val="col"/>
        <grouping val="clustered"/>
        <varyColors val="1"/>
        <ser>
          <idx val="0"/>
          <order val="0"/>
          <tx>
            <strRef>
              <f>DASHBOARD!$C$21</f>
              <strCache>
                <ptCount val="1"/>
                <pt idx="0">
                  <v>84,71,570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alpha val="15000"/>
                      <a:lumMod val="20000"/>
                      <a:lumOff val="80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cat>
            <strRef>
              <f>DASHBOARD!$A$22:$A$25</f>
              <strCache>
                <ptCount val="4"/>
                <pt idx="0">
                  <v>Praveen</v>
                </pt>
                <pt idx="1">
                  <v>Mujahid</v>
                </pt>
                <pt idx="2">
                  <v>Vinod</v>
                </pt>
                <pt idx="3">
                  <v>TOTAL</v>
                </pt>
              </strCache>
            </strRef>
          </cat>
          <val>
            <numRef>
              <f>DASHBOARD!$C$22:$C$25</f>
              <numCache>
                <formatCode>#,##0</formatCode>
                <ptCount val="4"/>
                <pt idx="0">
                  <v>705286</v>
                </pt>
                <pt idx="1">
                  <v>5106861.98</v>
                </pt>
                <pt idx="2">
                  <v>964661</v>
                </pt>
                <pt idx="3">
                  <v>15248379.01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55"/>
        <overlap val="-70"/>
        <axId val="308422048"/>
        <axId val="308420872"/>
      </barChart>
      <catAx>
        <axId val="3084220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08420872"/>
        <crosses val="autoZero"/>
        <auto val="1"/>
        <lblAlgn val="ctr"/>
        <lblOffset val="100"/>
        <noMultiLvlLbl val="1"/>
      </catAx>
      <valAx>
        <axId val="3084208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084220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Risk by Collector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DASHBOARD!$D$21</f>
              <strCache>
                <ptCount val="1"/>
                <pt idx="0">
                  <v>1,63,810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a:sp3d xmlns:a="http://schemas.openxmlformats.org/drawingml/2006/main"/>
            </spPr>
          </dPt>
          <dPt>
            <idx val="1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a:sp3d xmlns:a="http://schemas.openxmlformats.org/drawingml/2006/main"/>
            </spPr>
          </dPt>
          <dPt>
            <idx val="2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a:sp3d xmlns:a="http://schemas.openxmlformats.org/drawingml/2006/main"/>
            </spPr>
          </dPt>
          <dPt>
            <idx val="3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a:sp3d xmlns:a="http://schemas.openxmlformats.org/drawingml/2006/main"/>
            </spPr>
          </dPt>
          <cat>
            <strRef>
              <f>DASHBOARD!$A$22:$A$25</f>
              <strCache>
                <ptCount val="4"/>
                <pt idx="0">
                  <v>Praveen</v>
                </pt>
                <pt idx="1">
                  <v>Mujahid</v>
                </pt>
                <pt idx="2">
                  <v>Vinod</v>
                </pt>
                <pt idx="3">
                  <v>TOTAL</v>
                </pt>
              </strCache>
            </strRef>
          </cat>
          <val>
            <numRef>
              <f>DASHBOARD!$D$22:$D$25</f>
              <numCache>
                <formatCode>#,##0</formatCode>
                <ptCount val="4"/>
                <pt idx="0">
                  <v>191810</v>
                </pt>
                <pt idx="1">
                  <v>1604965.98</v>
                </pt>
                <pt idx="2">
                  <v>59296</v>
                </pt>
                <pt idx="3">
                  <v>2019882.01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308416952"/>
        <axId val="308421264"/>
      </barChart>
      <catAx>
        <axId val="3084169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08421264"/>
        <crosses val="autoZero"/>
        <auto val="1"/>
        <lblAlgn val="ctr"/>
        <lblOffset val="100"/>
        <noMultiLvlLbl val="1"/>
      </catAx>
      <valAx>
        <axId val="308421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0841695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175260</colOff>
      <row>9</row>
      <rowOff>76200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495299</colOff>
      <row>35</row>
      <rowOff>30479</rowOff>
    </from>
    <ext cx="6364605" cy="455866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746760</colOff>
      <row>35</row>
      <rowOff>121920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ARReport" displayName="MasterARReport" ref="A1:N361" headerRowCount="1">
  <autoFilter ref="A1:N361"/>
  <tableColumns count="14">
    <tableColumn id="1" name="S.No"/>
    <tableColumn id="2" name="Source Sheet"/>
    <tableColumn id="3" name="Date"/>
    <tableColumn id="4" name="Invoice No"/>
    <tableColumn id="5" name="Customer Name"/>
    <tableColumn id="6" name="Invoice Amount"/>
    <tableColumn id="7" name="Due Date"/>
    <tableColumn id="8" name="Paid Amount"/>
    <tableColumn id="9" name="Outstanding Amount"/>
    <tableColumn id="10" name="Days Overdue"/>
    <tableColumn id="11" name="Aging Bucket"/>
    <tableColumn id="12" name="Risk Level"/>
    <tableColumn id="13" name="Follow-up Priority"/>
    <tableColumn id="14" name="Call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tabSelected="1" workbookViewId="0">
      <pane ySplit="2" topLeftCell="A3" activePane="bottomLeft" state="frozen"/>
      <selection pane="bottomLeft" activeCell="I5" sqref="I5:J5"/>
    </sheetView>
  </sheetViews>
  <sheetFormatPr baseColWidth="8" defaultRowHeight="14.4"/>
  <cols>
    <col width="30" bestFit="1" customWidth="1" style="243" min="1" max="1"/>
    <col width="34.44140625" bestFit="1" customWidth="1" style="243" min="2" max="2"/>
    <col width="18" customWidth="1" style="243" min="3" max="3"/>
    <col width="14" bestFit="1" customWidth="1" style="243" min="4" max="4"/>
    <col width="18" customWidth="1" style="243" min="5" max="5"/>
    <col width="16" customWidth="1" style="243" min="6" max="6"/>
    <col width="14" customWidth="1" style="243" min="7" max="7"/>
    <col width="16" customWidth="1" style="243" min="8" max="8"/>
    <col width="14" customWidth="1" style="243" min="9" max="9"/>
    <col width="12" customWidth="1" style="243" min="10" max="12"/>
  </cols>
  <sheetData>
    <row r="1" ht="43.95" customHeight="1" s="243">
      <c r="A1" s="262" t="inlineStr">
        <is>
          <t>SkyLimit AR AGING DASHBOARD</t>
        </is>
      </c>
    </row>
    <row r="2" ht="22.2" customHeight="1" s="243">
      <c r="A2" s="251" t="inlineStr">
        <is>
          <t>As of 25-May-2026 | Automated AR Aging Report</t>
        </is>
      </c>
    </row>
    <row r="4" ht="31.95" customHeight="1" s="243">
      <c r="A4" s="259" t="inlineStr">
        <is>
          <t>Total Outstanding</t>
        </is>
      </c>
      <c r="B4" s="246" t="n"/>
      <c r="C4" s="250" t="inlineStr">
        <is>
          <t>Total Collected</t>
        </is>
      </c>
      <c r="D4" s="246" t="n"/>
      <c r="E4" s="252" t="inlineStr">
        <is>
          <t>Total Pending</t>
        </is>
      </c>
      <c r="F4" s="246" t="n"/>
      <c r="G4" s="253" t="inlineStr">
        <is>
          <t>Total Customers</t>
        </is>
      </c>
      <c r="H4" s="246" t="n"/>
      <c r="I4" s="261" t="inlineStr">
        <is>
          <t>Total Invoices</t>
        </is>
      </c>
      <c r="J4" s="246" t="n"/>
      <c r="K4" s="260" t="inlineStr">
        <is>
          <t>DSO Actions</t>
        </is>
      </c>
      <c r="L4" s="246" t="n"/>
    </row>
    <row r="5" ht="31.95" customHeight="1" s="243">
      <c r="A5" s="256">
        <f>SUMIFS(MASTER_AR_REPORT!I:I,MASTER_AR_REPORT!I:I,"&gt;0")</f>
        <v/>
      </c>
      <c r="B5" s="246" t="n"/>
      <c r="C5" s="245">
        <f>SUM(MASTER_AR_REPORT!H:H)</f>
        <v/>
      </c>
      <c r="D5" s="246" t="n"/>
      <c r="E5" s="247">
        <f>SUMIFS(MASTER_AR_REPORT!I:I,MASTER_AR_REPORT!I:I,"&gt;0")</f>
        <v/>
      </c>
      <c r="F5" s="246" t="n"/>
      <c r="G5" s="257">
        <f>SUMPRODUCT((MASTER_AR_REPORT!A2:A99999&lt;&gt;"")*(MASTER_AR_REPORT!B2:B99999&lt;&gt;""))/2</f>
        <v/>
      </c>
      <c r="H5" s="246" t="n"/>
      <c r="I5" s="258">
        <f>COUNTA(MASTER_AR_REPORT!A2:A99999)</f>
        <v/>
      </c>
      <c r="J5" s="246" t="n"/>
      <c r="K5" s="248">
        <f>COUNTA('DSO Actions'!A2:A99999)</f>
        <v/>
      </c>
      <c r="L5" s="246" t="n"/>
    </row>
    <row r="7" ht="31.95" customHeight="1" s="243">
      <c r="A7" s="253" t="inlineStr">
        <is>
          <t>High Risk (90+)</t>
        </is>
      </c>
      <c r="B7" s="246" t="n"/>
      <c r="C7" s="252" t="inlineStr">
        <is>
          <t>Medium Risk (31-90)</t>
        </is>
      </c>
      <c r="D7" s="246" t="n"/>
      <c r="E7" s="250" t="inlineStr">
        <is>
          <t>Low Risk (0-30)</t>
        </is>
      </c>
      <c r="F7" s="246" t="n"/>
      <c r="G7" s="254" t="inlineStr">
        <is>
          <t>Calling List</t>
        </is>
      </c>
      <c r="H7" s="246" t="n"/>
      <c r="I7" s="253" t="inlineStr">
        <is>
          <t>Overdue &gt; 90 Days</t>
        </is>
      </c>
      <c r="J7" s="246" t="n"/>
      <c r="K7" s="260" t="inlineStr">
        <is>
          <t>Collection Rate</t>
        </is>
      </c>
      <c r="L7" s="246" t="n"/>
    </row>
    <row r="8" ht="31.95" customHeight="1" s="243">
      <c r="A8" s="257">
        <f>SUMIFS(MASTER_AR_REPORT!I:I,MASTER_AR_REPORT!L:L,"HIGH RISK")</f>
        <v/>
      </c>
      <c r="B8" s="246" t="n"/>
      <c r="C8" s="247">
        <f>SUMIFS(MASTER_AR_REPORT!I:I,MASTER_AR_REPORT!L:L,"Medium")+SUMIFS(MASTER_AR_REPORT!I:I,MASTER_AR_REPORT!L:L,"Low-Medium")</f>
        <v/>
      </c>
      <c r="D8" s="246" t="n"/>
      <c r="E8" s="245">
        <f>SUMIFS(MASTER_AR_REPORT!I:I,MASTER_AR_REPORT!L:L,"Low")+SUMIFS(MASTER_AR_REPORT!I:I,MASTER_AR_REPORT!L:L,"-")</f>
        <v/>
      </c>
      <c r="F8" s="246" t="n"/>
      <c r="G8" s="249">
        <f>COUNTA(CALLING_LIST!A5:A99999)</f>
        <v/>
      </c>
      <c r="H8" s="246" t="n"/>
      <c r="I8" s="257">
        <f>COUNTIFS(MASTER_AR_REPORT!J:J,"&gt;90",MASTER_AR_REPORT!I:I,"&gt;0")</f>
        <v/>
      </c>
      <c r="J8" s="246" t="n"/>
      <c r="K8" s="255">
        <f>IF(SUM(MASTER_AR_REPORT!F:F)=0,0,SUM(MASTER_AR_REPORT!H:H)/SUM(MASTER_AR_REPORT!F:F))</f>
        <v/>
      </c>
      <c r="L8" s="246" t="n"/>
    </row>
    <row r="10" ht="15.6" customHeight="1" s="243">
      <c r="A10" s="111" t="inlineStr">
        <is>
          <t>AGING BUCKET SUMMARY</t>
        </is>
      </c>
    </row>
    <row r="11">
      <c r="A11" s="112" t="inlineStr">
        <is>
          <t>Aging Bucket</t>
        </is>
      </c>
      <c r="B11" s="112" t="inlineStr">
        <is>
          <t>Invoice Count</t>
        </is>
      </c>
      <c r="C11" s="112" t="inlineStr">
        <is>
          <t>Total Amount</t>
        </is>
      </c>
      <c r="D11" s="112" t="inlineStr">
        <is>
          <t>% of Total</t>
        </is>
      </c>
      <c r="E11" s="112" t="inlineStr">
        <is>
          <t>Avg Days Overdue</t>
        </is>
      </c>
    </row>
    <row r="12">
      <c r="A12" s="113" t="inlineStr">
        <is>
          <t>Current</t>
        </is>
      </c>
      <c r="B12" s="114">
        <f>COUNTIFS(MASTER_AR_REPORT!K:K,"Current",MASTER_AR_REPORT!I:I,"&gt;0")</f>
        <v/>
      </c>
      <c r="C12" s="115">
        <f>SUMIFS(MASTER_AR_REPORT!I:I,MASTER_AR_REPORT!K:K,"Current")</f>
        <v/>
      </c>
      <c r="D12" s="116">
        <f>IF(C$17=0,0,C12/C$17)</f>
        <v/>
      </c>
      <c r="E12" s="117">
        <f>IFERROR(AVERAGEIFS(MASTER_AR_REPORT!J:J,MASTER_AR_REPORT!K:K,"Current"),0)</f>
        <v/>
      </c>
    </row>
    <row r="13">
      <c r="A13" s="118" t="inlineStr">
        <is>
          <t>0-30 Days</t>
        </is>
      </c>
      <c r="B13" s="119">
        <f>COUNTIFS(MASTER_AR_REPORT!K:K,"0-30 Days",MASTER_AR_REPORT!I:I,"&gt;0")</f>
        <v/>
      </c>
      <c r="C13" s="120">
        <f>SUMIFS(MASTER_AR_REPORT!I:I,MASTER_AR_REPORT!K:K,"0-30 Days")</f>
        <v/>
      </c>
      <c r="D13" s="121">
        <f>IF(C$17=0,0,C13/C$17)</f>
        <v/>
      </c>
      <c r="E13" s="117">
        <f>IFERROR(AVERAGEIFS(MASTER_AR_REPORT!J:J,MASTER_AR_REPORT!K:K,"0-30 Days"),0)</f>
        <v/>
      </c>
    </row>
    <row r="14">
      <c r="A14" s="122" t="inlineStr">
        <is>
          <t>31-60 Days</t>
        </is>
      </c>
      <c r="B14" s="123">
        <f>COUNTIFS(MASTER_AR_REPORT!K:K,"31-60 Days",MASTER_AR_REPORT!I:I,"&gt;0")</f>
        <v/>
      </c>
      <c r="C14" s="124">
        <f>SUMIFS(MASTER_AR_REPORT!I:I,MASTER_AR_REPORT!K:K,"31-60 Days")</f>
        <v/>
      </c>
      <c r="D14" s="125">
        <f>IF(C$17=0,0,C14/C$17)</f>
        <v/>
      </c>
      <c r="E14" s="126">
        <f>IFERROR(AVERAGEIFS(MASTER_AR_REPORT!J:J,MASTER_AR_REPORT!K:K,"31-60 Days"),0)</f>
        <v/>
      </c>
    </row>
    <row r="15">
      <c r="A15" s="127" t="inlineStr">
        <is>
          <t>61-90 Days</t>
        </is>
      </c>
      <c r="B15" s="123">
        <f>COUNTIFS(MASTER_AR_REPORT!K:K,"61-90 Days",MASTER_AR_REPORT!I:I,"&gt;0")</f>
        <v/>
      </c>
      <c r="C15" s="124">
        <f>SUMIFS(MASTER_AR_REPORT!I:I,MASTER_AR_REPORT!K:K,"61-90 Days")</f>
        <v/>
      </c>
      <c r="D15" s="125">
        <f>IF(C$17=0,0,C15/C$17)</f>
        <v/>
      </c>
      <c r="E15" s="126">
        <f>IFERROR(AVERAGEIFS(MASTER_AR_REPORT!J:J,MASTER_AR_REPORT!K:K,"61-90 Days"),0)</f>
        <v/>
      </c>
    </row>
    <row r="16">
      <c r="A16" s="128" t="inlineStr">
        <is>
          <t>90+ Days</t>
        </is>
      </c>
      <c r="B16" s="129">
        <f>COUNTIFS(MASTER_AR_REPORT!K:K,"90+ Days",MASTER_AR_REPORT!I:I,"&gt;0")</f>
        <v/>
      </c>
      <c r="C16" s="130">
        <f>SUMIFS(MASTER_AR_REPORT!I:I,MASTER_AR_REPORT!K:K,"90+ Days")</f>
        <v/>
      </c>
      <c r="D16" s="131">
        <f>IF(C$17=0,0,C16/C$17)</f>
        <v/>
      </c>
      <c r="E16" s="132">
        <f>IFERROR(AVERAGEIFS(MASTER_AR_REPORT!J:J,MASTER_AR_REPORT!K:K,"90+ Days"),0)</f>
        <v/>
      </c>
    </row>
    <row r="17">
      <c r="A17" s="133" t="inlineStr">
        <is>
          <t>TOTAL</t>
        </is>
      </c>
      <c r="B17" s="134">
        <f>SUM(B12:B16)</f>
        <v/>
      </c>
      <c r="C17" s="135">
        <f>SUM(C12:C16)</f>
        <v/>
      </c>
      <c r="D17" s="136">
        <f>SUM(D12:D16)</f>
        <v/>
      </c>
    </row>
    <row r="18">
      <c r="A18" s="5" t="n"/>
      <c r="B18" s="5" t="n"/>
      <c r="C18" s="6" t="n"/>
      <c r="D18" s="7" t="n"/>
    </row>
    <row r="19" ht="15.6" customHeight="1" s="243">
      <c r="A19" s="111" t="inlineStr">
        <is>
          <t>COLLECTOR-WISE SUMMARY</t>
        </is>
      </c>
    </row>
    <row r="20" ht="30" customHeight="1" s="243">
      <c r="A20" s="112" t="inlineStr">
        <is>
          <t>Collector</t>
        </is>
      </c>
      <c r="B20" s="112" t="inlineStr">
        <is>
          <t>Invoice Count</t>
        </is>
      </c>
      <c r="C20" s="112" t="inlineStr">
        <is>
          <t>Total Outstanding</t>
        </is>
      </c>
      <c r="D20" s="112" t="inlineStr">
        <is>
          <t>High Risk Amt</t>
        </is>
      </c>
      <c r="E20" s="112" t="inlineStr">
        <is>
          <t>Avg Days</t>
        </is>
      </c>
      <c r="F20" s="112" t="inlineStr">
        <is>
          <t>Collection %</t>
        </is>
      </c>
      <c r="G20" s="112" t="inlineStr">
        <is>
          <t>% of Total</t>
        </is>
      </c>
    </row>
    <row r="21">
      <c r="A21" s="137" t="inlineStr">
        <is>
          <t>Watches</t>
        </is>
      </c>
      <c r="B21" s="138">
        <f>COUNTIFS(MASTER_AR_REPORT!B:B,"Watches",MASTER_AR_REPORT!I:I,"&gt;0")</f>
        <v/>
      </c>
      <c r="C21" s="139">
        <f>SUMIFS(MASTER_AR_REPORT!I:I,MASTER_AR_REPORT!B:B,"Watches",MASTER_AR_REPORT!I:I,"&gt;0")</f>
        <v/>
      </c>
      <c r="D21" s="139">
        <f>SUMIFS(MASTER_AR_REPORT!I:I,MASTER_AR_REPORT!B:B,"Watches",MASTER_AR_REPORT!L:L,"HIGH RISK")</f>
        <v/>
      </c>
      <c r="E21" s="140">
        <f>IFERROR(AVERAGEIFS(MASTER_AR_REPORT!J:J,MASTER_AR_REPORT!B:B,"Watches",MASTER_AR_REPORT!I:I,"&gt;0"),0)</f>
        <v/>
      </c>
      <c r="F21" s="141">
        <f>IF(SUMIFS(MASTER_AR_REPORT!F:F,MASTER_AR_REPORT!B:B,"Watches")=0,0,SUMIFS(MASTER_AR_REPORT!H:H,MASTER_AR_REPORT!B:B,"Watches")/SUMIFS(MASTER_AR_REPORT!F:F,MASTER_AR_REPORT!B:B,"Watches"))</f>
        <v/>
      </c>
      <c r="G21" s="141">
        <f>IF(C$25=0,0,C21/C$25)</f>
        <v/>
      </c>
    </row>
    <row r="22">
      <c r="A22" s="142" t="inlineStr">
        <is>
          <t>Praveen</t>
        </is>
      </c>
      <c r="B22" s="143">
        <f>COUNTIFS(MASTER_AR_REPORT!B:B,"Praveen",MASTER_AR_REPORT!I:I,"&gt;0")</f>
        <v/>
      </c>
      <c r="C22" s="144">
        <f>SUMIFS(MASTER_AR_REPORT!I:I,MASTER_AR_REPORT!B:B,"Praveen",MASTER_AR_REPORT!I:I,"&gt;0")</f>
        <v/>
      </c>
      <c r="D22" s="144">
        <f>SUMIFS(MASTER_AR_REPORT!I:I,MASTER_AR_REPORT!B:B,"Praveen",MASTER_AR_REPORT!L:L,"HIGH RISK")</f>
        <v/>
      </c>
      <c r="E22" s="140">
        <f>IFERROR(AVERAGEIFS(MASTER_AR_REPORT!J:J,MASTER_AR_REPORT!B:B,"Praveen",MASTER_AR_REPORT!I:I,"&gt;0"),0)</f>
        <v/>
      </c>
      <c r="F22" s="141">
        <f>IF(SUMIFS(MASTER_AR_REPORT!F:F,MASTER_AR_REPORT!B:B,"Praveen")=0,0,SUMIFS(MASTER_AR_REPORT!H:H,MASTER_AR_REPORT!B:B,"Praveen")/SUMIFS(MASTER_AR_REPORT!F:F,MASTER_AR_REPORT!B:B,"Praveen"))</f>
        <v/>
      </c>
      <c r="G22" s="141">
        <f>IF(C$25=0,0,C22/C$25)</f>
        <v/>
      </c>
    </row>
    <row r="23">
      <c r="A23" s="145" t="inlineStr">
        <is>
          <t>Mujahid</t>
        </is>
      </c>
      <c r="B23" s="146">
        <f>COUNTIFS(MASTER_AR_REPORT!B:B,"Mujahid",MASTER_AR_REPORT!I:I,"&gt;0")</f>
        <v/>
      </c>
      <c r="C23" s="147">
        <f>SUMIFS(MASTER_AR_REPORT!I:I,MASTER_AR_REPORT!B:B,"Mujahid",MASTER_AR_REPORT!I:I,"&gt;0")</f>
        <v/>
      </c>
      <c r="D23" s="147">
        <f>SUMIFS(MASTER_AR_REPORT!I:I,MASTER_AR_REPORT!B:B,"Mujahid",MASTER_AR_REPORT!L:L,"HIGH RISK")</f>
        <v/>
      </c>
      <c r="E23" s="140">
        <f>IFERROR(AVERAGEIFS(MASTER_AR_REPORT!J:J,MASTER_AR_REPORT!B:B,"Mujahid",MASTER_AR_REPORT!I:I,"&gt;0"),0)</f>
        <v/>
      </c>
      <c r="F23" s="141">
        <f>IF(SUMIFS(MASTER_AR_REPORT!F:F,MASTER_AR_REPORT!B:B,"Mujahid")=0,0,SUMIFS(MASTER_AR_REPORT!H:H,MASTER_AR_REPORT!B:B,"Mujahid")/SUMIFS(MASTER_AR_REPORT!F:F,MASTER_AR_REPORT!B:B,"Mujahid"))</f>
        <v/>
      </c>
      <c r="G23" s="141">
        <f>IF(C$25=0,0,C23/C$25)</f>
        <v/>
      </c>
    </row>
    <row r="24">
      <c r="A24" s="142" t="inlineStr">
        <is>
          <t>Vinod</t>
        </is>
      </c>
      <c r="B24" s="143">
        <f>COUNTIFS(MASTER_AR_REPORT!B:B,"Vinod",MASTER_AR_REPORT!I:I,"&gt;0")</f>
        <v/>
      </c>
      <c r="C24" s="144">
        <f>SUMIFS(MASTER_AR_REPORT!I:I,MASTER_AR_REPORT!B:B,"Vinod",MASTER_AR_REPORT!I:I,"&gt;0")</f>
        <v/>
      </c>
      <c r="D24" s="144">
        <f>SUMIFS(MASTER_AR_REPORT!I:I,MASTER_AR_REPORT!B:B,"Vinod",MASTER_AR_REPORT!L:L,"HIGH RISK")</f>
        <v/>
      </c>
      <c r="E24" s="140">
        <f>IFERROR(AVERAGEIFS(MASTER_AR_REPORT!J:J,MASTER_AR_REPORT!B:B,"Vinod",MASTER_AR_REPORT!I:I,"&gt;0"),0)</f>
        <v/>
      </c>
      <c r="F24" s="141">
        <f>IF(SUMIFS(MASTER_AR_REPORT!F:F,MASTER_AR_REPORT!B:B,"Vinod")=0,0,SUMIFS(MASTER_AR_REPORT!H:H,MASTER_AR_REPORT!B:B,"Vinod")/SUMIFS(MASTER_AR_REPORT!F:F,MASTER_AR_REPORT!B:B,"Vinod"))</f>
        <v/>
      </c>
      <c r="G24" s="141">
        <f>IF(C$25=0,0,C24/C$25)</f>
        <v/>
      </c>
    </row>
    <row r="25">
      <c r="A25" s="133" t="inlineStr">
        <is>
          <t>TOTAL</t>
        </is>
      </c>
      <c r="B25" s="134">
        <f>SUM(B21:B24)</f>
        <v/>
      </c>
      <c r="C25" s="135">
        <f>SUM(C21:C24)</f>
        <v/>
      </c>
      <c r="D25" s="135">
        <f>SUM(D21:D24)</f>
        <v/>
      </c>
      <c r="E25" s="133">
        <f>SUM(E21:E24)</f>
        <v/>
      </c>
      <c r="F25" s="136">
        <f>SUM(F21:F24)</f>
        <v/>
      </c>
      <c r="G25" s="136">
        <f>SUM(G21:G24)</f>
        <v/>
      </c>
    </row>
    <row r="26">
      <c r="A26" s="5" t="n"/>
      <c r="B26" s="5" t="n"/>
      <c r="C26" s="6" t="n"/>
      <c r="D26" s="6" t="n"/>
    </row>
    <row r="27" ht="15.6" customHeight="1" s="243">
      <c r="A27" s="111" t="inlineStr">
        <is>
          <t>DSO ACTIONS SUMMARY</t>
        </is>
      </c>
    </row>
    <row r="28">
      <c r="A28" s="148" t="inlineStr">
        <is>
          <t>Reason</t>
        </is>
      </c>
      <c r="B28" s="148" t="inlineStr">
        <is>
          <t>Count</t>
        </is>
      </c>
      <c r="C28" s="148" t="inlineStr">
        <is>
          <t>Total Amount</t>
        </is>
      </c>
      <c r="D28" s="148" t="inlineStr">
        <is>
          <t>% of Total</t>
        </is>
      </c>
    </row>
    <row r="29">
      <c r="A29" s="149" t="inlineStr">
        <is>
          <t>Send Dso</t>
        </is>
      </c>
      <c r="B29" s="138">
        <f>COUNTIFS('DSO Actions'!J:J,"*Send Dso*")</f>
        <v/>
      </c>
      <c r="C29" s="139">
        <f>SUMIFS('DSO Actions'!F:F,'DSO Actions'!J:J,"*Send Dso*")</f>
        <v/>
      </c>
      <c r="D29" s="150">
        <f>IF(SUM('DSO Actions'!F:F)=0,0,C29/SUM('DSO Actions'!F:F))</f>
        <v/>
      </c>
    </row>
    <row r="30">
      <c r="A30" s="151" t="inlineStr">
        <is>
          <t>Stock Return</t>
        </is>
      </c>
      <c r="B30" s="143">
        <f>COUNTIFS('DSO Actions'!J:J,"*Stock Return*")</f>
        <v/>
      </c>
      <c r="C30" s="144">
        <f>SUMIFS('DSO Actions'!F:F,'DSO Actions'!J:J,"*Stock Return*")</f>
        <v/>
      </c>
      <c r="D30" s="152">
        <f>IF(SUM('DSO Actions'!F:F)=0,0,C30/SUM('DSO Actions'!F:F))</f>
        <v/>
      </c>
    </row>
    <row r="31">
      <c r="A31" s="153" t="inlineStr">
        <is>
          <t>Credit Note</t>
        </is>
      </c>
      <c r="B31" s="146">
        <f>COUNTIFS('DSO Actions'!J:J,"*Credit Note*")</f>
        <v/>
      </c>
      <c r="C31" s="147">
        <f>SUMIFS('DSO Actions'!F:F,'DSO Actions'!J:J,"*Credit Note*")</f>
        <v/>
      </c>
      <c r="D31" s="154">
        <f>IF(SUM('DSO Actions'!F:F)=0,0,C31/SUM('DSO Actions'!F:F))</f>
        <v/>
      </c>
    </row>
    <row r="32">
      <c r="A32" s="155" t="inlineStr">
        <is>
          <t>TOTAL</t>
        </is>
      </c>
      <c r="B32" s="156">
        <f>SUM(B29:B31)</f>
        <v/>
      </c>
      <c r="C32" s="157">
        <f>SUM(C29:C31)</f>
        <v/>
      </c>
      <c r="D32" s="158">
        <f>SUM(D29:D31)</f>
        <v/>
      </c>
    </row>
    <row r="33">
      <c r="A33" s="1" t="n"/>
      <c r="B33" s="1" t="n"/>
      <c r="C33" s="2" t="n"/>
      <c r="D33" s="1" t="n"/>
    </row>
    <row r="34" ht="15.6" customHeight="1" s="243">
      <c r="A34" s="159" t="inlineStr">
        <is>
          <t>CALLING LIST (Overdue &gt; 30 Days)</t>
        </is>
      </c>
      <c r="B34" s="3" t="n"/>
      <c r="C34" s="4" t="n"/>
      <c r="D34" s="3" t="n"/>
    </row>
    <row r="35">
      <c r="A35" s="160" t="inlineStr">
        <is>
          <t>Risk Level</t>
        </is>
      </c>
      <c r="B35" s="160" t="inlineStr">
        <is>
          <t>Count</t>
        </is>
      </c>
      <c r="C35" s="161" t="inlineStr">
        <is>
          <t>Total Outstanding</t>
        </is>
      </c>
      <c r="D35" s="160" t="inlineStr">
        <is>
          <t>Avg Days Overdue</t>
        </is>
      </c>
    </row>
    <row r="36">
      <c r="A36" s="151" t="inlineStr">
        <is>
          <t>HIGH RISK</t>
        </is>
      </c>
      <c r="B36" s="143">
        <f>COUNTIFS(MASTER_AR_REPORT!L:L,"HIGH RISK",MASTER_AR_REPORT!J:J,"&gt;=30")</f>
        <v/>
      </c>
      <c r="C36" s="144">
        <f>SUMIFS(MASTER_AR_REPORT!I:I,MASTER_AR_REPORT!L:L,"HIGH RISK",MASTER_AR_REPORT!J:J,"&gt;=30")</f>
        <v/>
      </c>
      <c r="D36" s="144">
        <f>IFERROR(AVERAGEIFS(MASTER_AR_REPORT!J:J,MASTER_AR_REPORT!L:L,"HIGH RISK",MASTER_AR_REPORT!J:J,"&gt;=30"),0)</f>
        <v/>
      </c>
    </row>
    <row r="37">
      <c r="A37" s="153" t="inlineStr">
        <is>
          <t>Medium</t>
        </is>
      </c>
      <c r="B37" s="146">
        <f>COUNTIFS(MASTER_AR_REPORT!L:L,"Medium",MASTER_AR_REPORT!J:J,"&gt;=30")</f>
        <v/>
      </c>
      <c r="C37" s="147">
        <f>SUMIFS(MASTER_AR_REPORT!I:I,MASTER_AR_REPORT!L:L,"Medium",MASTER_AR_REPORT!J:J,"&gt;=30")</f>
        <v/>
      </c>
      <c r="D37" s="147">
        <f>IFERROR(AVERAGEIFS(MASTER_AR_REPORT!J:J,MASTER_AR_REPORT!L:L,"Medium",MASTER_AR_REPORT!J:J,"&gt;=30"),0)</f>
        <v/>
      </c>
    </row>
    <row r="38">
      <c r="A38" s="151" t="inlineStr">
        <is>
          <t>Low-Medium</t>
        </is>
      </c>
      <c r="B38" s="143">
        <f>COUNTIFS(MASTER_AR_REPORT!L:L,"Low-Medium",MASTER_AR_REPORT!J:J,"&gt;=30")</f>
        <v/>
      </c>
      <c r="C38" s="144">
        <f>SUMIFS(MASTER_AR_REPORT!I:I,MASTER_AR_REPORT!L:L,"Low-Medium",MASTER_AR_REPORT!J:J,"&gt;=30")</f>
        <v/>
      </c>
      <c r="D38" s="144">
        <f>IFERROR(AVERAGEIFS(MASTER_AR_REPORT!J:J,MASTER_AR_REPORT!L:L,"Low-Medium",MASTER_AR_REPORT!J:J,"&gt;=30"),0)</f>
        <v/>
      </c>
    </row>
    <row r="39">
      <c r="A39" s="153" t="inlineStr">
        <is>
          <t>Low</t>
        </is>
      </c>
      <c r="B39" s="146">
        <f>COUNTIFS(MASTER_AR_REPORT!L:L,"Low",MASTER_AR_REPORT!J:J,"&gt;=30")</f>
        <v/>
      </c>
      <c r="C39" s="147">
        <f>SUMIFS(MASTER_AR_REPORT!I:I,MASTER_AR_REPORT!L:L,"Low",MASTER_AR_REPORT!J:J,"&gt;=30")</f>
        <v/>
      </c>
      <c r="D39" s="147">
        <f>IFERROR(AVERAGEIFS(MASTER_AR_REPORT!J:J,MASTER_AR_REPORT!L:L,"Low",MASTER_AR_REPORT!J:J,"&gt;=30"),0)</f>
        <v/>
      </c>
    </row>
    <row r="40">
      <c r="A40" s="162" t="inlineStr">
        <is>
          <t>TOTAL</t>
        </is>
      </c>
      <c r="B40" s="163">
        <f>SUM(B36:B39)</f>
        <v/>
      </c>
      <c r="C40" s="164">
        <f>SUM(C36:C39)</f>
        <v/>
      </c>
      <c r="D40" s="162">
        <f>SUM(D36:D39)</f>
        <v/>
      </c>
    </row>
    <row r="41">
      <c r="A41" s="1" t="n"/>
      <c r="B41" s="1" t="n"/>
      <c r="C41" s="2" t="n"/>
      <c r="D41" s="1" t="n"/>
    </row>
    <row r="42" ht="15.6" customHeight="1" s="243">
      <c r="A42" s="159" t="inlineStr">
        <is>
          <t>DUE DATE PROXIMITY</t>
        </is>
      </c>
      <c r="B42" s="3" t="n"/>
      <c r="C42" s="4" t="n"/>
      <c r="D42" s="3" t="n"/>
    </row>
    <row r="43">
      <c r="A43" s="112" t="inlineStr">
        <is>
          <t>Due Period</t>
        </is>
      </c>
      <c r="B43" s="112" t="inlineStr">
        <is>
          <t>Invoice Count</t>
        </is>
      </c>
      <c r="C43" s="165" t="inlineStr">
        <is>
          <t>Total Amount</t>
        </is>
      </c>
      <c r="D43" s="1" t="n"/>
    </row>
    <row r="44">
      <c r="A44" s="166" t="inlineStr">
        <is>
          <t>Overdue (Past Due)</t>
        </is>
      </c>
      <c r="B44" s="129">
        <f>COUNTIFS(MASTER_AR_REPORT!J:J,"&gt;0",MASTER_AR_REPORT!I:I,"&gt;0")</f>
        <v/>
      </c>
      <c r="C44" s="130">
        <f>SUMIFS(MASTER_AR_REPORT!I:I,MASTER_AR_REPORT!J:J,"&gt;0")</f>
        <v/>
      </c>
      <c r="D44" s="3" t="n"/>
    </row>
    <row r="45">
      <c r="A45" s="167" t="inlineStr">
        <is>
          <t>Due This Week (next 0-7d)</t>
        </is>
      </c>
      <c r="B45" s="168">
        <f>COUNTIFS(MASTER_AR_REPORT!J:J,"&lt;=0",MASTER_AR_REPORT!J:J,"&gt;=-7",MASTER_AR_REPORT!I:I,"&gt;0")</f>
        <v/>
      </c>
      <c r="C45" s="126">
        <f>SUMIFS(MASTER_AR_REPORT!I:I,MASTER_AR_REPORT!J:J,"&lt;=0",MASTER_AR_REPORT!J:J,"&gt;=-7")</f>
        <v/>
      </c>
    </row>
    <row r="46">
      <c r="A46" s="169" t="inlineStr">
        <is>
          <t>Due Next Week (8-14d)</t>
        </is>
      </c>
      <c r="B46" s="170">
        <f>COUNTIFS(MASTER_AR_REPORT!J:J,"&lt;=-8",MASTER_AR_REPORT!J:J,"&gt;=-14",MASTER_AR_REPORT!I:I,"&gt;0")</f>
        <v/>
      </c>
      <c r="C46" s="171">
        <f>SUMIFS(MASTER_AR_REPORT!I:I,MASTER_AR_REPORT!J:J,"&lt;=-8",MASTER_AR_REPORT!J:J,"&gt;=-14")</f>
        <v/>
      </c>
    </row>
    <row r="47">
      <c r="A47" s="172" t="inlineStr">
        <is>
          <t>Due Next 30 Days (15-30d)</t>
        </is>
      </c>
      <c r="B47" s="173">
        <f>COUNTIFS(MASTER_AR_REPORT!J:J,"&lt;=-15",MASTER_AR_REPORT!J:J,"&gt;=-30",MASTER_AR_REPORT!I:I,"&gt;0")</f>
        <v/>
      </c>
      <c r="C47" s="117">
        <f>SUMIFS(MASTER_AR_REPORT!I:I,MASTER_AR_REPORT!J:J,"&lt;=-15",MASTER_AR_REPORT!J:J,"&gt;=-30")</f>
        <v/>
      </c>
    </row>
    <row r="48">
      <c r="A48" s="172" t="inlineStr">
        <is>
          <t>Future (&gt;30d)</t>
        </is>
      </c>
      <c r="B48" s="173">
        <f>COUNTIFS(MASTER_AR_REPORT!J:J,"&lt;-30",MASTER_AR_REPORT!I:I,"&gt;0")</f>
        <v/>
      </c>
      <c r="C48" s="117">
        <f>SUMIFS(MASTER_AR_REPORT!I:I,MASTER_AR_REPORT!J:J,"&lt;-30")</f>
        <v/>
      </c>
    </row>
    <row r="49">
      <c r="A49" s="133" t="inlineStr">
        <is>
          <t>TOTAL</t>
        </is>
      </c>
      <c r="B49" s="134">
        <f>SUM(B44:B48)</f>
        <v/>
      </c>
      <c r="C49" s="135">
        <f>SUM(C44:C48)</f>
        <v/>
      </c>
    </row>
    <row r="51" ht="15.6" customHeight="1" s="243">
      <c r="A51" s="111" t="inlineStr">
        <is>
          <t>TOP 10 OVERDUE PARTIES</t>
        </is>
      </c>
    </row>
    <row r="52">
      <c r="A52" s="112" t="inlineStr">
        <is>
          <t>Rank</t>
        </is>
      </c>
      <c r="B52" s="112" t="inlineStr">
        <is>
          <t>Party Name</t>
        </is>
      </c>
      <c r="C52" s="112" t="inlineStr">
        <is>
          <t>Outstanding Amt</t>
        </is>
      </c>
      <c r="D52" s="112" t="inlineStr">
        <is>
          <t>Days Overdue</t>
        </is>
      </c>
      <c r="E52" s="112" t="inlineStr">
        <is>
          <t>Collector</t>
        </is>
      </c>
      <c r="F52" s="112" t="inlineStr">
        <is>
          <t>Risk Level</t>
        </is>
      </c>
      <c r="G52" s="112" t="inlineStr">
        <is>
          <t>Ref No</t>
        </is>
      </c>
    </row>
    <row r="53">
      <c r="A53" s="174" t="n">
        <v>1</v>
      </c>
      <c r="B53" s="175">
        <f>IFERROR(INDEX(MASTER_AR_REPORT!E:E,MATCH(LARGE(MASTER_AR_REPORT!I:I,1),MASTER_AR_REPORT!I:I,0)),"-")</f>
        <v/>
      </c>
      <c r="C53" s="140">
        <f>IFERROR(LARGE(MASTER_AR_REPORT!I:I,1),"-")</f>
        <v/>
      </c>
      <c r="D53" s="140">
        <f>IFERROR(INDEX(MASTER_AR_REPORT!J:J,MATCH(LARGE(MASTER_AR_REPORT!I:I,1),MASTER_AR_REPORT!I:I,0)),"-")</f>
        <v/>
      </c>
      <c r="E53" s="175">
        <f>IFERROR(INDEX(MASTER_AR_REPORT!B:B,MATCH(LARGE(MASTER_AR_REPORT!I:I,1),MASTER_AR_REPORT!I:I,0)),"-")</f>
        <v/>
      </c>
      <c r="F53" s="175">
        <f>IFERROR(INDEX(MASTER_AR_REPORT!L:L,MATCH(LARGE(MASTER_AR_REPORT!I:I,1),MASTER_AR_REPORT!I:I,0)),"-")</f>
        <v/>
      </c>
      <c r="G53" s="175">
        <f>IFERROR(INDEX(MASTER_AR_REPORT!D:D,MATCH(LARGE(MASTER_AR_REPORT!I:I,1),MASTER_AR_REPORT!I:I,0)),"-")</f>
        <v/>
      </c>
    </row>
    <row r="54">
      <c r="A54" s="174" t="n">
        <v>2</v>
      </c>
      <c r="B54" s="175">
        <f>IFERROR(INDEX(MASTER_AR_REPORT!E:E,MATCH(LARGE(MASTER_AR_REPORT!I:I,2),MASTER_AR_REPORT!I:I,0)),"-")</f>
        <v/>
      </c>
      <c r="C54" s="140">
        <f>IFERROR(LARGE(MASTER_AR_REPORT!I:I,2),"-")</f>
        <v/>
      </c>
      <c r="D54" s="140">
        <f>IFERROR(INDEX(MASTER_AR_REPORT!J:J,MATCH(LARGE(MASTER_AR_REPORT!I:I,2),MASTER_AR_REPORT!I:I,0)),"-")</f>
        <v/>
      </c>
      <c r="E54" s="175">
        <f>IFERROR(INDEX(MASTER_AR_REPORT!B:B,MATCH(LARGE(MASTER_AR_REPORT!I:I,2),MASTER_AR_REPORT!I:I,0)),"-")</f>
        <v/>
      </c>
      <c r="F54" s="175">
        <f>IFERROR(INDEX(MASTER_AR_REPORT!L:L,MATCH(LARGE(MASTER_AR_REPORT!I:I,2),MASTER_AR_REPORT!I:I,0)),"-")</f>
        <v/>
      </c>
      <c r="G54" s="175">
        <f>IFERROR(INDEX(MASTER_AR_REPORT!D:D,MATCH(LARGE(MASTER_AR_REPORT!I:I,2),MASTER_AR_REPORT!I:I,0)),"-")</f>
        <v/>
      </c>
    </row>
    <row r="55">
      <c r="A55" s="174" t="n">
        <v>3</v>
      </c>
      <c r="B55" s="175">
        <f>IFERROR(INDEX(MASTER_AR_REPORT!E:E,MATCH(LARGE(MASTER_AR_REPORT!I:I,3),MASTER_AR_REPORT!I:I,0)),"-")</f>
        <v/>
      </c>
      <c r="C55" s="140">
        <f>IFERROR(LARGE(MASTER_AR_REPORT!I:I,3),"-")</f>
        <v/>
      </c>
      <c r="D55" s="140">
        <f>IFERROR(INDEX(MASTER_AR_REPORT!J:J,MATCH(LARGE(MASTER_AR_REPORT!I:I,3),MASTER_AR_REPORT!I:I,0)),"-")</f>
        <v/>
      </c>
      <c r="E55" s="175">
        <f>IFERROR(INDEX(MASTER_AR_REPORT!B:B,MATCH(LARGE(MASTER_AR_REPORT!I:I,3),MASTER_AR_REPORT!I:I,0)),"-")</f>
        <v/>
      </c>
      <c r="F55" s="175">
        <f>IFERROR(INDEX(MASTER_AR_REPORT!L:L,MATCH(LARGE(MASTER_AR_REPORT!I:I,3),MASTER_AR_REPORT!I:I,0)),"-")</f>
        <v/>
      </c>
      <c r="G55" s="175">
        <f>IFERROR(INDEX(MASTER_AR_REPORT!D:D,MATCH(LARGE(MASTER_AR_REPORT!I:I,3),MASTER_AR_REPORT!I:I,0)),"-")</f>
        <v/>
      </c>
    </row>
    <row r="56">
      <c r="A56" s="174" t="n">
        <v>4</v>
      </c>
      <c r="B56" s="175">
        <f>IFERROR(INDEX(MASTER_AR_REPORT!E:E,MATCH(LARGE(MASTER_AR_REPORT!I:I,4),MASTER_AR_REPORT!I:I,0)),"-")</f>
        <v/>
      </c>
      <c r="C56" s="140">
        <f>IFERROR(LARGE(MASTER_AR_REPORT!I:I,4),"-")</f>
        <v/>
      </c>
      <c r="D56" s="140">
        <f>IFERROR(INDEX(MASTER_AR_REPORT!J:J,MATCH(LARGE(MASTER_AR_REPORT!I:I,4),MASTER_AR_REPORT!I:I,0)),"-")</f>
        <v/>
      </c>
      <c r="E56" s="175">
        <f>IFERROR(INDEX(MASTER_AR_REPORT!B:B,MATCH(LARGE(MASTER_AR_REPORT!I:I,4),MASTER_AR_REPORT!I:I,0)),"-")</f>
        <v/>
      </c>
      <c r="F56" s="175">
        <f>IFERROR(INDEX(MASTER_AR_REPORT!L:L,MATCH(LARGE(MASTER_AR_REPORT!I:I,4),MASTER_AR_REPORT!I:I,0)),"-")</f>
        <v/>
      </c>
      <c r="G56" s="175">
        <f>IFERROR(INDEX(MASTER_AR_REPORT!D:D,MATCH(LARGE(MASTER_AR_REPORT!I:I,4),MASTER_AR_REPORT!I:I,0)),"-")</f>
        <v/>
      </c>
    </row>
    <row r="57">
      <c r="A57" s="174" t="n">
        <v>5</v>
      </c>
      <c r="B57" s="175">
        <f>IFERROR(INDEX(MASTER_AR_REPORT!E:E,MATCH(LARGE(MASTER_AR_REPORT!I:I,5),MASTER_AR_REPORT!I:I,0)),"-")</f>
        <v/>
      </c>
      <c r="C57" s="140">
        <f>IFERROR(LARGE(MASTER_AR_REPORT!I:I,5),"-")</f>
        <v/>
      </c>
      <c r="D57" s="140">
        <f>IFERROR(INDEX(MASTER_AR_REPORT!J:J,MATCH(LARGE(MASTER_AR_REPORT!I:I,5),MASTER_AR_REPORT!I:I,0)),"-")</f>
        <v/>
      </c>
      <c r="E57" s="175">
        <f>IFERROR(INDEX(MASTER_AR_REPORT!B:B,MATCH(LARGE(MASTER_AR_REPORT!I:I,5),MASTER_AR_REPORT!I:I,0)),"-")</f>
        <v/>
      </c>
      <c r="F57" s="175">
        <f>IFERROR(INDEX(MASTER_AR_REPORT!L:L,MATCH(LARGE(MASTER_AR_REPORT!I:I,5),MASTER_AR_REPORT!I:I,0)),"-")</f>
        <v/>
      </c>
      <c r="G57" s="175">
        <f>IFERROR(INDEX(MASTER_AR_REPORT!D:D,MATCH(LARGE(MASTER_AR_REPORT!I:I,5),MASTER_AR_REPORT!I:I,0)),"-")</f>
        <v/>
      </c>
    </row>
    <row r="58">
      <c r="A58" s="174" t="n">
        <v>6</v>
      </c>
      <c r="B58" s="175">
        <f>IFERROR(INDEX(MASTER_AR_REPORT!E:E,MATCH(LARGE(MASTER_AR_REPORT!I:I,6),MASTER_AR_REPORT!I:I,0)),"-")</f>
        <v/>
      </c>
      <c r="C58" s="140">
        <f>IFERROR(LARGE(MASTER_AR_REPORT!I:I,6),"-")</f>
        <v/>
      </c>
      <c r="D58" s="140">
        <f>IFERROR(INDEX(MASTER_AR_REPORT!J:J,MATCH(LARGE(MASTER_AR_REPORT!I:I,6),MASTER_AR_REPORT!I:I,0)),"-")</f>
        <v/>
      </c>
      <c r="E58" s="175">
        <f>IFERROR(INDEX(MASTER_AR_REPORT!B:B,MATCH(LARGE(MASTER_AR_REPORT!I:I,6),MASTER_AR_REPORT!I:I,0)),"-")</f>
        <v/>
      </c>
      <c r="F58" s="175">
        <f>IFERROR(INDEX(MASTER_AR_REPORT!L:L,MATCH(LARGE(MASTER_AR_REPORT!I:I,6),MASTER_AR_REPORT!I:I,0)),"-")</f>
        <v/>
      </c>
      <c r="G58" s="175">
        <f>IFERROR(INDEX(MASTER_AR_REPORT!D:D,MATCH(LARGE(MASTER_AR_REPORT!I:I,6),MASTER_AR_REPORT!I:I,0)),"-")</f>
        <v/>
      </c>
    </row>
    <row r="59">
      <c r="A59" s="174" t="n">
        <v>7</v>
      </c>
      <c r="B59" s="175">
        <f>IFERROR(INDEX(MASTER_AR_REPORT!E:E,MATCH(LARGE(MASTER_AR_REPORT!I:I,7),MASTER_AR_REPORT!I:I,0)),"-")</f>
        <v/>
      </c>
      <c r="C59" s="140">
        <f>IFERROR(LARGE(MASTER_AR_REPORT!I:I,7),"-")</f>
        <v/>
      </c>
      <c r="D59" s="140">
        <f>IFERROR(INDEX(MASTER_AR_REPORT!J:J,MATCH(LARGE(MASTER_AR_REPORT!I:I,7),MASTER_AR_REPORT!I:I,0)),"-")</f>
        <v/>
      </c>
      <c r="E59" s="175">
        <f>IFERROR(INDEX(MASTER_AR_REPORT!B:B,MATCH(LARGE(MASTER_AR_REPORT!I:I,7),MASTER_AR_REPORT!I:I,0)),"-")</f>
        <v/>
      </c>
      <c r="F59" s="175">
        <f>IFERROR(INDEX(MASTER_AR_REPORT!L:L,MATCH(LARGE(MASTER_AR_REPORT!I:I,7),MASTER_AR_REPORT!I:I,0)),"-")</f>
        <v/>
      </c>
      <c r="G59" s="175">
        <f>IFERROR(INDEX(MASTER_AR_REPORT!D:D,MATCH(LARGE(MASTER_AR_REPORT!I:I,7),MASTER_AR_REPORT!I:I,0)),"-")</f>
        <v/>
      </c>
    </row>
    <row r="60">
      <c r="A60" s="174" t="n">
        <v>8</v>
      </c>
      <c r="B60" s="175">
        <f>IFERROR(INDEX(MASTER_AR_REPORT!E:E,MATCH(LARGE(MASTER_AR_REPORT!I:I,8),MASTER_AR_REPORT!I:I,0)),"-")</f>
        <v/>
      </c>
      <c r="C60" s="140">
        <f>IFERROR(LARGE(MASTER_AR_REPORT!I:I,8),"-")</f>
        <v/>
      </c>
      <c r="D60" s="140">
        <f>IFERROR(INDEX(MASTER_AR_REPORT!J:J,MATCH(LARGE(MASTER_AR_REPORT!I:I,8),MASTER_AR_REPORT!I:I,0)),"-")</f>
        <v/>
      </c>
      <c r="E60" s="175">
        <f>IFERROR(INDEX(MASTER_AR_REPORT!B:B,MATCH(LARGE(MASTER_AR_REPORT!I:I,8),MASTER_AR_REPORT!I:I,0)),"-")</f>
        <v/>
      </c>
      <c r="F60" s="175">
        <f>IFERROR(INDEX(MASTER_AR_REPORT!L:L,MATCH(LARGE(MASTER_AR_REPORT!I:I,8),MASTER_AR_REPORT!I:I,0)),"-")</f>
        <v/>
      </c>
      <c r="G60" s="175">
        <f>IFERROR(INDEX(MASTER_AR_REPORT!D:D,MATCH(LARGE(MASTER_AR_REPORT!I:I,8),MASTER_AR_REPORT!I:I,0)),"-")</f>
        <v/>
      </c>
    </row>
    <row r="61">
      <c r="A61" s="174" t="n">
        <v>9</v>
      </c>
      <c r="B61" s="175">
        <f>IFERROR(INDEX(MASTER_AR_REPORT!E:E,MATCH(LARGE(MASTER_AR_REPORT!I:I,9),MASTER_AR_REPORT!I:I,0)),"-")</f>
        <v/>
      </c>
      <c r="C61" s="140">
        <f>IFERROR(LARGE(MASTER_AR_REPORT!I:I,9),"-")</f>
        <v/>
      </c>
      <c r="D61" s="140">
        <f>IFERROR(INDEX(MASTER_AR_REPORT!J:J,MATCH(LARGE(MASTER_AR_REPORT!I:I,9),MASTER_AR_REPORT!I:I,0)),"-")</f>
        <v/>
      </c>
      <c r="E61" s="175">
        <f>IFERROR(INDEX(MASTER_AR_REPORT!B:B,MATCH(LARGE(MASTER_AR_REPORT!I:I,9),MASTER_AR_REPORT!I:I,0)),"-")</f>
        <v/>
      </c>
      <c r="F61" s="175">
        <f>IFERROR(INDEX(MASTER_AR_REPORT!L:L,MATCH(LARGE(MASTER_AR_REPORT!I:I,9),MASTER_AR_REPORT!I:I,0)),"-")</f>
        <v/>
      </c>
      <c r="G61" s="175">
        <f>IFERROR(INDEX(MASTER_AR_REPORT!D:D,MATCH(LARGE(MASTER_AR_REPORT!I:I,9),MASTER_AR_REPORT!I:I,0)),"-")</f>
        <v/>
      </c>
    </row>
    <row r="62">
      <c r="A62" s="174" t="n">
        <v>10</v>
      </c>
      <c r="B62" s="175">
        <f>IFERROR(INDEX(MASTER_AR_REPORT!E:E,MATCH(LARGE(MASTER_AR_REPORT!I:I,10),MASTER_AR_REPORT!I:I,0)),"-")</f>
        <v/>
      </c>
      <c r="C62" s="140">
        <f>IFERROR(LARGE(MASTER_AR_REPORT!I:I,10),"-")</f>
        <v/>
      </c>
      <c r="D62" s="140">
        <f>IFERROR(INDEX(MASTER_AR_REPORT!J:J,MATCH(LARGE(MASTER_AR_REPORT!I:I,10),MASTER_AR_REPORT!I:I,0)),"-")</f>
        <v/>
      </c>
      <c r="E62" s="175">
        <f>IFERROR(INDEX(MASTER_AR_REPORT!B:B,MATCH(LARGE(MASTER_AR_REPORT!I:I,10),MASTER_AR_REPORT!I:I,0)),"-")</f>
        <v/>
      </c>
      <c r="F62" s="175">
        <f>IFERROR(INDEX(MASTER_AR_REPORT!L:L,MATCH(LARGE(MASTER_AR_REPORT!I:I,10),MASTER_AR_REPORT!I:I,0)),"-")</f>
        <v/>
      </c>
      <c r="G62" s="175">
        <f>IFERROR(INDEX(MASTER_AR_REPORT!D:D,MATCH(LARGE(MASTER_AR_REPORT!I:I,10),MASTER_AR_REPORT!I:I,0)),"-")</f>
        <v/>
      </c>
    </row>
    <row r="64" ht="15.6" customHeight="1" s="243">
      <c r="A64" s="111" t="inlineStr">
        <is>
          <t>CALL STATUS SUMMARY</t>
        </is>
      </c>
    </row>
    <row r="65">
      <c r="A65" s="176" t="inlineStr">
        <is>
          <t>Status</t>
        </is>
      </c>
      <c r="B65" s="176" t="inlineStr">
        <is>
          <t>Count</t>
        </is>
      </c>
    </row>
    <row r="66">
      <c r="A66" s="175" t="inlineStr">
        <is>
          <t>Pending</t>
        </is>
      </c>
      <c r="B66" s="174">
        <f>COUNTIFS(CALLING_LIST!K:K,"Pending")</f>
        <v/>
      </c>
    </row>
    <row r="67">
      <c r="A67" s="175" t="inlineStr">
        <is>
          <t>Completed</t>
        </is>
      </c>
      <c r="B67" s="174">
        <f>COUNTIFS(CALLING_LIST!K:K,"Completed")</f>
        <v/>
      </c>
    </row>
    <row r="68">
      <c r="A68" s="175" t="inlineStr">
        <is>
          <t>Follow-up</t>
        </is>
      </c>
      <c r="B68" s="174">
        <f>COUNTIFS(CALLING_LIST!K:K,"Follow-up")</f>
        <v/>
      </c>
    </row>
    <row r="69">
      <c r="A69" s="175" t="inlineStr">
        <is>
          <t>Not Reachable</t>
        </is>
      </c>
      <c r="B69" s="174">
        <f>COUNTIFS(CALLING_LIST!K:K,"Not Reachable")</f>
        <v/>
      </c>
    </row>
    <row r="70">
      <c r="A70" s="175" t="inlineStr">
        <is>
          <t>Paid</t>
        </is>
      </c>
      <c r="B70" s="174">
        <f>COUNTIFS(CALLING_LIST!K:K,"Paid")</f>
        <v/>
      </c>
    </row>
    <row r="71">
      <c r="A71" s="133" t="inlineStr">
        <is>
          <t>TOTAL</t>
        </is>
      </c>
      <c r="B71" s="134">
        <f>SUM(B66:B70)</f>
        <v/>
      </c>
    </row>
  </sheetData>
  <mergeCells count="26">
    <mergeCell ref="C5:D5"/>
    <mergeCell ref="E5:F5"/>
    <mergeCell ref="K5:L5"/>
    <mergeCell ref="G8:H8"/>
    <mergeCell ref="E8:F8"/>
    <mergeCell ref="C4:D4"/>
    <mergeCell ref="A2:L2"/>
    <mergeCell ref="E4:F4"/>
    <mergeCell ref="A7:B7"/>
    <mergeCell ref="G7:H7"/>
    <mergeCell ref="I7:J7"/>
    <mergeCell ref="K8:L8"/>
    <mergeCell ref="A5:B5"/>
    <mergeCell ref="G5:H5"/>
    <mergeCell ref="I5:J5"/>
    <mergeCell ref="I8:J8"/>
    <mergeCell ref="A8:B8"/>
    <mergeCell ref="C8:D8"/>
    <mergeCell ref="A4:B4"/>
    <mergeCell ref="G4:H4"/>
    <mergeCell ref="K7:L7"/>
    <mergeCell ref="I4:J4"/>
    <mergeCell ref="C7:D7"/>
    <mergeCell ref="E7:F7"/>
    <mergeCell ref="A1:L1"/>
    <mergeCell ref="K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pane xSplit="1" ySplit="1" topLeftCell="B33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8" customWidth="1" style="243" min="1" max="1"/>
    <col width="12" customWidth="1" style="243" min="2" max="2"/>
    <col width="15" customWidth="1" style="243" min="3" max="3"/>
    <col width="22" customWidth="1" style="243" min="4" max="4"/>
    <col width="30" customWidth="1" style="243" min="5" max="5"/>
    <col width="16" customWidth="1" style="243" min="6" max="6"/>
    <col width="15" customWidth="1" style="243" min="7" max="7"/>
    <col width="14" customWidth="1" style="243" min="8" max="8"/>
    <col width="18" customWidth="1" style="243" min="9" max="9"/>
    <col width="14" customWidth="1" style="243" min="10" max="10"/>
    <col width="16" customWidth="1" style="243" min="11" max="11"/>
    <col width="14" customWidth="1" style="243" min="12" max="12"/>
    <col width="18" customWidth="1" style="243" min="13" max="13"/>
    <col width="14" customWidth="1" style="243" min="14" max="14"/>
  </cols>
  <sheetData>
    <row r="1" ht="30" customHeight="1" s="243">
      <c r="A1" s="177" t="inlineStr">
        <is>
          <t>S.No</t>
        </is>
      </c>
      <c r="B1" s="177" t="inlineStr">
        <is>
          <t>Source Sheet</t>
        </is>
      </c>
      <c r="C1" s="177" t="inlineStr">
        <is>
          <t>Date</t>
        </is>
      </c>
      <c r="D1" s="177" t="inlineStr">
        <is>
          <t>Invoice No</t>
        </is>
      </c>
      <c r="E1" s="177" t="inlineStr">
        <is>
          <t>Customer Name</t>
        </is>
      </c>
      <c r="F1" s="177" t="inlineStr">
        <is>
          <t>Invoice Amount</t>
        </is>
      </c>
      <c r="G1" s="177" t="inlineStr">
        <is>
          <t>Due Date</t>
        </is>
      </c>
      <c r="H1" s="177" t="inlineStr">
        <is>
          <t>Paid Amount</t>
        </is>
      </c>
      <c r="I1" s="177" t="inlineStr">
        <is>
          <t>Outstanding Amount</t>
        </is>
      </c>
      <c r="J1" s="177" t="inlineStr">
        <is>
          <t>Days Overdue</t>
        </is>
      </c>
      <c r="K1" s="177" t="inlineStr">
        <is>
          <t>Aging Bucket</t>
        </is>
      </c>
      <c r="L1" s="177" t="inlineStr">
        <is>
          <t>Risk Level</t>
        </is>
      </c>
      <c r="M1" s="177" t="inlineStr">
        <is>
          <t>Follow-up Priority</t>
        </is>
      </c>
      <c r="N1" s="177" t="inlineStr">
        <is>
          <t>Call Status</t>
        </is>
      </c>
    </row>
    <row r="2">
      <c r="A2" s="178" t="n">
        <v>1</v>
      </c>
      <c r="B2" s="178" t="inlineStr">
        <is>
          <t>Watches</t>
        </is>
      </c>
      <c r="C2" s="179" t="n">
        <v>46144</v>
      </c>
      <c r="D2" s="180" t="inlineStr">
        <is>
          <t>SLGCW/46/26-27</t>
        </is>
      </c>
      <c r="E2" s="180" t="inlineStr">
        <is>
          <t>C. Ramchander Watch Co.</t>
        </is>
      </c>
      <c r="F2" s="181" t="n">
        <v>1400</v>
      </c>
      <c r="G2" s="179" t="n">
        <v>46144</v>
      </c>
      <c r="H2" s="182" t="n">
        <v>0</v>
      </c>
      <c r="I2" s="180">
        <f>MAX(0,F2-H2)</f>
        <v/>
      </c>
      <c r="J2" s="180">
        <f>IF(G2="",0,MAX(0,TODAY()-G2))</f>
        <v/>
      </c>
      <c r="K2" s="180">
        <f>IF(I2&lt;=0,"Current",IF(J2&lt;=30,"0-30 Days",IF(J2&lt;=60,"31-60 Days",IF(J2&lt;=90,"61-90 Days","90+ Days"))))</f>
        <v/>
      </c>
      <c r="L2" s="180">
        <f>IF(I2&lt;=0,"-",IF(J2&lt;=30,"Low",IF(J2&lt;=60,"Low-Medium",IF(J2&lt;=90,"Medium","HIGH RISK"))))</f>
        <v/>
      </c>
      <c r="M2" s="180" t="inlineStr">
        <is>
          <t>We need to give Credit Note</t>
        </is>
      </c>
      <c r="N2" s="180" t="inlineStr">
        <is>
          <t>Pending</t>
        </is>
      </c>
    </row>
    <row r="3">
      <c r="A3" s="183" t="n">
        <v>2</v>
      </c>
      <c r="B3" s="183" t="inlineStr">
        <is>
          <t>Watches</t>
        </is>
      </c>
      <c r="C3" s="184" t="n">
        <v>45716</v>
      </c>
      <c r="D3" s="185" t="inlineStr">
        <is>
          <t>SLGCW/1077/24-25</t>
        </is>
      </c>
      <c r="E3" s="185" t="inlineStr">
        <is>
          <t>KHALEEL WATCH CO.</t>
        </is>
      </c>
      <c r="F3" s="186" t="n">
        <v>159.67</v>
      </c>
      <c r="G3" s="184" t="n">
        <v>45716</v>
      </c>
      <c r="H3" s="187" t="n">
        <v>0</v>
      </c>
      <c r="I3" s="185">
        <f>MAX(0,F3-H3)</f>
        <v/>
      </c>
      <c r="J3" s="185">
        <f>IF(G3="",0,MAX(0,TODAY()-G3))</f>
        <v/>
      </c>
      <c r="K3" s="185">
        <f>IF(I3&lt;=0,"Current",IF(J3&lt;=30,"0-30 Days",IF(J3&lt;=60,"31-60 Days",IF(J3&lt;=90,"61-90 Days","90+ Days"))))</f>
        <v/>
      </c>
      <c r="L3" s="185">
        <f>IF(I3&lt;=0,"-",IF(J3&lt;=30,"Low",IF(J3&lt;=60,"Low-Medium",IF(J3&lt;=90,"Medium","HIGH RISK"))))</f>
        <v/>
      </c>
      <c r="M3" s="185" t="inlineStr">
        <is>
          <t>Sponge Not recived - Send DSO</t>
        </is>
      </c>
      <c r="N3" s="185" t="inlineStr">
        <is>
          <t>Pending</t>
        </is>
      </c>
    </row>
    <row r="4">
      <c r="A4" s="188" t="n">
        <v>3</v>
      </c>
      <c r="B4" s="188" t="inlineStr">
        <is>
          <t>Watches</t>
        </is>
      </c>
      <c r="C4" s="189" t="n">
        <v>46013</v>
      </c>
      <c r="D4" s="190" t="inlineStr">
        <is>
          <t>SLGCW/1035/25-26</t>
        </is>
      </c>
      <c r="E4" s="190" t="inlineStr">
        <is>
          <t>KHALEEL WATCH CO.</t>
        </is>
      </c>
      <c r="F4" s="191" t="n">
        <v>383</v>
      </c>
      <c r="G4" s="189" t="n">
        <v>46043</v>
      </c>
      <c r="H4" s="192" t="n">
        <v>383</v>
      </c>
      <c r="I4" s="190">
        <f>MAX(0,F4-H4)</f>
        <v/>
      </c>
      <c r="J4" s="190">
        <f>IF(G4="",0,MAX(0,TODAY()-G4))</f>
        <v/>
      </c>
      <c r="K4" s="190">
        <f>IF(I4&lt;=0,"Current",IF(J4&lt;=30,"0-30 Days",IF(J4&lt;=60,"31-60 Days",IF(J4&lt;=90,"61-90 Days","90+ Days"))))</f>
        <v/>
      </c>
      <c r="L4" s="190">
        <f>IF(I4&lt;=0,"-",IF(J4&lt;=30,"Low",IF(J4&lt;=60,"Low-Medium",IF(J4&lt;=90,"Medium","HIGH RISK"))))</f>
        <v/>
      </c>
      <c r="M4" s="190" t="inlineStr">
        <is>
          <t>Paid Online</t>
        </is>
      </c>
      <c r="N4" s="190" t="inlineStr">
        <is>
          <t>Pending</t>
        </is>
      </c>
    </row>
    <row r="5">
      <c r="A5" s="183" t="n">
        <v>4</v>
      </c>
      <c r="B5" s="183" t="inlineStr">
        <is>
          <t>Watches</t>
        </is>
      </c>
      <c r="C5" s="184" t="n">
        <v>45996</v>
      </c>
      <c r="D5" s="185" t="inlineStr">
        <is>
          <t>SLGCW/969/25-26</t>
        </is>
      </c>
      <c r="E5" s="185" t="inlineStr">
        <is>
          <t>KISHORE WATCH CO</t>
        </is>
      </c>
      <c r="F5" s="186" t="n">
        <v>2852</v>
      </c>
      <c r="G5" s="184" t="n">
        <v>46041</v>
      </c>
      <c r="H5" s="187" t="n">
        <v>0</v>
      </c>
      <c r="I5" s="185">
        <f>MAX(0,F5-H5)</f>
        <v/>
      </c>
      <c r="J5" s="185">
        <f>IF(G5="",0,MAX(0,TODAY()-G5))</f>
        <v/>
      </c>
      <c r="K5" s="185">
        <f>IF(I5&lt;=0,"Current",IF(J5&lt;=30,"0-30 Days",IF(J5&lt;=60,"31-60 Days",IF(J5&lt;=90,"61-90 Days","90+ Days"))))</f>
        <v/>
      </c>
      <c r="L5" s="185">
        <f>IF(I5&lt;=0,"-",IF(J5&lt;=30,"Low",IF(J5&lt;=60,"Low-Medium",IF(J5&lt;=90,"Medium","HIGH RISK"))))</f>
        <v/>
      </c>
      <c r="M5" s="185" t="inlineStr">
        <is>
          <t>Bill not available</t>
        </is>
      </c>
      <c r="N5" s="185" t="inlineStr">
        <is>
          <t>Pending</t>
        </is>
      </c>
    </row>
    <row r="6">
      <c r="A6" s="193" t="n">
        <v>5</v>
      </c>
      <c r="B6" s="193" t="inlineStr">
        <is>
          <t>Watches</t>
        </is>
      </c>
      <c r="C6" s="194" t="n">
        <v>46139</v>
      </c>
      <c r="D6" s="195" t="inlineStr">
        <is>
          <t>SLGCW/25/26-27</t>
        </is>
      </c>
      <c r="E6" s="195" t="inlineStr">
        <is>
          <t>KISHORE WATCH CO</t>
        </is>
      </c>
      <c r="F6" s="196" t="n">
        <v>196667</v>
      </c>
      <c r="G6" s="194" t="n">
        <v>46184</v>
      </c>
      <c r="H6" s="197" t="n">
        <v>0</v>
      </c>
      <c r="I6" s="195">
        <f>MAX(0,F6-H6)</f>
        <v/>
      </c>
      <c r="J6" s="195">
        <f>IF(G6="",0,MAX(0,TODAY()-G6))</f>
        <v/>
      </c>
      <c r="K6" s="195">
        <f>IF(I6&lt;=0,"Current",IF(J6&lt;=30,"0-30 Days",IF(J6&lt;=60,"31-60 Days",IF(J6&lt;=90,"61-90 Days","90+ Days"))))</f>
        <v/>
      </c>
      <c r="L6" s="195">
        <f>IF(I6&lt;=0,"-",IF(J6&lt;=30,"Low",IF(J6&lt;=60,"Low-Medium",IF(J6&lt;=90,"Medium","HIGH RISK"))))</f>
        <v/>
      </c>
      <c r="M6" s="195" t="inlineStr"/>
      <c r="N6" s="195" t="inlineStr">
        <is>
          <t>Pending</t>
        </is>
      </c>
    </row>
    <row r="7">
      <c r="A7" s="193" t="n">
        <v>6</v>
      </c>
      <c r="B7" s="193" t="inlineStr">
        <is>
          <t>Watches</t>
        </is>
      </c>
      <c r="C7" s="194" t="n">
        <v>46144</v>
      </c>
      <c r="D7" s="195" t="inlineStr">
        <is>
          <t>SLGCW/51/26-27</t>
        </is>
      </c>
      <c r="E7" s="195" t="inlineStr">
        <is>
          <t>KISHORE WATCH CO</t>
        </is>
      </c>
      <c r="F7" s="196" t="n">
        <v>9035</v>
      </c>
      <c r="G7" s="194" t="n">
        <v>46189</v>
      </c>
      <c r="H7" s="197" t="n">
        <v>0</v>
      </c>
      <c r="I7" s="195">
        <f>MAX(0,F7-H7)</f>
        <v/>
      </c>
      <c r="J7" s="195">
        <f>IF(G7="",0,MAX(0,TODAY()-G7))</f>
        <v/>
      </c>
      <c r="K7" s="195">
        <f>IF(I7&lt;=0,"Current",IF(J7&lt;=30,"0-30 Days",IF(J7&lt;=60,"31-60 Days",IF(J7&lt;=90,"61-90 Days","90+ Days"))))</f>
        <v/>
      </c>
      <c r="L7" s="195">
        <f>IF(I7&lt;=0,"-",IF(J7&lt;=30,"Low",IF(J7&lt;=60,"Low-Medium",IF(J7&lt;=90,"Medium","HIGH RISK"))))</f>
        <v/>
      </c>
      <c r="M7" s="195" t="inlineStr"/>
      <c r="N7" s="195" t="inlineStr">
        <is>
          <t>Pending</t>
        </is>
      </c>
    </row>
    <row r="8">
      <c r="A8" s="193" t="n">
        <v>7</v>
      </c>
      <c r="B8" s="193" t="inlineStr">
        <is>
          <t>Watches</t>
        </is>
      </c>
      <c r="C8" s="194" t="n">
        <v>46148</v>
      </c>
      <c r="D8" s="195" t="inlineStr">
        <is>
          <t>SLGCW/59/26-27</t>
        </is>
      </c>
      <c r="E8" s="195" t="inlineStr">
        <is>
          <t>KISHORE WATCH CO</t>
        </is>
      </c>
      <c r="F8" s="196" t="n">
        <v>19731</v>
      </c>
      <c r="G8" s="194" t="n">
        <v>46193</v>
      </c>
      <c r="H8" s="197" t="n">
        <v>0</v>
      </c>
      <c r="I8" s="195">
        <f>MAX(0,F8-H8)</f>
        <v/>
      </c>
      <c r="J8" s="195">
        <f>IF(G8="",0,MAX(0,TODAY()-G8))</f>
        <v/>
      </c>
      <c r="K8" s="195">
        <f>IF(I8&lt;=0,"Current",IF(J8&lt;=30,"0-30 Days",IF(J8&lt;=60,"31-60 Days",IF(J8&lt;=90,"61-90 Days","90+ Days"))))</f>
        <v/>
      </c>
      <c r="L8" s="195">
        <f>IF(I8&lt;=0,"-",IF(J8&lt;=30,"Low",IF(J8&lt;=60,"Low-Medium",IF(J8&lt;=90,"Medium","HIGH RISK"))))</f>
        <v/>
      </c>
      <c r="M8" s="195" t="inlineStr"/>
      <c r="N8" s="195" t="inlineStr">
        <is>
          <t>Pending</t>
        </is>
      </c>
    </row>
    <row r="9">
      <c r="A9" s="193" t="n">
        <v>8</v>
      </c>
      <c r="B9" s="193" t="inlineStr">
        <is>
          <t>Watches</t>
        </is>
      </c>
      <c r="C9" s="194" t="n">
        <v>46136</v>
      </c>
      <c r="D9" s="195" t="inlineStr">
        <is>
          <t>SLGCW/15/26-27</t>
        </is>
      </c>
      <c r="E9" s="195" t="inlineStr">
        <is>
          <t>Maruti watche &amp; electronics</t>
        </is>
      </c>
      <c r="F9" s="196" t="n">
        <v>13163</v>
      </c>
      <c r="G9" s="194" t="n">
        <v>46181</v>
      </c>
      <c r="H9" s="197" t="n">
        <v>0</v>
      </c>
      <c r="I9" s="195">
        <f>MAX(0,F9-H9)</f>
        <v/>
      </c>
      <c r="J9" s="195">
        <f>IF(G9="",0,MAX(0,TODAY()-G9))</f>
        <v/>
      </c>
      <c r="K9" s="195">
        <f>IF(I9&lt;=0,"Current",IF(J9&lt;=30,"0-30 Days",IF(J9&lt;=60,"31-60 Days",IF(J9&lt;=90,"61-90 Days","90+ Days"))))</f>
        <v/>
      </c>
      <c r="L9" s="195">
        <f>IF(I9&lt;=0,"-",IF(J9&lt;=30,"Low",IF(J9&lt;=60,"Low-Medium",IF(J9&lt;=90,"Medium","HIGH RISK"))))</f>
        <v/>
      </c>
      <c r="M9" s="195" t="inlineStr"/>
      <c r="N9" s="195" t="inlineStr">
        <is>
          <t>Pending</t>
        </is>
      </c>
    </row>
    <row r="10">
      <c r="A10" s="193" t="n">
        <v>9</v>
      </c>
      <c r="B10" s="193" t="inlineStr">
        <is>
          <t>Watches</t>
        </is>
      </c>
      <c r="C10" s="194" t="n">
        <v>46142</v>
      </c>
      <c r="D10" s="195" t="inlineStr">
        <is>
          <t>SLGCW/40/26-27</t>
        </is>
      </c>
      <c r="E10" s="195" t="inlineStr">
        <is>
          <t>Maruti watche &amp; electronics</t>
        </is>
      </c>
      <c r="F10" s="196" t="n">
        <v>48979</v>
      </c>
      <c r="G10" s="194" t="n">
        <v>46187</v>
      </c>
      <c r="H10" s="197" t="n">
        <v>0</v>
      </c>
      <c r="I10" s="195">
        <f>MAX(0,F10-H10)</f>
        <v/>
      </c>
      <c r="J10" s="195">
        <f>IF(G10="",0,MAX(0,TODAY()-G10))</f>
        <v/>
      </c>
      <c r="K10" s="195">
        <f>IF(I10&lt;=0,"Current",IF(J10&lt;=30,"0-30 Days",IF(J10&lt;=60,"31-60 Days",IF(J10&lt;=90,"61-90 Days","90+ Days"))))</f>
        <v/>
      </c>
      <c r="L10" s="195">
        <f>IF(I10&lt;=0,"-",IF(J10&lt;=30,"Low",IF(J10&lt;=60,"Low-Medium",IF(J10&lt;=90,"Medium","HIGH RISK"))))</f>
        <v/>
      </c>
      <c r="M10" s="195" t="inlineStr"/>
      <c r="N10" s="195" t="inlineStr">
        <is>
          <t>Pending</t>
        </is>
      </c>
    </row>
    <row r="11">
      <c r="A11" s="193" t="n">
        <v>10</v>
      </c>
      <c r="B11" s="193" t="inlineStr">
        <is>
          <t>Watches</t>
        </is>
      </c>
      <c r="C11" s="194" t="n">
        <v>46144</v>
      </c>
      <c r="D11" s="195" t="inlineStr">
        <is>
          <t>SLGCW/53/26-27</t>
        </is>
      </c>
      <c r="E11" s="195" t="inlineStr">
        <is>
          <t>Maruti watche &amp; electronics</t>
        </is>
      </c>
      <c r="F11" s="196" t="n">
        <v>22969</v>
      </c>
      <c r="G11" s="194" t="n">
        <v>46189</v>
      </c>
      <c r="H11" s="197" t="n">
        <v>0</v>
      </c>
      <c r="I11" s="195">
        <f>MAX(0,F11-H11)</f>
        <v/>
      </c>
      <c r="J11" s="195">
        <f>IF(G11="",0,MAX(0,TODAY()-G11))</f>
        <v/>
      </c>
      <c r="K11" s="195">
        <f>IF(I11&lt;=0,"Current",IF(J11&lt;=30,"0-30 Days",IF(J11&lt;=60,"31-60 Days",IF(J11&lt;=90,"61-90 Days","90+ Days"))))</f>
        <v/>
      </c>
      <c r="L11" s="195">
        <f>IF(I11&lt;=0,"-",IF(J11&lt;=30,"Low",IF(J11&lt;=60,"Low-Medium",IF(J11&lt;=90,"Medium","HIGH RISK"))))</f>
        <v/>
      </c>
      <c r="M11" s="195" t="inlineStr"/>
      <c r="N11" s="195" t="inlineStr">
        <is>
          <t>Pending</t>
        </is>
      </c>
    </row>
    <row r="12">
      <c r="A12" s="178" t="n">
        <v>11</v>
      </c>
      <c r="B12" s="178" t="inlineStr">
        <is>
          <t>Watches</t>
        </is>
      </c>
      <c r="C12" s="179" t="n">
        <v>46149</v>
      </c>
      <c r="D12" s="180" t="inlineStr">
        <is>
          <t>SLGCW/61/26-27</t>
        </is>
      </c>
      <c r="E12" s="180" t="inlineStr">
        <is>
          <t>Maruti watche &amp; electronics</t>
        </is>
      </c>
      <c r="F12" s="181" t="n">
        <v>14355</v>
      </c>
      <c r="G12" s="179" t="n">
        <v>46150</v>
      </c>
      <c r="H12" s="182" t="n">
        <v>0</v>
      </c>
      <c r="I12" s="180">
        <f>MAX(0,F12-H12)</f>
        <v/>
      </c>
      <c r="J12" s="180">
        <f>IF(G12="",0,MAX(0,TODAY()-G12))</f>
        <v/>
      </c>
      <c r="K12" s="180">
        <f>IF(I12&lt;=0,"Current",IF(J12&lt;=30,"0-30 Days",IF(J12&lt;=60,"31-60 Days",IF(J12&lt;=90,"61-90 Days","90+ Days"))))</f>
        <v/>
      </c>
      <c r="L12" s="180">
        <f>IF(I12&lt;=0,"-",IF(J12&lt;=30,"Low",IF(J12&lt;=60,"Low-Medium",IF(J12&lt;=90,"Medium","HIGH RISK"))))</f>
        <v/>
      </c>
      <c r="M12" s="180" t="inlineStr">
        <is>
          <t>Number Busy</t>
        </is>
      </c>
      <c r="N12" s="180" t="inlineStr">
        <is>
          <t>Pending</t>
        </is>
      </c>
    </row>
    <row r="13">
      <c r="A13" s="198" t="n">
        <v>12</v>
      </c>
      <c r="B13" s="198" t="inlineStr">
        <is>
          <t>Watches</t>
        </is>
      </c>
      <c r="C13" s="199" t="n">
        <v>46157</v>
      </c>
      <c r="D13" s="200" t="inlineStr">
        <is>
          <t>SLGCW/65/26-27</t>
        </is>
      </c>
      <c r="E13" s="200" t="inlineStr">
        <is>
          <t>Maruti watche &amp; electronics</t>
        </is>
      </c>
      <c r="F13" s="201" t="n">
        <v>3281</v>
      </c>
      <c r="G13" s="199" t="n">
        <v>46158</v>
      </c>
      <c r="H13" s="202" t="n">
        <v>0</v>
      </c>
      <c r="I13" s="200">
        <f>MAX(0,F13-H13)</f>
        <v/>
      </c>
      <c r="J13" s="200">
        <f>IF(G13="",0,MAX(0,TODAY()-G13))</f>
        <v/>
      </c>
      <c r="K13" s="200">
        <f>IF(I13&lt;=0,"Current",IF(J13&lt;=30,"0-30 Days",IF(J13&lt;=60,"31-60 Days",IF(J13&lt;=90,"61-90 Days","90+ Days"))))</f>
        <v/>
      </c>
      <c r="L13" s="200">
        <f>IF(I13&lt;=0,"-",IF(J13&lt;=30,"Low",IF(J13&lt;=60,"Low-Medium",IF(J13&lt;=90,"Medium","HIGH RISK"))))</f>
        <v/>
      </c>
      <c r="M13" s="200" t="inlineStr">
        <is>
          <t>Number Busy</t>
        </is>
      </c>
      <c r="N13" s="200" t="inlineStr">
        <is>
          <t>Pending</t>
        </is>
      </c>
    </row>
    <row r="14">
      <c r="A14" s="178" t="n">
        <v>13</v>
      </c>
      <c r="B14" s="178" t="inlineStr">
        <is>
          <t>Watches</t>
        </is>
      </c>
      <c r="C14" s="179" t="n">
        <v>46158</v>
      </c>
      <c r="D14" s="180" t="inlineStr">
        <is>
          <t>SLGCW/67/26-27</t>
        </is>
      </c>
      <c r="E14" s="180" t="inlineStr">
        <is>
          <t>Maruti watche &amp; electronics</t>
        </is>
      </c>
      <c r="F14" s="181" t="n">
        <v>8756</v>
      </c>
      <c r="G14" s="179" t="n">
        <v>46159</v>
      </c>
      <c r="H14" s="182" t="n">
        <v>0</v>
      </c>
      <c r="I14" s="180">
        <f>MAX(0,F14-H14)</f>
        <v/>
      </c>
      <c r="J14" s="180">
        <f>IF(G14="",0,MAX(0,TODAY()-G14))</f>
        <v/>
      </c>
      <c r="K14" s="180">
        <f>IF(I14&lt;=0,"Current",IF(J14&lt;=30,"0-30 Days",IF(J14&lt;=60,"31-60 Days",IF(J14&lt;=90,"61-90 Days","90+ Days"))))</f>
        <v/>
      </c>
      <c r="L14" s="180">
        <f>IF(I14&lt;=0,"-",IF(J14&lt;=30,"Low",IF(J14&lt;=60,"Low-Medium",IF(J14&lt;=90,"Medium","HIGH RISK"))))</f>
        <v/>
      </c>
      <c r="M14" s="180" t="inlineStr">
        <is>
          <t>Number Busy</t>
        </is>
      </c>
      <c r="N14" s="180" t="inlineStr">
        <is>
          <t>Pending</t>
        </is>
      </c>
    </row>
    <row r="15">
      <c r="A15" s="183" t="n">
        <v>14</v>
      </c>
      <c r="B15" s="183" t="inlineStr">
        <is>
          <t>Watches</t>
        </is>
      </c>
      <c r="C15" s="184" t="n">
        <v>45705</v>
      </c>
      <c r="D15" s="185" t="inlineStr">
        <is>
          <t>SLGCW/1043/24-25</t>
        </is>
      </c>
      <c r="E15" s="185" t="inlineStr">
        <is>
          <t>MILAP GENERAL STORES</t>
        </is>
      </c>
      <c r="F15" s="186" t="n">
        <v>560</v>
      </c>
      <c r="G15" s="184" t="n">
        <v>45705</v>
      </c>
      <c r="H15" s="187" t="n">
        <v>0</v>
      </c>
      <c r="I15" s="185">
        <f>MAX(0,F15-H15)</f>
        <v/>
      </c>
      <c r="J15" s="185">
        <f>IF(G15="",0,MAX(0,TODAY()-G15))</f>
        <v/>
      </c>
      <c r="K15" s="185">
        <f>IF(I15&lt;=0,"Current",IF(J15&lt;=30,"0-30 Days",IF(J15&lt;=60,"31-60 Days",IF(J15&lt;=90,"61-90 Days","90+ Days"))))</f>
        <v/>
      </c>
      <c r="L15" s="185">
        <f>IF(I15&lt;=0,"-",IF(J15&lt;=30,"Low",IF(J15&lt;=60,"Low-Medium",IF(J15&lt;=90,"Medium","HIGH RISK"))))</f>
        <v/>
      </c>
      <c r="M15" s="185" t="inlineStr">
        <is>
          <t>Not Lifting Call</t>
        </is>
      </c>
      <c r="N15" s="185" t="inlineStr">
        <is>
          <t>Pending</t>
        </is>
      </c>
    </row>
    <row r="16">
      <c r="A16" s="188" t="n">
        <v>15</v>
      </c>
      <c r="B16" s="188" t="inlineStr">
        <is>
          <t>Watches</t>
        </is>
      </c>
      <c r="C16" s="189" t="n">
        <v>45708</v>
      </c>
      <c r="D16" s="190" t="inlineStr">
        <is>
          <t>SLGCW/1061/24-25</t>
        </is>
      </c>
      <c r="E16" s="190" t="inlineStr">
        <is>
          <t>MILAP GENERAL STORES</t>
        </is>
      </c>
      <c r="F16" s="191" t="n">
        <v>103.36</v>
      </c>
      <c r="G16" s="189" t="n">
        <v>45708</v>
      </c>
      <c r="H16" s="192" t="n">
        <v>0</v>
      </c>
      <c r="I16" s="190">
        <f>MAX(0,F16-H16)</f>
        <v/>
      </c>
      <c r="J16" s="190">
        <f>IF(G16="",0,MAX(0,TODAY()-G16))</f>
        <v/>
      </c>
      <c r="K16" s="190">
        <f>IF(I16&lt;=0,"Current",IF(J16&lt;=30,"0-30 Days",IF(J16&lt;=60,"31-60 Days",IF(J16&lt;=90,"61-90 Days","90+ Days"))))</f>
        <v/>
      </c>
      <c r="L16" s="190">
        <f>IF(I16&lt;=0,"-",IF(J16&lt;=30,"Low",IF(J16&lt;=60,"Low-Medium",IF(J16&lt;=90,"Medium","HIGH RISK"))))</f>
        <v/>
      </c>
      <c r="M16" s="190" t="inlineStr">
        <is>
          <t>Not Lifting Call</t>
        </is>
      </c>
      <c r="N16" s="190" t="inlineStr">
        <is>
          <t>Pending</t>
        </is>
      </c>
    </row>
    <row r="17">
      <c r="A17" s="193" t="n">
        <v>16</v>
      </c>
      <c r="B17" s="193" t="inlineStr">
        <is>
          <t>Watches</t>
        </is>
      </c>
      <c r="C17" s="194" t="n">
        <v>46144</v>
      </c>
      <c r="D17" s="195" t="inlineStr">
        <is>
          <t>SLGCW/58/26-27</t>
        </is>
      </c>
      <c r="E17" s="195" t="inlineStr">
        <is>
          <t>NAZEER &amp; SONS</t>
        </is>
      </c>
      <c r="F17" s="196" t="n">
        <v>14781</v>
      </c>
      <c r="G17" s="194" t="n">
        <v>46174</v>
      </c>
      <c r="H17" s="197" t="n">
        <v>0</v>
      </c>
      <c r="I17" s="195">
        <f>MAX(0,F17-H17)</f>
        <v/>
      </c>
      <c r="J17" s="195">
        <f>IF(G17="",0,MAX(0,TODAY()-G17))</f>
        <v/>
      </c>
      <c r="K17" s="195">
        <f>IF(I17&lt;=0,"Current",IF(J17&lt;=30,"0-30 Days",IF(J17&lt;=60,"31-60 Days",IF(J17&lt;=90,"61-90 Days","90+ Days"))))</f>
        <v/>
      </c>
      <c r="L17" s="195">
        <f>IF(I17&lt;=0,"-",IF(J17&lt;=30,"Low",IF(J17&lt;=60,"Low-Medium",IF(J17&lt;=90,"Medium","HIGH RISK"))))</f>
        <v/>
      </c>
      <c r="M17" s="195" t="inlineStr"/>
      <c r="N17" s="195" t="inlineStr">
        <is>
          <t>Pending</t>
        </is>
      </c>
    </row>
    <row r="18">
      <c r="A18" s="178" t="n">
        <v>17</v>
      </c>
      <c r="B18" s="178" t="inlineStr">
        <is>
          <t>Watches</t>
        </is>
      </c>
      <c r="C18" s="179" t="n">
        <v>46150</v>
      </c>
      <c r="D18" s="180" t="inlineStr">
        <is>
          <t>SLGCW/62/26-27</t>
        </is>
      </c>
      <c r="E18" s="180" t="inlineStr">
        <is>
          <t>NAZEER &amp; SONS</t>
        </is>
      </c>
      <c r="F18" s="181" t="n">
        <v>12783</v>
      </c>
      <c r="G18" s="179" t="n">
        <v>46151</v>
      </c>
      <c r="H18" s="182" t="n">
        <v>12783</v>
      </c>
      <c r="I18" s="180">
        <f>MAX(0,F18-H18)</f>
        <v/>
      </c>
      <c r="J18" s="180">
        <f>IF(G18="",0,MAX(0,TODAY()-G18))</f>
        <v/>
      </c>
      <c r="K18" s="180">
        <f>IF(I18&lt;=0,"Current",IF(J18&lt;=30,"0-30 Days",IF(J18&lt;=60,"31-60 Days",IF(J18&lt;=90,"61-90 Days","90+ Days"))))</f>
        <v/>
      </c>
      <c r="L18" s="180">
        <f>IF(I18&lt;=0,"-",IF(J18&lt;=30,"Low",IF(J18&lt;=60,"Low-Medium",IF(J18&lt;=90,"Medium","HIGH RISK"))))</f>
        <v/>
      </c>
      <c r="M18" s="180" t="inlineStr">
        <is>
          <t>Customer says Cheque already Paid</t>
        </is>
      </c>
      <c r="N18" s="180" t="inlineStr">
        <is>
          <t>Pending</t>
        </is>
      </c>
    </row>
    <row r="19">
      <c r="A19" s="183" t="n">
        <v>18</v>
      </c>
      <c r="B19" s="183" t="inlineStr">
        <is>
          <t>Watches</t>
        </is>
      </c>
      <c r="C19" s="184" t="n">
        <v>45667</v>
      </c>
      <c r="D19" s="185" t="inlineStr">
        <is>
          <t>SLGCW/898/24-25</t>
        </is>
      </c>
      <c r="E19" s="185" t="inlineStr">
        <is>
          <t>RAMESH WATCH CO PVT LTD K-INORBIT</t>
        </is>
      </c>
      <c r="F19" s="186" t="n">
        <v>92000</v>
      </c>
      <c r="G19" s="184" t="n">
        <v>45667</v>
      </c>
      <c r="H19" s="187" t="n">
        <v>0</v>
      </c>
      <c r="I19" s="185">
        <f>MAX(0,F19-H19)</f>
        <v/>
      </c>
      <c r="J19" s="185">
        <f>IF(G19="",0,MAX(0,TODAY()-G19))</f>
        <v/>
      </c>
      <c r="K19" s="185">
        <f>IF(I19&lt;=0,"Current",IF(J19&lt;=30,"0-30 Days",IF(J19&lt;=60,"31-60 Days",IF(J19&lt;=90,"61-90 Days","90+ Days"))))</f>
        <v/>
      </c>
      <c r="L19" s="185">
        <f>IF(I19&lt;=0,"-",IF(J19&lt;=30,"Low",IF(J19&lt;=60,"Low-Medium",IF(J19&lt;=90,"Medium","HIGH RISK"))))</f>
        <v/>
      </c>
      <c r="M19" s="185" t="inlineStr">
        <is>
          <t>Issue</t>
        </is>
      </c>
      <c r="N19" s="185" t="inlineStr">
        <is>
          <t>Pending</t>
        </is>
      </c>
    </row>
    <row r="20">
      <c r="A20" s="203" t="n">
        <v>19</v>
      </c>
      <c r="B20" s="203" t="inlineStr">
        <is>
          <t>Watches</t>
        </is>
      </c>
      <c r="C20" s="204" t="n">
        <v>46044</v>
      </c>
      <c r="D20" s="205" t="inlineStr">
        <is>
          <t>SLGCW/1138/25-26</t>
        </is>
      </c>
      <c r="E20" s="205" t="inlineStr">
        <is>
          <t>RAMESH WATCH CO PVT LTD K-INORBIT</t>
        </is>
      </c>
      <c r="F20" s="206" t="n">
        <v>74393</v>
      </c>
      <c r="G20" s="204" t="n">
        <v>46089</v>
      </c>
      <c r="H20" s="207" t="n">
        <v>0</v>
      </c>
      <c r="I20" s="205">
        <f>MAX(0,F20-H20)</f>
        <v/>
      </c>
      <c r="J20" s="205">
        <f>IF(G20="",0,MAX(0,TODAY()-G20))</f>
        <v/>
      </c>
      <c r="K20" s="205">
        <f>IF(I20&lt;=0,"Current",IF(J20&lt;=30,"0-30 Days",IF(J20&lt;=60,"31-60 Days",IF(J20&lt;=90,"61-90 Days","90+ Days"))))</f>
        <v/>
      </c>
      <c r="L20" s="205">
        <f>IF(I20&lt;=0,"-",IF(J20&lt;=30,"Low",IF(J20&lt;=60,"Low-Medium",IF(J20&lt;=90,"Medium","HIGH RISK"))))</f>
        <v/>
      </c>
      <c r="M20" s="205" t="inlineStr">
        <is>
          <t>DSO will collect</t>
        </is>
      </c>
      <c r="N20" s="205" t="inlineStr">
        <is>
          <t>Pending</t>
        </is>
      </c>
    </row>
    <row r="21">
      <c r="A21" s="208" t="n">
        <v>20</v>
      </c>
      <c r="B21" s="208" t="inlineStr">
        <is>
          <t>Watches</t>
        </is>
      </c>
      <c r="C21" s="209" t="n">
        <v>46045</v>
      </c>
      <c r="D21" s="210" t="inlineStr">
        <is>
          <t>SLGCW/1150/25-26</t>
        </is>
      </c>
      <c r="E21" s="210" t="inlineStr">
        <is>
          <t>RAMESH WATCH CO PVT LTD K-INORBIT</t>
        </is>
      </c>
      <c r="F21" s="211" t="n">
        <v>263334</v>
      </c>
      <c r="G21" s="209" t="n">
        <v>46090</v>
      </c>
      <c r="H21" s="212" t="n">
        <v>0</v>
      </c>
      <c r="I21" s="210">
        <f>MAX(0,F21-H21)</f>
        <v/>
      </c>
      <c r="J21" s="210">
        <f>IF(G21="",0,MAX(0,TODAY()-G21))</f>
        <v/>
      </c>
      <c r="K21" s="210">
        <f>IF(I21&lt;=0,"Current",IF(J21&lt;=30,"0-30 Days",IF(J21&lt;=60,"31-60 Days",IF(J21&lt;=90,"61-90 Days","90+ Days"))))</f>
        <v/>
      </c>
      <c r="L21" s="210">
        <f>IF(I21&lt;=0,"-",IF(J21&lt;=30,"Low",IF(J21&lt;=60,"Low-Medium",IF(J21&lt;=90,"Medium","HIGH RISK"))))</f>
        <v/>
      </c>
      <c r="M21" s="210" t="inlineStr">
        <is>
          <t>DSO will collect</t>
        </is>
      </c>
      <c r="N21" s="210" t="inlineStr">
        <is>
          <t>Pending</t>
        </is>
      </c>
    </row>
    <row r="22">
      <c r="A22" s="203" t="n">
        <v>21</v>
      </c>
      <c r="B22" s="203" t="inlineStr">
        <is>
          <t>Watches</t>
        </is>
      </c>
      <c r="C22" s="204" t="n">
        <v>46045</v>
      </c>
      <c r="D22" s="205" t="inlineStr">
        <is>
          <t>SLGCW/1147/25-26</t>
        </is>
      </c>
      <c r="E22" s="205" t="inlineStr">
        <is>
          <t>RAMESH WATCH CO PVT LTD K-INORBIT</t>
        </is>
      </c>
      <c r="F22" s="206" t="n">
        <v>60364</v>
      </c>
      <c r="G22" s="204" t="n">
        <v>46090</v>
      </c>
      <c r="H22" s="207" t="n">
        <v>0</v>
      </c>
      <c r="I22" s="205">
        <f>MAX(0,F22-H22)</f>
        <v/>
      </c>
      <c r="J22" s="205">
        <f>IF(G22="",0,MAX(0,TODAY()-G22))</f>
        <v/>
      </c>
      <c r="K22" s="205">
        <f>IF(I22&lt;=0,"Current",IF(J22&lt;=30,"0-30 Days",IF(J22&lt;=60,"31-60 Days",IF(J22&lt;=90,"61-90 Days","90+ Days"))))</f>
        <v/>
      </c>
      <c r="L22" s="205">
        <f>IF(I22&lt;=0,"-",IF(J22&lt;=30,"Low",IF(J22&lt;=60,"Low-Medium",IF(J22&lt;=90,"Medium","HIGH RISK"))))</f>
        <v/>
      </c>
      <c r="M22" s="205" t="inlineStr">
        <is>
          <t>DSO will collect</t>
        </is>
      </c>
      <c r="N22" s="205" t="inlineStr">
        <is>
          <t>Pending</t>
        </is>
      </c>
    </row>
    <row r="23">
      <c r="A23" s="208" t="n">
        <v>22</v>
      </c>
      <c r="B23" s="208" t="inlineStr">
        <is>
          <t>Watches</t>
        </is>
      </c>
      <c r="C23" s="209" t="n">
        <v>46045</v>
      </c>
      <c r="D23" s="210" t="inlineStr">
        <is>
          <t>SLGCW/1149/25-26</t>
        </is>
      </c>
      <c r="E23" s="210" t="inlineStr">
        <is>
          <t>RAMESH WATCH CO PVT LTD K-INORBIT</t>
        </is>
      </c>
      <c r="F23" s="211" t="n">
        <v>30132</v>
      </c>
      <c r="G23" s="209" t="n">
        <v>46090</v>
      </c>
      <c r="H23" s="212" t="n">
        <v>0</v>
      </c>
      <c r="I23" s="210">
        <f>MAX(0,F23-H23)</f>
        <v/>
      </c>
      <c r="J23" s="210">
        <f>IF(G23="",0,MAX(0,TODAY()-G23))</f>
        <v/>
      </c>
      <c r="K23" s="210">
        <f>IF(I23&lt;=0,"Current",IF(J23&lt;=30,"0-30 Days",IF(J23&lt;=60,"31-60 Days",IF(J23&lt;=90,"61-90 Days","90+ Days"))))</f>
        <v/>
      </c>
      <c r="L23" s="210">
        <f>IF(I23&lt;=0,"-",IF(J23&lt;=30,"Low",IF(J23&lt;=60,"Low-Medium",IF(J23&lt;=90,"Medium","HIGH RISK"))))</f>
        <v/>
      </c>
      <c r="M23" s="210" t="inlineStr">
        <is>
          <t>DSO will collect</t>
        </is>
      </c>
      <c r="N23" s="210" t="inlineStr">
        <is>
          <t>Pending</t>
        </is>
      </c>
    </row>
    <row r="24">
      <c r="A24" s="203" t="n">
        <v>23</v>
      </c>
      <c r="B24" s="203" t="inlineStr">
        <is>
          <t>Watches</t>
        </is>
      </c>
      <c r="C24" s="204" t="n">
        <v>46055</v>
      </c>
      <c r="D24" s="205" t="inlineStr">
        <is>
          <t>SLGCW/1188/25-26</t>
        </is>
      </c>
      <c r="E24" s="205" t="inlineStr">
        <is>
          <t>RAMESH WATCH CO PVT LTD K-INORBIT</t>
        </is>
      </c>
      <c r="F24" s="206" t="n">
        <v>304908</v>
      </c>
      <c r="G24" s="204" t="n">
        <v>46100</v>
      </c>
      <c r="H24" s="207" t="n">
        <v>0</v>
      </c>
      <c r="I24" s="205">
        <f>MAX(0,F24-H24)</f>
        <v/>
      </c>
      <c r="J24" s="205">
        <f>IF(G24="",0,MAX(0,TODAY()-G24))</f>
        <v/>
      </c>
      <c r="K24" s="205">
        <f>IF(I24&lt;=0,"Current",IF(J24&lt;=30,"0-30 Days",IF(J24&lt;=60,"31-60 Days",IF(J24&lt;=90,"61-90 Days","90+ Days"))))</f>
        <v/>
      </c>
      <c r="L24" s="205">
        <f>IF(I24&lt;=0,"-",IF(J24&lt;=30,"Low",IF(J24&lt;=60,"Low-Medium",IF(J24&lt;=90,"Medium","HIGH RISK"))))</f>
        <v/>
      </c>
      <c r="M24" s="205" t="inlineStr">
        <is>
          <t>DSO will collect</t>
        </is>
      </c>
      <c r="N24" s="205" t="inlineStr">
        <is>
          <t>Pending</t>
        </is>
      </c>
    </row>
    <row r="25">
      <c r="A25" s="213" t="n">
        <v>24</v>
      </c>
      <c r="B25" s="213" t="inlineStr">
        <is>
          <t>Watches</t>
        </is>
      </c>
      <c r="C25" s="214" t="n">
        <v>46067</v>
      </c>
      <c r="D25" s="215" t="inlineStr">
        <is>
          <t>SLGCW/1226/25-26</t>
        </is>
      </c>
      <c r="E25" s="215" t="inlineStr">
        <is>
          <t>RAMESH WATCH CO PVT LTD K-INORBIT</t>
        </is>
      </c>
      <c r="F25" s="216" t="n">
        <v>51332</v>
      </c>
      <c r="G25" s="214" t="n">
        <v>46112</v>
      </c>
      <c r="H25" s="217" t="n">
        <v>0</v>
      </c>
      <c r="I25" s="215">
        <f>MAX(0,F25-H25)</f>
        <v/>
      </c>
      <c r="J25" s="215">
        <f>IF(G25="",0,MAX(0,TODAY()-G25))</f>
        <v/>
      </c>
      <c r="K25" s="215">
        <f>IF(I25&lt;=0,"Current",IF(J25&lt;=30,"0-30 Days",IF(J25&lt;=60,"31-60 Days",IF(J25&lt;=90,"61-90 Days","90+ Days"))))</f>
        <v/>
      </c>
      <c r="L25" s="215">
        <f>IF(I25&lt;=0,"-",IF(J25&lt;=30,"Low",IF(J25&lt;=60,"Low-Medium",IF(J25&lt;=90,"Medium","HIGH RISK"))))</f>
        <v/>
      </c>
      <c r="M25" s="215" t="inlineStr">
        <is>
          <t>DSO will collect</t>
        </is>
      </c>
      <c r="N25" s="215" t="inlineStr">
        <is>
          <t>Pending</t>
        </is>
      </c>
    </row>
    <row r="26">
      <c r="A26" s="218" t="n">
        <v>25</v>
      </c>
      <c r="B26" s="218" t="inlineStr">
        <is>
          <t>Watches</t>
        </is>
      </c>
      <c r="C26" s="219" t="n">
        <v>46076</v>
      </c>
      <c r="D26" s="220" t="inlineStr">
        <is>
          <t>SLGCW/1233/25-26</t>
        </is>
      </c>
      <c r="E26" s="220" t="inlineStr">
        <is>
          <t>RAMESH WATCH CO PVT LTD K-INORBIT</t>
        </is>
      </c>
      <c r="F26" s="221" t="n">
        <v>11979</v>
      </c>
      <c r="G26" s="219" t="n">
        <v>46121</v>
      </c>
      <c r="H26" s="222" t="n">
        <v>0</v>
      </c>
      <c r="I26" s="220">
        <f>MAX(0,F26-H26)</f>
        <v/>
      </c>
      <c r="J26" s="220">
        <f>IF(G26="",0,MAX(0,TODAY()-G26))</f>
        <v/>
      </c>
      <c r="K26" s="220">
        <f>IF(I26&lt;=0,"Current",IF(J26&lt;=30,"0-30 Days",IF(J26&lt;=60,"31-60 Days",IF(J26&lt;=90,"61-90 Days","90+ Days"))))</f>
        <v/>
      </c>
      <c r="L26" s="220">
        <f>IF(I26&lt;=0,"-",IF(J26&lt;=30,"Low",IF(J26&lt;=60,"Low-Medium",IF(J26&lt;=90,"Medium","HIGH RISK"))))</f>
        <v/>
      </c>
      <c r="M26" s="220" t="inlineStr">
        <is>
          <t>DSO will collect</t>
        </is>
      </c>
      <c r="N26" s="220" t="inlineStr">
        <is>
          <t>Pending</t>
        </is>
      </c>
    </row>
    <row r="27">
      <c r="A27" s="213" t="n">
        <v>26</v>
      </c>
      <c r="B27" s="213" t="inlineStr">
        <is>
          <t>Watches</t>
        </is>
      </c>
      <c r="C27" s="214" t="n">
        <v>46076</v>
      </c>
      <c r="D27" s="215" t="inlineStr">
        <is>
          <t>SLGCW/1235/25-26</t>
        </is>
      </c>
      <c r="E27" s="215" t="inlineStr">
        <is>
          <t>RAMESH WATCH CO PVT LTD K-INORBIT</t>
        </is>
      </c>
      <c r="F27" s="216" t="n">
        <v>6291</v>
      </c>
      <c r="G27" s="214" t="n">
        <v>46121</v>
      </c>
      <c r="H27" s="217" t="n">
        <v>0</v>
      </c>
      <c r="I27" s="215">
        <f>MAX(0,F27-H27)</f>
        <v/>
      </c>
      <c r="J27" s="215">
        <f>IF(G27="",0,MAX(0,TODAY()-G27))</f>
        <v/>
      </c>
      <c r="K27" s="215">
        <f>IF(I27&lt;=0,"Current",IF(J27&lt;=30,"0-30 Days",IF(J27&lt;=60,"31-60 Days",IF(J27&lt;=90,"61-90 Days","90+ Days"))))</f>
        <v/>
      </c>
      <c r="L27" s="215">
        <f>IF(I27&lt;=0,"-",IF(J27&lt;=30,"Low",IF(J27&lt;=60,"Low-Medium",IF(J27&lt;=90,"Medium","HIGH RISK"))))</f>
        <v/>
      </c>
      <c r="M27" s="215" t="inlineStr">
        <is>
          <t>DSO will collect</t>
        </is>
      </c>
      <c r="N27" s="215" t="inlineStr">
        <is>
          <t>Pending</t>
        </is>
      </c>
    </row>
    <row r="28">
      <c r="A28" s="218" t="n">
        <v>27</v>
      </c>
      <c r="B28" s="218" t="inlineStr">
        <is>
          <t>Watches</t>
        </is>
      </c>
      <c r="C28" s="219" t="n">
        <v>46076</v>
      </c>
      <c r="D28" s="220" t="inlineStr">
        <is>
          <t>SLGCW/1236/25-26</t>
        </is>
      </c>
      <c r="E28" s="220" t="inlineStr">
        <is>
          <t>RAMESH WATCH CO PVT LTD K-INORBIT</t>
        </is>
      </c>
      <c r="F28" s="221" t="n">
        <v>7296</v>
      </c>
      <c r="G28" s="219" t="n">
        <v>46121</v>
      </c>
      <c r="H28" s="222" t="n">
        <v>0</v>
      </c>
      <c r="I28" s="220">
        <f>MAX(0,F28-H28)</f>
        <v/>
      </c>
      <c r="J28" s="220">
        <f>IF(G28="",0,MAX(0,TODAY()-G28))</f>
        <v/>
      </c>
      <c r="K28" s="220">
        <f>IF(I28&lt;=0,"Current",IF(J28&lt;=30,"0-30 Days",IF(J28&lt;=60,"31-60 Days",IF(J28&lt;=90,"61-90 Days","90+ Days"))))</f>
        <v/>
      </c>
      <c r="L28" s="220">
        <f>IF(I28&lt;=0,"-",IF(J28&lt;=30,"Low",IF(J28&lt;=60,"Low-Medium",IF(J28&lt;=90,"Medium","HIGH RISK"))))</f>
        <v/>
      </c>
      <c r="M28" s="220" t="inlineStr">
        <is>
          <t>DSO will collect</t>
        </is>
      </c>
      <c r="N28" s="220" t="inlineStr">
        <is>
          <t>Pending</t>
        </is>
      </c>
    </row>
    <row r="29">
      <c r="A29" s="213" t="n">
        <v>28</v>
      </c>
      <c r="B29" s="213" t="inlineStr">
        <is>
          <t>Watches</t>
        </is>
      </c>
      <c r="C29" s="214" t="n">
        <v>46090</v>
      </c>
      <c r="D29" s="215" t="inlineStr">
        <is>
          <t>SLGCW/1247/25-26</t>
        </is>
      </c>
      <c r="E29" s="215" t="inlineStr">
        <is>
          <t>RAMESH WATCH CO PVT LTD K-INORBIT</t>
        </is>
      </c>
      <c r="F29" s="216" t="n">
        <v>17417</v>
      </c>
      <c r="G29" s="214" t="n">
        <v>46135</v>
      </c>
      <c r="H29" s="217" t="n">
        <v>0</v>
      </c>
      <c r="I29" s="215">
        <f>MAX(0,F29-H29)</f>
        <v/>
      </c>
      <c r="J29" s="215">
        <f>IF(G29="",0,MAX(0,TODAY()-G29))</f>
        <v/>
      </c>
      <c r="K29" s="215">
        <f>IF(I29&lt;=0,"Current",IF(J29&lt;=30,"0-30 Days",IF(J29&lt;=60,"31-60 Days",IF(J29&lt;=90,"61-90 Days","90+ Days"))))</f>
        <v/>
      </c>
      <c r="L29" s="215">
        <f>IF(I29&lt;=0,"-",IF(J29&lt;=30,"Low",IF(J29&lt;=60,"Low-Medium",IF(J29&lt;=90,"Medium","HIGH RISK"))))</f>
        <v/>
      </c>
      <c r="M29" s="215" t="inlineStr">
        <is>
          <t>DSO will collect</t>
        </is>
      </c>
      <c r="N29" s="215" t="inlineStr">
        <is>
          <t>Pending</t>
        </is>
      </c>
    </row>
    <row r="30">
      <c r="A30" s="178" t="n">
        <v>29</v>
      </c>
      <c r="B30" s="178" t="inlineStr">
        <is>
          <t>Watches</t>
        </is>
      </c>
      <c r="C30" s="179" t="n">
        <v>46121</v>
      </c>
      <c r="D30" s="180" t="inlineStr">
        <is>
          <t>SLGCW/1/26-27</t>
        </is>
      </c>
      <c r="E30" s="180" t="inlineStr">
        <is>
          <t>RAMESH WATCH CO PVT LTD K-INORBIT</t>
        </is>
      </c>
      <c r="F30" s="181" t="n">
        <v>188677</v>
      </c>
      <c r="G30" s="179" t="n">
        <v>46166</v>
      </c>
      <c r="H30" s="182" t="n">
        <v>0</v>
      </c>
      <c r="I30" s="180">
        <f>MAX(0,F30-H30)</f>
        <v/>
      </c>
      <c r="J30" s="180">
        <f>IF(G30="",0,MAX(0,TODAY()-G30))</f>
        <v/>
      </c>
      <c r="K30" s="180">
        <f>IF(I30&lt;=0,"Current",IF(J30&lt;=30,"0-30 Days",IF(J30&lt;=60,"31-60 Days",IF(J30&lt;=90,"61-90 Days","90+ Days"))))</f>
        <v/>
      </c>
      <c r="L30" s="180">
        <f>IF(I30&lt;=0,"-",IF(J30&lt;=30,"Low",IF(J30&lt;=60,"Low-Medium",IF(J30&lt;=90,"Medium","HIGH RISK"))))</f>
        <v/>
      </c>
      <c r="M30" s="180" t="inlineStr">
        <is>
          <t>DSO will collect</t>
        </is>
      </c>
      <c r="N30" s="180" t="inlineStr">
        <is>
          <t>Pending</t>
        </is>
      </c>
    </row>
    <row r="31">
      <c r="A31" s="198" t="n">
        <v>30</v>
      </c>
      <c r="B31" s="198" t="inlineStr">
        <is>
          <t>Watches</t>
        </is>
      </c>
      <c r="C31" s="199" t="n">
        <v>46121</v>
      </c>
      <c r="D31" s="200" t="inlineStr">
        <is>
          <t>SLGCW/2/26-27</t>
        </is>
      </c>
      <c r="E31" s="200" t="inlineStr">
        <is>
          <t>RAMESH WATCH CO PVT LTD K-INORBIT</t>
        </is>
      </c>
      <c r="F31" s="201" t="n">
        <v>125895</v>
      </c>
      <c r="G31" s="199" t="n">
        <v>46166</v>
      </c>
      <c r="H31" s="202" t="n">
        <v>0</v>
      </c>
      <c r="I31" s="200">
        <f>MAX(0,F31-H31)</f>
        <v/>
      </c>
      <c r="J31" s="200">
        <f>IF(G31="",0,MAX(0,TODAY()-G31))</f>
        <v/>
      </c>
      <c r="K31" s="200">
        <f>IF(I31&lt;=0,"Current",IF(J31&lt;=30,"0-30 Days",IF(J31&lt;=60,"31-60 Days",IF(J31&lt;=90,"61-90 Days","90+ Days"))))</f>
        <v/>
      </c>
      <c r="L31" s="200">
        <f>IF(I31&lt;=0,"-",IF(J31&lt;=30,"Low",IF(J31&lt;=60,"Low-Medium",IF(J31&lt;=90,"Medium","HIGH RISK"))))</f>
        <v/>
      </c>
      <c r="M31" s="200" t="inlineStr">
        <is>
          <t>DSO will collect</t>
        </is>
      </c>
      <c r="N31" s="200" t="inlineStr">
        <is>
          <t>Pending</t>
        </is>
      </c>
    </row>
    <row r="32">
      <c r="A32" s="178" t="n">
        <v>31</v>
      </c>
      <c r="B32" s="178" t="inlineStr">
        <is>
          <t>Watches</t>
        </is>
      </c>
      <c r="C32" s="179" t="n">
        <v>46121</v>
      </c>
      <c r="D32" s="180" t="inlineStr">
        <is>
          <t>SLGCW/3/26-27</t>
        </is>
      </c>
      <c r="E32" s="180" t="inlineStr">
        <is>
          <t>RAMESH WATCH CO PVT LTD K-INORBIT</t>
        </is>
      </c>
      <c r="F32" s="181" t="n">
        <v>176081</v>
      </c>
      <c r="G32" s="179" t="n">
        <v>46166</v>
      </c>
      <c r="H32" s="182" t="n">
        <v>0</v>
      </c>
      <c r="I32" s="180">
        <f>MAX(0,F32-H32)</f>
        <v/>
      </c>
      <c r="J32" s="180">
        <f>IF(G32="",0,MAX(0,TODAY()-G32))</f>
        <v/>
      </c>
      <c r="K32" s="180">
        <f>IF(I32&lt;=0,"Current",IF(J32&lt;=30,"0-30 Days",IF(J32&lt;=60,"31-60 Days",IF(J32&lt;=90,"61-90 Days","90+ Days"))))</f>
        <v/>
      </c>
      <c r="L32" s="180">
        <f>IF(I32&lt;=0,"-",IF(J32&lt;=30,"Low",IF(J32&lt;=60,"Low-Medium",IF(J32&lt;=90,"Medium","HIGH RISK"))))</f>
        <v/>
      </c>
      <c r="M32" s="180" t="inlineStr">
        <is>
          <t>DSO will collect</t>
        </is>
      </c>
      <c r="N32" s="180" t="inlineStr">
        <is>
          <t>Pending</t>
        </is>
      </c>
    </row>
    <row r="33">
      <c r="A33" s="198" t="n">
        <v>32</v>
      </c>
      <c r="B33" s="198" t="inlineStr">
        <is>
          <t>Watches</t>
        </is>
      </c>
      <c r="C33" s="199" t="n">
        <v>46121</v>
      </c>
      <c r="D33" s="200" t="inlineStr">
        <is>
          <t>SLGCW/4/26-27</t>
        </is>
      </c>
      <c r="E33" s="200" t="inlineStr">
        <is>
          <t>RAMESH WATCH CO PVT LTD K-INORBIT</t>
        </is>
      </c>
      <c r="F33" s="201" t="n">
        <v>101373</v>
      </c>
      <c r="G33" s="199" t="n">
        <v>46166</v>
      </c>
      <c r="H33" s="202" t="n">
        <v>0</v>
      </c>
      <c r="I33" s="200">
        <f>MAX(0,F33-H33)</f>
        <v/>
      </c>
      <c r="J33" s="200">
        <f>IF(G33="",0,MAX(0,TODAY()-G33))</f>
        <v/>
      </c>
      <c r="K33" s="200">
        <f>IF(I33&lt;=0,"Current",IF(J33&lt;=30,"0-30 Days",IF(J33&lt;=60,"31-60 Days",IF(J33&lt;=90,"61-90 Days","90+ Days"))))</f>
        <v/>
      </c>
      <c r="L33" s="200">
        <f>IF(I33&lt;=0,"-",IF(J33&lt;=30,"Low",IF(J33&lt;=60,"Low-Medium",IF(J33&lt;=90,"Medium","HIGH RISK"))))</f>
        <v/>
      </c>
      <c r="M33" s="200" t="inlineStr">
        <is>
          <t>DSO will collect</t>
        </is>
      </c>
      <c r="N33" s="200" t="inlineStr">
        <is>
          <t>Pending</t>
        </is>
      </c>
    </row>
    <row r="34">
      <c r="A34" s="178" t="n">
        <v>33</v>
      </c>
      <c r="B34" s="178" t="inlineStr">
        <is>
          <t>Watches</t>
        </is>
      </c>
      <c r="C34" s="179" t="n">
        <v>46121</v>
      </c>
      <c r="D34" s="180" t="inlineStr">
        <is>
          <t>SLGCW/5/26-27</t>
        </is>
      </c>
      <c r="E34" s="180" t="inlineStr">
        <is>
          <t>RAMESH WATCH CO PVT LTD K-INORBIT</t>
        </is>
      </c>
      <c r="F34" s="181" t="n">
        <v>16740</v>
      </c>
      <c r="G34" s="179" t="n">
        <v>46166</v>
      </c>
      <c r="H34" s="182" t="n">
        <v>0</v>
      </c>
      <c r="I34" s="180">
        <f>MAX(0,F34-H34)</f>
        <v/>
      </c>
      <c r="J34" s="180">
        <f>IF(G34="",0,MAX(0,TODAY()-G34))</f>
        <v/>
      </c>
      <c r="K34" s="180">
        <f>IF(I34&lt;=0,"Current",IF(J34&lt;=30,"0-30 Days",IF(J34&lt;=60,"31-60 Days",IF(J34&lt;=90,"61-90 Days","90+ Days"))))</f>
        <v/>
      </c>
      <c r="L34" s="180">
        <f>IF(I34&lt;=0,"-",IF(J34&lt;=30,"Low",IF(J34&lt;=60,"Low-Medium",IF(J34&lt;=90,"Medium","HIGH RISK"))))</f>
        <v/>
      </c>
      <c r="M34" s="180" t="inlineStr">
        <is>
          <t>DSO will collect</t>
        </is>
      </c>
      <c r="N34" s="180" t="inlineStr">
        <is>
          <t>Pending</t>
        </is>
      </c>
    </row>
    <row r="35">
      <c r="A35" s="198" t="n">
        <v>34</v>
      </c>
      <c r="B35" s="198" t="inlineStr">
        <is>
          <t>Watches</t>
        </is>
      </c>
      <c r="C35" s="199" t="n">
        <v>46121</v>
      </c>
      <c r="D35" s="200" t="inlineStr">
        <is>
          <t>SLGCW/6/26-27</t>
        </is>
      </c>
      <c r="E35" s="200" t="inlineStr">
        <is>
          <t>RAMESH WATCH CO PVT LTD K-INORBIT</t>
        </is>
      </c>
      <c r="F35" s="201" t="n">
        <v>34833</v>
      </c>
      <c r="G35" s="199" t="n">
        <v>46166</v>
      </c>
      <c r="H35" s="202" t="n">
        <v>0</v>
      </c>
      <c r="I35" s="200">
        <f>MAX(0,F35-H35)</f>
        <v/>
      </c>
      <c r="J35" s="200">
        <f>IF(G35="",0,MAX(0,TODAY()-G35))</f>
        <v/>
      </c>
      <c r="K35" s="200">
        <f>IF(I35&lt;=0,"Current",IF(J35&lt;=30,"0-30 Days",IF(J35&lt;=60,"31-60 Days",IF(J35&lt;=90,"61-90 Days","90+ Days"))))</f>
        <v/>
      </c>
      <c r="L35" s="200">
        <f>IF(I35&lt;=0,"-",IF(J35&lt;=30,"Low",IF(J35&lt;=60,"Low-Medium",IF(J35&lt;=90,"Medium","HIGH RISK"))))</f>
        <v/>
      </c>
      <c r="M35" s="200" t="inlineStr">
        <is>
          <t>DSO will collect</t>
        </is>
      </c>
      <c r="N35" s="200" t="inlineStr">
        <is>
          <t>Pending</t>
        </is>
      </c>
    </row>
    <row r="36">
      <c r="A36" s="178" t="n">
        <v>35</v>
      </c>
      <c r="B36" s="178" t="inlineStr">
        <is>
          <t>Watches</t>
        </is>
      </c>
      <c r="C36" s="179" t="n">
        <v>46121</v>
      </c>
      <c r="D36" s="180" t="inlineStr">
        <is>
          <t>SLGCW/7/26-27</t>
        </is>
      </c>
      <c r="E36" s="180" t="inlineStr">
        <is>
          <t>RAMESH WATCH CO PVT LTD K-INORBIT</t>
        </is>
      </c>
      <c r="F36" s="181" t="n">
        <v>743415</v>
      </c>
      <c r="G36" s="179" t="n">
        <v>46166</v>
      </c>
      <c r="H36" s="182" t="n">
        <v>0</v>
      </c>
      <c r="I36" s="180">
        <f>MAX(0,F36-H36)</f>
        <v/>
      </c>
      <c r="J36" s="180">
        <f>IF(G36="",0,MAX(0,TODAY()-G36))</f>
        <v/>
      </c>
      <c r="K36" s="180">
        <f>IF(I36&lt;=0,"Current",IF(J36&lt;=30,"0-30 Days",IF(J36&lt;=60,"31-60 Days",IF(J36&lt;=90,"61-90 Days","90+ Days"))))</f>
        <v/>
      </c>
      <c r="L36" s="180">
        <f>IF(I36&lt;=0,"-",IF(J36&lt;=30,"Low",IF(J36&lt;=60,"Low-Medium",IF(J36&lt;=90,"Medium","HIGH RISK"))))</f>
        <v/>
      </c>
      <c r="M36" s="180" t="inlineStr">
        <is>
          <t>DSO will collect</t>
        </is>
      </c>
      <c r="N36" s="180" t="inlineStr">
        <is>
          <t>Pending</t>
        </is>
      </c>
    </row>
    <row r="37">
      <c r="A37" s="198" t="n">
        <v>36</v>
      </c>
      <c r="B37" s="198" t="inlineStr">
        <is>
          <t>Watches</t>
        </is>
      </c>
      <c r="C37" s="199" t="n">
        <v>46121</v>
      </c>
      <c r="D37" s="200" t="inlineStr">
        <is>
          <t>SLGCW/8/26-27</t>
        </is>
      </c>
      <c r="E37" s="200" t="inlineStr">
        <is>
          <t>RAMESH WATCH CO PVT LTD K-INORBIT</t>
        </is>
      </c>
      <c r="F37" s="201" t="n">
        <v>371398</v>
      </c>
      <c r="G37" s="199" t="n">
        <v>46166</v>
      </c>
      <c r="H37" s="202" t="n">
        <v>0</v>
      </c>
      <c r="I37" s="200">
        <f>MAX(0,F37-H37)</f>
        <v/>
      </c>
      <c r="J37" s="200">
        <f>IF(G37="",0,MAX(0,TODAY()-G37))</f>
        <v/>
      </c>
      <c r="K37" s="200">
        <f>IF(I37&lt;=0,"Current",IF(J37&lt;=30,"0-30 Days",IF(J37&lt;=60,"31-60 Days",IF(J37&lt;=90,"61-90 Days","90+ Days"))))</f>
        <v/>
      </c>
      <c r="L37" s="200">
        <f>IF(I37&lt;=0,"-",IF(J37&lt;=30,"Low",IF(J37&lt;=60,"Low-Medium",IF(J37&lt;=90,"Medium","HIGH RISK"))))</f>
        <v/>
      </c>
      <c r="M37" s="200" t="inlineStr">
        <is>
          <t>DSO will collect</t>
        </is>
      </c>
      <c r="N37" s="200" t="inlineStr">
        <is>
          <t>Pending</t>
        </is>
      </c>
    </row>
    <row r="38">
      <c r="A38" s="193" t="n">
        <v>37</v>
      </c>
      <c r="B38" s="193" t="inlineStr">
        <is>
          <t>Watches</t>
        </is>
      </c>
      <c r="C38" s="194" t="n">
        <v>46137</v>
      </c>
      <c r="D38" s="195" t="inlineStr">
        <is>
          <t>SLGCW/22/26-27</t>
        </is>
      </c>
      <c r="E38" s="195" t="inlineStr">
        <is>
          <t>RAMESH WATCH CO PVT LTD K-INORBIT</t>
        </is>
      </c>
      <c r="F38" s="196" t="n">
        <v>111145</v>
      </c>
      <c r="G38" s="194" t="n">
        <v>46182</v>
      </c>
      <c r="H38" s="197" t="n">
        <v>0</v>
      </c>
      <c r="I38" s="195">
        <f>MAX(0,F38-H38)</f>
        <v/>
      </c>
      <c r="J38" s="195">
        <f>IF(G38="",0,MAX(0,TODAY()-G38))</f>
        <v/>
      </c>
      <c r="K38" s="195">
        <f>IF(I38&lt;=0,"Current",IF(J38&lt;=30,"0-30 Days",IF(J38&lt;=60,"31-60 Days",IF(J38&lt;=90,"61-90 Days","90+ Days"))))</f>
        <v/>
      </c>
      <c r="L38" s="195">
        <f>IF(I38&lt;=0,"-",IF(J38&lt;=30,"Low",IF(J38&lt;=60,"Low-Medium",IF(J38&lt;=90,"Medium","HIGH RISK"))))</f>
        <v/>
      </c>
      <c r="M38" s="195" t="inlineStr">
        <is>
          <t>DSO will collect</t>
        </is>
      </c>
      <c r="N38" s="195" t="inlineStr">
        <is>
          <t>Pending</t>
        </is>
      </c>
    </row>
    <row r="39">
      <c r="A39" s="193" t="n">
        <v>38</v>
      </c>
      <c r="B39" s="193" t="inlineStr">
        <is>
          <t>Watches</t>
        </is>
      </c>
      <c r="C39" s="194" t="n">
        <v>46137</v>
      </c>
      <c r="D39" s="195" t="inlineStr">
        <is>
          <t>SLGCW/23/26-27</t>
        </is>
      </c>
      <c r="E39" s="195" t="inlineStr">
        <is>
          <t>RAMESH WATCH CO PVT LTD K-INORBIT</t>
        </is>
      </c>
      <c r="F39" s="196" t="n">
        <v>119259</v>
      </c>
      <c r="G39" s="194" t="n">
        <v>46182</v>
      </c>
      <c r="H39" s="197" t="n">
        <v>0</v>
      </c>
      <c r="I39" s="195">
        <f>MAX(0,F39-H39)</f>
        <v/>
      </c>
      <c r="J39" s="195">
        <f>IF(G39="",0,MAX(0,TODAY()-G39))</f>
        <v/>
      </c>
      <c r="K39" s="195">
        <f>IF(I39&lt;=0,"Current",IF(J39&lt;=30,"0-30 Days",IF(J39&lt;=60,"31-60 Days",IF(J39&lt;=90,"61-90 Days","90+ Days"))))</f>
        <v/>
      </c>
      <c r="L39" s="195">
        <f>IF(I39&lt;=0,"-",IF(J39&lt;=30,"Low",IF(J39&lt;=60,"Low-Medium",IF(J39&lt;=90,"Medium","HIGH RISK"))))</f>
        <v/>
      </c>
      <c r="M39" s="195" t="inlineStr">
        <is>
          <t>DSO will collect</t>
        </is>
      </c>
      <c r="N39" s="195" t="inlineStr">
        <is>
          <t>Pending</t>
        </is>
      </c>
    </row>
    <row r="40">
      <c r="A40" s="178" t="n">
        <v>39</v>
      </c>
      <c r="B40" s="178" t="inlineStr">
        <is>
          <t>Watches</t>
        </is>
      </c>
      <c r="C40" s="179" t="n">
        <v>46139</v>
      </c>
      <c r="D40" s="180" t="inlineStr">
        <is>
          <t>SLGCW/28/26-27</t>
        </is>
      </c>
      <c r="E40" s="180" t="inlineStr">
        <is>
          <t>RAMESH WATCH CO PVT LTD K-INORBIT</t>
        </is>
      </c>
      <c r="F40" s="181" t="n">
        <v>547720</v>
      </c>
      <c r="G40" s="179" t="n">
        <v>46140</v>
      </c>
      <c r="H40" s="182" t="n">
        <v>0</v>
      </c>
      <c r="I40" s="180">
        <f>MAX(0,F40-H40)</f>
        <v/>
      </c>
      <c r="J40" s="180">
        <f>IF(G40="",0,MAX(0,TODAY()-G40))</f>
        <v/>
      </c>
      <c r="K40" s="180">
        <f>IF(I40&lt;=0,"Current",IF(J40&lt;=30,"0-30 Days",IF(J40&lt;=60,"31-60 Days",IF(J40&lt;=90,"61-90 Days","90+ Days"))))</f>
        <v/>
      </c>
      <c r="L40" s="180">
        <f>IF(I40&lt;=0,"-",IF(J40&lt;=30,"Low",IF(J40&lt;=60,"Low-Medium",IF(J40&lt;=90,"Medium","HIGH RISK"))))</f>
        <v/>
      </c>
      <c r="M40" s="180" t="inlineStr">
        <is>
          <t>DSO will collect</t>
        </is>
      </c>
      <c r="N40" s="180" t="inlineStr">
        <is>
          <t>Pending</t>
        </is>
      </c>
    </row>
    <row r="41">
      <c r="A41" s="193" t="n">
        <v>40</v>
      </c>
      <c r="B41" s="193" t="inlineStr">
        <is>
          <t>Watches</t>
        </is>
      </c>
      <c r="C41" s="194" t="n">
        <v>46140</v>
      </c>
      <c r="D41" s="195" t="inlineStr">
        <is>
          <t>SLGCW/29/26-27</t>
        </is>
      </c>
      <c r="E41" s="195" t="inlineStr">
        <is>
          <t>RAMESH WATCH CO PVT LTD K-INORBIT</t>
        </is>
      </c>
      <c r="F41" s="196" t="n">
        <v>348093</v>
      </c>
      <c r="G41" s="194" t="n">
        <v>46185</v>
      </c>
      <c r="H41" s="197" t="n">
        <v>0</v>
      </c>
      <c r="I41" s="195">
        <f>MAX(0,F41-H41)</f>
        <v/>
      </c>
      <c r="J41" s="195">
        <f>IF(G41="",0,MAX(0,TODAY()-G41))</f>
        <v/>
      </c>
      <c r="K41" s="195">
        <f>IF(I41&lt;=0,"Current",IF(J41&lt;=30,"0-30 Days",IF(J41&lt;=60,"31-60 Days",IF(J41&lt;=90,"61-90 Days","90+ Days"))))</f>
        <v/>
      </c>
      <c r="L41" s="195">
        <f>IF(I41&lt;=0,"-",IF(J41&lt;=30,"Low",IF(J41&lt;=60,"Low-Medium",IF(J41&lt;=90,"Medium","HIGH RISK"))))</f>
        <v/>
      </c>
      <c r="M41" s="195" t="inlineStr">
        <is>
          <t>DSO will collect</t>
        </is>
      </c>
      <c r="N41" s="195" t="inlineStr">
        <is>
          <t>Pending</t>
        </is>
      </c>
    </row>
    <row r="42">
      <c r="A42" s="178" t="n">
        <v>41</v>
      </c>
      <c r="B42" s="178" t="inlineStr">
        <is>
          <t>Watches</t>
        </is>
      </c>
      <c r="C42" s="179" t="n">
        <v>46140</v>
      </c>
      <c r="D42" s="180" t="inlineStr">
        <is>
          <t>SLGCW/30/26-27</t>
        </is>
      </c>
      <c r="E42" s="180" t="inlineStr">
        <is>
          <t>RAMESH WATCH CO PVT LTD K-INORBIT</t>
        </is>
      </c>
      <c r="F42" s="181" t="n">
        <v>90650</v>
      </c>
      <c r="G42" s="179" t="n">
        <v>46141</v>
      </c>
      <c r="H42" s="182" t="n">
        <v>0</v>
      </c>
      <c r="I42" s="180">
        <f>MAX(0,F42-H42)</f>
        <v/>
      </c>
      <c r="J42" s="180">
        <f>IF(G42="",0,MAX(0,TODAY()-G42))</f>
        <v/>
      </c>
      <c r="K42" s="180">
        <f>IF(I42&lt;=0,"Current",IF(J42&lt;=30,"0-30 Days",IF(J42&lt;=60,"31-60 Days",IF(J42&lt;=90,"61-90 Days","90+ Days"))))</f>
        <v/>
      </c>
      <c r="L42" s="180">
        <f>IF(I42&lt;=0,"-",IF(J42&lt;=30,"Low",IF(J42&lt;=60,"Low-Medium",IF(J42&lt;=90,"Medium","HIGH RISK"))))</f>
        <v/>
      </c>
      <c r="M42" s="180" t="inlineStr">
        <is>
          <t>DSO will collect</t>
        </is>
      </c>
      <c r="N42" s="180" t="inlineStr">
        <is>
          <t>Pending</t>
        </is>
      </c>
    </row>
    <row r="43">
      <c r="A43" s="193" t="n">
        <v>42</v>
      </c>
      <c r="B43" s="193" t="inlineStr">
        <is>
          <t>Watches</t>
        </is>
      </c>
      <c r="C43" s="194" t="n">
        <v>46140</v>
      </c>
      <c r="D43" s="195" t="inlineStr">
        <is>
          <t>SLGCW/31/26-27</t>
        </is>
      </c>
      <c r="E43" s="195" t="inlineStr">
        <is>
          <t>RAMESH WATCH CO PVT LTD K-INORBIT</t>
        </is>
      </c>
      <c r="F43" s="196" t="n">
        <v>292469</v>
      </c>
      <c r="G43" s="194" t="n">
        <v>46185</v>
      </c>
      <c r="H43" s="197" t="n">
        <v>0</v>
      </c>
      <c r="I43" s="195">
        <f>MAX(0,F43-H43)</f>
        <v/>
      </c>
      <c r="J43" s="195">
        <f>IF(G43="",0,MAX(0,TODAY()-G43))</f>
        <v/>
      </c>
      <c r="K43" s="195">
        <f>IF(I43&lt;=0,"Current",IF(J43&lt;=30,"0-30 Days",IF(J43&lt;=60,"31-60 Days",IF(J43&lt;=90,"61-90 Days","90+ Days"))))</f>
        <v/>
      </c>
      <c r="L43" s="195">
        <f>IF(I43&lt;=0,"-",IF(J43&lt;=30,"Low",IF(J43&lt;=60,"Low-Medium",IF(J43&lt;=90,"Medium","HIGH RISK"))))</f>
        <v/>
      </c>
      <c r="M43" s="195" t="inlineStr">
        <is>
          <t>DSO will collect</t>
        </is>
      </c>
      <c r="N43" s="195" t="inlineStr">
        <is>
          <t>Pending</t>
        </is>
      </c>
    </row>
    <row r="44">
      <c r="A44" s="193" t="n">
        <v>43</v>
      </c>
      <c r="B44" s="193" t="inlineStr">
        <is>
          <t>Watches</t>
        </is>
      </c>
      <c r="C44" s="194" t="n">
        <v>46140</v>
      </c>
      <c r="D44" s="195" t="inlineStr">
        <is>
          <t>SLGCW/32/26-27</t>
        </is>
      </c>
      <c r="E44" s="195" t="inlineStr">
        <is>
          <t>RAMESH WATCH CO PVT LTD K-INORBIT</t>
        </is>
      </c>
      <c r="F44" s="196" t="n">
        <v>132528</v>
      </c>
      <c r="G44" s="194" t="n">
        <v>46185</v>
      </c>
      <c r="H44" s="197" t="n">
        <v>0</v>
      </c>
      <c r="I44" s="195">
        <f>MAX(0,F44-H44)</f>
        <v/>
      </c>
      <c r="J44" s="195">
        <f>IF(G44="",0,MAX(0,TODAY()-G44))</f>
        <v/>
      </c>
      <c r="K44" s="195">
        <f>IF(I44&lt;=0,"Current",IF(J44&lt;=30,"0-30 Days",IF(J44&lt;=60,"31-60 Days",IF(J44&lt;=90,"61-90 Days","90+ Days"))))</f>
        <v/>
      </c>
      <c r="L44" s="195">
        <f>IF(I44&lt;=0,"-",IF(J44&lt;=30,"Low",IF(J44&lt;=60,"Low-Medium",IF(J44&lt;=90,"Medium","HIGH RISK"))))</f>
        <v/>
      </c>
      <c r="M44" s="195" t="inlineStr">
        <is>
          <t>DSO will collect</t>
        </is>
      </c>
      <c r="N44" s="195" t="inlineStr">
        <is>
          <t>Pending</t>
        </is>
      </c>
    </row>
    <row r="45">
      <c r="A45" s="193" t="n">
        <v>44</v>
      </c>
      <c r="B45" s="193" t="inlineStr">
        <is>
          <t>Watches</t>
        </is>
      </c>
      <c r="C45" s="194" t="n">
        <v>46140</v>
      </c>
      <c r="D45" s="195" t="inlineStr">
        <is>
          <t>SLGCW/33/26-27</t>
        </is>
      </c>
      <c r="E45" s="195" t="inlineStr">
        <is>
          <t>RAMESH WATCH CO PVT LTD K-INORBIT</t>
        </is>
      </c>
      <c r="F45" s="196" t="n">
        <v>240230</v>
      </c>
      <c r="G45" s="194" t="n">
        <v>46185</v>
      </c>
      <c r="H45" s="197" t="n">
        <v>0</v>
      </c>
      <c r="I45" s="195">
        <f>MAX(0,F45-H45)</f>
        <v/>
      </c>
      <c r="J45" s="195">
        <f>IF(G45="",0,MAX(0,TODAY()-G45))</f>
        <v/>
      </c>
      <c r="K45" s="195">
        <f>IF(I45&lt;=0,"Current",IF(J45&lt;=30,"0-30 Days",IF(J45&lt;=60,"31-60 Days",IF(J45&lt;=90,"61-90 Days","90+ Days"))))</f>
        <v/>
      </c>
      <c r="L45" s="195">
        <f>IF(I45&lt;=0,"-",IF(J45&lt;=30,"Low",IF(J45&lt;=60,"Low-Medium",IF(J45&lt;=90,"Medium","HIGH RISK"))))</f>
        <v/>
      </c>
      <c r="M45" s="195" t="inlineStr">
        <is>
          <t>DSO will collect</t>
        </is>
      </c>
      <c r="N45" s="195" t="inlineStr">
        <is>
          <t>Pending</t>
        </is>
      </c>
    </row>
    <row r="46">
      <c r="A46" s="193" t="n">
        <v>45</v>
      </c>
      <c r="B46" s="193" t="inlineStr">
        <is>
          <t>Watches</t>
        </is>
      </c>
      <c r="C46" s="194" t="n">
        <v>46140</v>
      </c>
      <c r="D46" s="195" t="inlineStr">
        <is>
          <t>SLGCW/35/26-27</t>
        </is>
      </c>
      <c r="E46" s="195" t="inlineStr">
        <is>
          <t>RAMESH WATCH CO PVT LTD K-INORBIT</t>
        </is>
      </c>
      <c r="F46" s="196" t="n">
        <v>204171</v>
      </c>
      <c r="G46" s="194" t="n">
        <v>46185</v>
      </c>
      <c r="H46" s="197" t="n">
        <v>0</v>
      </c>
      <c r="I46" s="195">
        <f>MAX(0,F46-H46)</f>
        <v/>
      </c>
      <c r="J46" s="195">
        <f>IF(G46="",0,MAX(0,TODAY()-G46))</f>
        <v/>
      </c>
      <c r="K46" s="195">
        <f>IF(I46&lt;=0,"Current",IF(J46&lt;=30,"0-30 Days",IF(J46&lt;=60,"31-60 Days",IF(J46&lt;=90,"61-90 Days","90+ Days"))))</f>
        <v/>
      </c>
      <c r="L46" s="195">
        <f>IF(I46&lt;=0,"-",IF(J46&lt;=30,"Low",IF(J46&lt;=60,"Low-Medium",IF(J46&lt;=90,"Medium","HIGH RISK"))))</f>
        <v/>
      </c>
      <c r="M46" s="195" t="inlineStr">
        <is>
          <t>DSO will collect</t>
        </is>
      </c>
      <c r="N46" s="195" t="inlineStr">
        <is>
          <t>Pending</t>
        </is>
      </c>
    </row>
    <row r="47">
      <c r="A47" s="198" t="n">
        <v>46</v>
      </c>
      <c r="B47" s="198" t="inlineStr">
        <is>
          <t>Watches</t>
        </is>
      </c>
      <c r="C47" s="199" t="n">
        <v>46141</v>
      </c>
      <c r="D47" s="200" t="inlineStr">
        <is>
          <t>SLGCW/37/26-27</t>
        </is>
      </c>
      <c r="E47" s="200" t="inlineStr">
        <is>
          <t>RAMESH WATCH CO PVT LTD K-INORBIT</t>
        </is>
      </c>
      <c r="F47" s="201" t="n">
        <v>65314</v>
      </c>
      <c r="G47" s="199" t="n">
        <v>46142</v>
      </c>
      <c r="H47" s="202" t="n">
        <v>0</v>
      </c>
      <c r="I47" s="200">
        <f>MAX(0,F47-H47)</f>
        <v/>
      </c>
      <c r="J47" s="200">
        <f>IF(G47="",0,MAX(0,TODAY()-G47))</f>
        <v/>
      </c>
      <c r="K47" s="200">
        <f>IF(I47&lt;=0,"Current",IF(J47&lt;=30,"0-30 Days",IF(J47&lt;=60,"31-60 Days",IF(J47&lt;=90,"61-90 Days","90+ Days"))))</f>
        <v/>
      </c>
      <c r="L47" s="200">
        <f>IF(I47&lt;=0,"-",IF(J47&lt;=30,"Low",IF(J47&lt;=60,"Low-Medium",IF(J47&lt;=90,"Medium","HIGH RISK"))))</f>
        <v/>
      </c>
      <c r="M47" s="200" t="inlineStr">
        <is>
          <t>DSO will collect</t>
        </is>
      </c>
      <c r="N47" s="200" t="inlineStr">
        <is>
          <t>Pending</t>
        </is>
      </c>
    </row>
    <row r="48">
      <c r="A48" s="178" t="n">
        <v>47</v>
      </c>
      <c r="B48" s="178" t="inlineStr">
        <is>
          <t>Watches</t>
        </is>
      </c>
      <c r="C48" s="179" t="n">
        <v>46141</v>
      </c>
      <c r="D48" s="180" t="inlineStr">
        <is>
          <t>SLGCW/36/26-27</t>
        </is>
      </c>
      <c r="E48" s="180" t="inlineStr">
        <is>
          <t>RAMESH WATCH CO PVT LTD K-INORBIT</t>
        </is>
      </c>
      <c r="F48" s="181" t="n">
        <v>107008</v>
      </c>
      <c r="G48" s="179" t="n">
        <v>46142</v>
      </c>
      <c r="H48" s="182" t="n">
        <v>0</v>
      </c>
      <c r="I48" s="180">
        <f>MAX(0,F48-H48)</f>
        <v/>
      </c>
      <c r="J48" s="180">
        <f>IF(G48="",0,MAX(0,TODAY()-G48))</f>
        <v/>
      </c>
      <c r="K48" s="180">
        <f>IF(I48&lt;=0,"Current",IF(J48&lt;=30,"0-30 Days",IF(J48&lt;=60,"31-60 Days",IF(J48&lt;=90,"61-90 Days","90+ Days"))))</f>
        <v/>
      </c>
      <c r="L48" s="180">
        <f>IF(I48&lt;=0,"-",IF(J48&lt;=30,"Low",IF(J48&lt;=60,"Low-Medium",IF(J48&lt;=90,"Medium","HIGH RISK"))))</f>
        <v/>
      </c>
      <c r="M48" s="180" t="inlineStr">
        <is>
          <t>DSO will collect</t>
        </is>
      </c>
      <c r="N48" s="180" t="inlineStr">
        <is>
          <t>Pending</t>
        </is>
      </c>
    </row>
    <row r="49">
      <c r="A49" s="193" t="n">
        <v>48</v>
      </c>
      <c r="B49" s="193" t="inlineStr">
        <is>
          <t>Watches</t>
        </is>
      </c>
      <c r="C49" s="194" t="n">
        <v>46142</v>
      </c>
      <c r="D49" s="195" t="inlineStr">
        <is>
          <t>SLGCW/42/26-27</t>
        </is>
      </c>
      <c r="E49" s="195" t="inlineStr">
        <is>
          <t>RAMESH WATCH CO PVT LTD K-INORBIT</t>
        </is>
      </c>
      <c r="F49" s="196" t="n">
        <v>105959</v>
      </c>
      <c r="G49" s="194" t="n">
        <v>46187</v>
      </c>
      <c r="H49" s="197" t="n">
        <v>0</v>
      </c>
      <c r="I49" s="195">
        <f>MAX(0,F49-H49)</f>
        <v/>
      </c>
      <c r="J49" s="195">
        <f>IF(G49="",0,MAX(0,TODAY()-G49))</f>
        <v/>
      </c>
      <c r="K49" s="195">
        <f>IF(I49&lt;=0,"Current",IF(J49&lt;=30,"0-30 Days",IF(J49&lt;=60,"31-60 Days",IF(J49&lt;=90,"61-90 Days","90+ Days"))))</f>
        <v/>
      </c>
      <c r="L49" s="195">
        <f>IF(I49&lt;=0,"-",IF(J49&lt;=30,"Low",IF(J49&lt;=60,"Low-Medium",IF(J49&lt;=90,"Medium","HIGH RISK"))))</f>
        <v/>
      </c>
      <c r="M49" s="195" t="inlineStr">
        <is>
          <t>DSO will collect</t>
        </is>
      </c>
      <c r="N49" s="195" t="inlineStr">
        <is>
          <t>Pending</t>
        </is>
      </c>
    </row>
    <row r="50">
      <c r="A50" s="193" t="n">
        <v>49</v>
      </c>
      <c r="B50" s="193" t="inlineStr">
        <is>
          <t>Watches</t>
        </is>
      </c>
      <c r="C50" s="194" t="n">
        <v>46144</v>
      </c>
      <c r="D50" s="195" t="inlineStr">
        <is>
          <t>SLGCW/50/26-27</t>
        </is>
      </c>
      <c r="E50" s="195" t="inlineStr">
        <is>
          <t>RAMESH WATCH CO PVT LTD K-INORBIT</t>
        </is>
      </c>
      <c r="F50" s="196" t="n">
        <v>84325</v>
      </c>
      <c r="G50" s="194" t="n">
        <v>46189</v>
      </c>
      <c r="H50" s="197" t="n">
        <v>0</v>
      </c>
      <c r="I50" s="195">
        <f>MAX(0,F50-H50)</f>
        <v/>
      </c>
      <c r="J50" s="195">
        <f>IF(G50="",0,MAX(0,TODAY()-G50))</f>
        <v/>
      </c>
      <c r="K50" s="195">
        <f>IF(I50&lt;=0,"Current",IF(J50&lt;=30,"0-30 Days",IF(J50&lt;=60,"31-60 Days",IF(J50&lt;=90,"61-90 Days","90+ Days"))))</f>
        <v/>
      </c>
      <c r="L50" s="195">
        <f>IF(I50&lt;=0,"-",IF(J50&lt;=30,"Low",IF(J50&lt;=60,"Low-Medium",IF(J50&lt;=90,"Medium","HIGH RISK"))))</f>
        <v/>
      </c>
      <c r="M50" s="195" t="inlineStr">
        <is>
          <t>DSO will collect</t>
        </is>
      </c>
      <c r="N50" s="195" t="inlineStr">
        <is>
          <t>Pending</t>
        </is>
      </c>
    </row>
    <row r="51">
      <c r="A51" s="193" t="n">
        <v>50</v>
      </c>
      <c r="B51" s="193" t="inlineStr">
        <is>
          <t>Watches</t>
        </is>
      </c>
      <c r="C51" s="194" t="n">
        <v>46148</v>
      </c>
      <c r="D51" s="195" t="inlineStr">
        <is>
          <t>SLGCW/60/26-27</t>
        </is>
      </c>
      <c r="E51" s="195" t="inlineStr">
        <is>
          <t>RAMESH WATCH CO PVT LTD K-INORBIT</t>
        </is>
      </c>
      <c r="F51" s="196" t="n">
        <v>9635</v>
      </c>
      <c r="G51" s="194" t="n">
        <v>46193</v>
      </c>
      <c r="H51" s="197" t="n">
        <v>0</v>
      </c>
      <c r="I51" s="195">
        <f>MAX(0,F51-H51)</f>
        <v/>
      </c>
      <c r="J51" s="195">
        <f>IF(G51="",0,MAX(0,TODAY()-G51))</f>
        <v/>
      </c>
      <c r="K51" s="195">
        <f>IF(I51&lt;=0,"Current",IF(J51&lt;=30,"0-30 Days",IF(J51&lt;=60,"31-60 Days",IF(J51&lt;=90,"61-90 Days","90+ Days"))))</f>
        <v/>
      </c>
      <c r="L51" s="195">
        <f>IF(I51&lt;=0,"-",IF(J51&lt;=30,"Low",IF(J51&lt;=60,"Low-Medium",IF(J51&lt;=90,"Medium","HIGH RISK"))))</f>
        <v/>
      </c>
      <c r="M51" s="195" t="inlineStr">
        <is>
          <t>DSO will collect</t>
        </is>
      </c>
      <c r="N51" s="195" t="inlineStr">
        <is>
          <t>Pending</t>
        </is>
      </c>
    </row>
    <row r="52">
      <c r="A52" s="188" t="n">
        <v>51</v>
      </c>
      <c r="B52" s="188" t="inlineStr">
        <is>
          <t>Watches</t>
        </is>
      </c>
      <c r="C52" s="189" t="n">
        <v>45682</v>
      </c>
      <c r="D52" s="190" t="inlineStr">
        <is>
          <t>SLGCW/969/24-25</t>
        </is>
      </c>
      <c r="E52" s="190" t="inlineStr">
        <is>
          <t>RAVINDRA WATCH REPAIR</t>
        </is>
      </c>
      <c r="F52" s="191" t="n">
        <v>271</v>
      </c>
      <c r="G52" s="189" t="n">
        <v>45682</v>
      </c>
      <c r="H52" s="192" t="n">
        <v>0</v>
      </c>
      <c r="I52" s="190">
        <f>MAX(0,F52-H52)</f>
        <v/>
      </c>
      <c r="J52" s="190">
        <f>IF(G52="",0,MAX(0,TODAY()-G52))</f>
        <v/>
      </c>
      <c r="K52" s="190">
        <f>IF(I52&lt;=0,"Current",IF(J52&lt;=30,"0-30 Days",IF(J52&lt;=60,"31-60 Days",IF(J52&lt;=90,"61-90 Days","90+ Days"))))</f>
        <v/>
      </c>
      <c r="L52" s="190">
        <f>IF(I52&lt;=0,"-",IF(J52&lt;=30,"Low",IF(J52&lt;=60,"Low-Medium",IF(J52&lt;=90,"Medium","HIGH RISK"))))</f>
        <v/>
      </c>
      <c r="M52" s="190" t="inlineStr">
        <is>
          <t>Old Credit Issue</t>
        </is>
      </c>
      <c r="N52" s="190" t="inlineStr">
        <is>
          <t>Pending</t>
        </is>
      </c>
    </row>
    <row r="53">
      <c r="A53" s="183" t="n">
        <v>52</v>
      </c>
      <c r="B53" s="183" t="inlineStr">
        <is>
          <t>Watches</t>
        </is>
      </c>
      <c r="C53" s="184" t="n">
        <v>45951</v>
      </c>
      <c r="D53" s="185" t="inlineStr">
        <is>
          <t>SLGCW/768/25-26</t>
        </is>
      </c>
      <c r="E53" s="185" t="inlineStr">
        <is>
          <t>RAVINDRA WATCH REPAIR</t>
        </is>
      </c>
      <c r="F53" s="186" t="n">
        <v>272</v>
      </c>
      <c r="G53" s="184" t="n">
        <v>45952</v>
      </c>
      <c r="H53" s="187" t="n">
        <v>0</v>
      </c>
      <c r="I53" s="185">
        <f>MAX(0,F53-H53)</f>
        <v/>
      </c>
      <c r="J53" s="185">
        <f>IF(G53="",0,MAX(0,TODAY()-G53))</f>
        <v/>
      </c>
      <c r="K53" s="185">
        <f>IF(I53&lt;=0,"Current",IF(J53&lt;=30,"0-30 Days",IF(J53&lt;=60,"31-60 Days",IF(J53&lt;=90,"61-90 Days","90+ Days"))))</f>
        <v/>
      </c>
      <c r="L53" s="185">
        <f>IF(I53&lt;=0,"-",IF(J53&lt;=30,"Low",IF(J53&lt;=60,"Low-Medium",IF(J53&lt;=90,"Medium","HIGH RISK"))))</f>
        <v/>
      </c>
      <c r="M53" s="185" t="inlineStr">
        <is>
          <t>Old Credit Issue</t>
        </is>
      </c>
      <c r="N53" s="185" t="inlineStr">
        <is>
          <t>Pending</t>
        </is>
      </c>
    </row>
    <row r="54">
      <c r="A54" s="178" t="n">
        <v>53</v>
      </c>
      <c r="B54" s="178" t="inlineStr">
        <is>
          <t>Watches</t>
        </is>
      </c>
      <c r="C54" s="179" t="n">
        <v>46142</v>
      </c>
      <c r="D54" s="180" t="inlineStr">
        <is>
          <t>SLGCW/41/26-27</t>
        </is>
      </c>
      <c r="E54" s="180" t="inlineStr">
        <is>
          <t>Siddi Times &amp; Electronics</t>
        </is>
      </c>
      <c r="F54" s="181" t="n">
        <v>149682</v>
      </c>
      <c r="G54" s="179" t="n">
        <v>46143</v>
      </c>
      <c r="H54" s="182" t="n">
        <v>0</v>
      </c>
      <c r="I54" s="180">
        <f>MAX(0,F54-H54)</f>
        <v/>
      </c>
      <c r="J54" s="180">
        <f>IF(G54="",0,MAX(0,TODAY()-G54))</f>
        <v/>
      </c>
      <c r="K54" s="180">
        <f>IF(I54&lt;=0,"Current",IF(J54&lt;=30,"0-30 Days",IF(J54&lt;=60,"31-60 Days",IF(J54&lt;=90,"61-90 Days","90+ Days"))))</f>
        <v/>
      </c>
      <c r="L54" s="180">
        <f>IF(I54&lt;=0,"-",IF(J54&lt;=30,"Low",IF(J54&lt;=60,"Low-Medium",IF(J54&lt;=90,"Medium","HIGH RISK"))))</f>
        <v/>
      </c>
      <c r="M54" s="180" t="inlineStr">
        <is>
          <t>Paid by Cheque</t>
        </is>
      </c>
      <c r="N54" s="180" t="inlineStr">
        <is>
          <t>Pending</t>
        </is>
      </c>
    </row>
    <row r="55">
      <c r="A55" s="208" t="n">
        <v>54</v>
      </c>
      <c r="B55" s="208" t="inlineStr">
        <is>
          <t>Watches</t>
        </is>
      </c>
      <c r="C55" s="209" t="n">
        <v>46102</v>
      </c>
      <c r="D55" s="210" t="inlineStr">
        <is>
          <t>SLGCW/1263/25-26</t>
        </is>
      </c>
      <c r="E55" s="210" t="inlineStr">
        <is>
          <t>SS WATCHES AND SUNGLASSES</t>
        </is>
      </c>
      <c r="F55" s="211" t="n">
        <v>12806</v>
      </c>
      <c r="G55" s="209" t="n">
        <v>46102</v>
      </c>
      <c r="H55" s="212" t="n">
        <v>0</v>
      </c>
      <c r="I55" s="210">
        <f>MAX(0,F55-H55)</f>
        <v/>
      </c>
      <c r="J55" s="210">
        <f>IF(G55="",0,MAX(0,TODAY()-G55))</f>
        <v/>
      </c>
      <c r="K55" s="210">
        <f>IF(I55&lt;=0,"Current",IF(J55&lt;=30,"0-30 Days",IF(J55&lt;=60,"31-60 Days",IF(J55&lt;=90,"61-90 Days","90+ Days"))))</f>
        <v/>
      </c>
      <c r="L55" s="210">
        <f>IF(I55&lt;=0,"-",IF(J55&lt;=30,"Low",IF(J55&lt;=60,"Low-Medium",IF(J55&lt;=90,"Medium","HIGH RISK"))))</f>
        <v/>
      </c>
      <c r="M55" s="210" t="inlineStr"/>
      <c r="N55" s="210" t="inlineStr">
        <is>
          <t>Pending</t>
        </is>
      </c>
    </row>
    <row r="56">
      <c r="A56" s="178" t="n">
        <v>55</v>
      </c>
      <c r="B56" s="178" t="inlineStr">
        <is>
          <t>Watches</t>
        </is>
      </c>
      <c r="C56" s="179" t="n">
        <v>46137</v>
      </c>
      <c r="D56" s="180" t="inlineStr">
        <is>
          <t>SLGCW/18/26-27</t>
        </is>
      </c>
      <c r="E56" s="180" t="inlineStr">
        <is>
          <t>Sunny Watch</t>
        </is>
      </c>
      <c r="F56" s="181" t="n">
        <v>111599</v>
      </c>
      <c r="G56" s="179" t="n">
        <v>46138</v>
      </c>
      <c r="H56" s="182" t="n">
        <v>0</v>
      </c>
      <c r="I56" s="180">
        <f>MAX(0,F56-H56)</f>
        <v/>
      </c>
      <c r="J56" s="180">
        <f>IF(G56="",0,MAX(0,TODAY()-G56))</f>
        <v/>
      </c>
      <c r="K56" s="180">
        <f>IF(I56&lt;=0,"Current",IF(J56&lt;=30,"0-30 Days",IF(J56&lt;=60,"31-60 Days",IF(J56&lt;=90,"61-90 Days","90+ Days"))))</f>
        <v/>
      </c>
      <c r="L56" s="180">
        <f>IF(I56&lt;=0,"-",IF(J56&lt;=30,"Low",IF(J56&lt;=60,"Low-Medium",IF(J56&lt;=90,"Medium","HIGH RISK"))))</f>
        <v/>
      </c>
      <c r="M56" s="180">
        <f>I79</f>
        <v/>
      </c>
      <c r="N56" s="180" t="inlineStr">
        <is>
          <t>Pending</t>
        </is>
      </c>
    </row>
    <row r="57">
      <c r="A57" s="193" t="n">
        <v>56</v>
      </c>
      <c r="B57" s="193" t="inlineStr">
        <is>
          <t>Watches</t>
        </is>
      </c>
      <c r="C57" s="194" t="n">
        <v>46144</v>
      </c>
      <c r="D57" s="195" t="inlineStr">
        <is>
          <t>SLGCW/56/26-27</t>
        </is>
      </c>
      <c r="E57" s="195" t="inlineStr">
        <is>
          <t>Sunny Watch</t>
        </is>
      </c>
      <c r="F57" s="196" t="n">
        <v>20227</v>
      </c>
      <c r="G57" s="194" t="n">
        <v>46169</v>
      </c>
      <c r="H57" s="197" t="n">
        <v>0</v>
      </c>
      <c r="I57" s="195">
        <f>MAX(0,F57-H57)</f>
        <v/>
      </c>
      <c r="J57" s="195">
        <f>IF(G57="",0,MAX(0,TODAY()-G57))</f>
        <v/>
      </c>
      <c r="K57" s="195">
        <f>IF(I57&lt;=0,"Current",IF(J57&lt;=30,"0-30 Days",IF(J57&lt;=60,"31-60 Days",IF(J57&lt;=90,"61-90 Days","90+ Days"))))</f>
        <v/>
      </c>
      <c r="L57" s="195">
        <f>IF(I57&lt;=0,"-",IF(J57&lt;=30,"Low",IF(J57&lt;=60,"Low-Medium",IF(J57&lt;=90,"Medium","HIGH RISK"))))</f>
        <v/>
      </c>
      <c r="M57" s="195" t="inlineStr"/>
      <c r="N57" s="195" t="inlineStr">
        <is>
          <t>Pending</t>
        </is>
      </c>
    </row>
    <row r="58">
      <c r="A58" s="218" t="n">
        <v>57</v>
      </c>
      <c r="B58" s="218" t="inlineStr">
        <is>
          <t>Watches</t>
        </is>
      </c>
      <c r="C58" s="219" t="n">
        <v>46137</v>
      </c>
      <c r="D58" s="220" t="inlineStr">
        <is>
          <t>SLGCW/20/26-27</t>
        </is>
      </c>
      <c r="E58" s="220" t="inlineStr">
        <is>
          <t>THE TIMES</t>
        </is>
      </c>
      <c r="F58" s="221" t="n">
        <v>70357</v>
      </c>
      <c r="G58" s="219" t="n">
        <v>46137</v>
      </c>
      <c r="H58" s="222" t="n">
        <v>0</v>
      </c>
      <c r="I58" s="220">
        <f>MAX(0,F58-H58)</f>
        <v/>
      </c>
      <c r="J58" s="220">
        <f>IF(G58="",0,MAX(0,TODAY()-G58))</f>
        <v/>
      </c>
      <c r="K58" s="220">
        <f>IF(I58&lt;=0,"Current",IF(J58&lt;=30,"0-30 Days",IF(J58&lt;=60,"31-60 Days",IF(J58&lt;=90,"61-90 Days","90+ Days"))))</f>
        <v/>
      </c>
      <c r="L58" s="220">
        <f>IF(I58&lt;=0,"-",IF(J58&lt;=30,"Low",IF(J58&lt;=60,"Low-Medium",IF(J58&lt;=90,"Medium","HIGH RISK"))))</f>
        <v/>
      </c>
      <c r="M58" s="220" t="inlineStr">
        <is>
          <t>Paid by Cheque</t>
        </is>
      </c>
      <c r="N58" s="220" t="inlineStr">
        <is>
          <t>Pending</t>
        </is>
      </c>
    </row>
    <row r="59">
      <c r="A59" s="198" t="n">
        <v>58</v>
      </c>
      <c r="B59" s="198" t="inlineStr">
        <is>
          <t>Watches</t>
        </is>
      </c>
      <c r="C59" s="199" t="inlineStr">
        <is>
          <t>2026-05-19</t>
        </is>
      </c>
      <c r="D59" s="200" t="inlineStr">
        <is>
          <t>SLGCW/70/26-27</t>
        </is>
      </c>
      <c r="E59" s="200" t="inlineStr">
        <is>
          <t>CENTRAL WATCH CO.</t>
        </is>
      </c>
      <c r="F59" s="201" t="n">
        <v>35496</v>
      </c>
      <c r="G59" s="199" t="inlineStr">
        <is>
          <t>2026-05-20</t>
        </is>
      </c>
      <c r="H59" s="202" t="n">
        <v>0</v>
      </c>
      <c r="I59" s="200">
        <f>MAX(0,F59-H59)</f>
        <v/>
      </c>
      <c r="J59" s="200">
        <f>IF(G59="",0,MAX(0,TODAY()-G59))</f>
        <v/>
      </c>
      <c r="K59" s="200">
        <f>IF(I59&lt;=0,"Current",IF(J59&lt;=30,"0-30 Days",IF(J59&lt;=60,"31-60 Days",IF(J59&lt;=90,"61-90 Days","90+ Days"))))</f>
        <v/>
      </c>
      <c r="L59" s="200">
        <f>IF(I59&lt;=0,"-",IF(J59&lt;=30,"Low",IF(J59&lt;=60,"Low-Medium",IF(J59&lt;=90,"Medium","HIGH RISK"))))</f>
        <v/>
      </c>
      <c r="M59" s="200" t="inlineStr"/>
      <c r="N59" s="200" t="inlineStr">
        <is>
          <t>Pending</t>
        </is>
      </c>
    </row>
    <row r="60">
      <c r="A60" s="178" t="n">
        <v>59</v>
      </c>
      <c r="B60" s="178" t="inlineStr">
        <is>
          <t>Watches</t>
        </is>
      </c>
      <c r="C60" s="179" t="inlineStr">
        <is>
          <t>2026-01-30</t>
        </is>
      </c>
      <c r="D60" s="180" t="inlineStr">
        <is>
          <t>SLGCW/1177/25-26</t>
        </is>
      </c>
      <c r="E60" s="180" t="inlineStr">
        <is>
          <t>COUNTER SALE</t>
        </is>
      </c>
      <c r="F60" s="181" t="n">
        <v>61596</v>
      </c>
      <c r="G60" s="179" t="inlineStr">
        <is>
          <t>2026-01-31</t>
        </is>
      </c>
      <c r="H60" s="182" t="n">
        <v>0</v>
      </c>
      <c r="I60" s="180">
        <f>MAX(0,F60-H60)</f>
        <v/>
      </c>
      <c r="J60" s="180">
        <f>IF(G60="",0,MAX(0,TODAY()-G60))</f>
        <v/>
      </c>
      <c r="K60" s="180">
        <f>IF(I60&lt;=0,"Current",IF(J60&lt;=30,"0-30 Days",IF(J60&lt;=60,"31-60 Days",IF(J60&lt;=90,"61-90 Days","90+ Days"))))</f>
        <v/>
      </c>
      <c r="L60" s="180">
        <f>IF(I60&lt;=0,"-",IF(J60&lt;=30,"Low",IF(J60&lt;=60,"Low-Medium",IF(J60&lt;=90,"Medium","HIGH RISK"))))</f>
        <v/>
      </c>
      <c r="M60" s="180" t="inlineStr"/>
      <c r="N60" s="180" t="inlineStr">
        <is>
          <t>Pending</t>
        </is>
      </c>
    </row>
    <row r="61">
      <c r="A61" s="198" t="n">
        <v>60</v>
      </c>
      <c r="B61" s="198" t="inlineStr">
        <is>
          <t>Watches</t>
        </is>
      </c>
      <c r="C61" s="199" t="inlineStr">
        <is>
          <t>2026-02-05</t>
        </is>
      </c>
      <c r="D61" s="200" t="inlineStr">
        <is>
          <t>SLGCW/1193/25-26</t>
        </is>
      </c>
      <c r="E61" s="200" t="inlineStr">
        <is>
          <t>COUNTER SALE</t>
        </is>
      </c>
      <c r="F61" s="201" t="n">
        <v>5996</v>
      </c>
      <c r="G61" s="199" t="inlineStr">
        <is>
          <t>2026-02-06</t>
        </is>
      </c>
      <c r="H61" s="202" t="n">
        <v>0</v>
      </c>
      <c r="I61" s="200">
        <f>MAX(0,F61-H61)</f>
        <v/>
      </c>
      <c r="J61" s="200">
        <f>IF(G61="",0,MAX(0,TODAY()-G61))</f>
        <v/>
      </c>
      <c r="K61" s="200">
        <f>IF(I61&lt;=0,"Current",IF(J61&lt;=30,"0-30 Days",IF(J61&lt;=60,"31-60 Days",IF(J61&lt;=90,"61-90 Days","90+ Days"))))</f>
        <v/>
      </c>
      <c r="L61" s="200">
        <f>IF(I61&lt;=0,"-",IF(J61&lt;=30,"Low",IF(J61&lt;=60,"Low-Medium",IF(J61&lt;=90,"Medium","HIGH RISK"))))</f>
        <v/>
      </c>
      <c r="M61" s="200" t="inlineStr"/>
      <c r="N61" s="200" t="inlineStr">
        <is>
          <t>Pending</t>
        </is>
      </c>
    </row>
    <row r="62">
      <c r="A62" s="178" t="n">
        <v>61</v>
      </c>
      <c r="B62" s="178" t="inlineStr">
        <is>
          <t>Watches</t>
        </is>
      </c>
      <c r="C62" s="179" t="inlineStr">
        <is>
          <t>2026-05-02</t>
        </is>
      </c>
      <c r="D62" s="180" t="inlineStr">
        <is>
          <t>SLGCW/47/26-27</t>
        </is>
      </c>
      <c r="E62" s="180" t="inlineStr">
        <is>
          <t>COUNTER SALE</t>
        </is>
      </c>
      <c r="F62" s="181" t="n">
        <v>4496</v>
      </c>
      <c r="G62" s="179" t="inlineStr">
        <is>
          <t>2026-05-03</t>
        </is>
      </c>
      <c r="H62" s="182" t="n">
        <v>0</v>
      </c>
      <c r="I62" s="180">
        <f>MAX(0,F62-H62)</f>
        <v/>
      </c>
      <c r="J62" s="180">
        <f>IF(G62="",0,MAX(0,TODAY()-G62))</f>
        <v/>
      </c>
      <c r="K62" s="180">
        <f>IF(I62&lt;=0,"Current",IF(J62&lt;=30,"0-30 Days",IF(J62&lt;=60,"31-60 Days",IF(J62&lt;=90,"61-90 Days","90+ Days"))))</f>
        <v/>
      </c>
      <c r="L62" s="180">
        <f>IF(I62&lt;=0,"-",IF(J62&lt;=30,"Low",IF(J62&lt;=60,"Low-Medium",IF(J62&lt;=90,"Medium","HIGH RISK"))))</f>
        <v/>
      </c>
      <c r="M62" s="180" t="inlineStr"/>
      <c r="N62" s="180" t="inlineStr">
        <is>
          <t>Pending</t>
        </is>
      </c>
    </row>
    <row r="63">
      <c r="A63" s="198" t="n">
        <v>62</v>
      </c>
      <c r="B63" s="198" t="inlineStr">
        <is>
          <t>Watches</t>
        </is>
      </c>
      <c r="C63" s="199" t="inlineStr">
        <is>
          <t>2026-05-02</t>
        </is>
      </c>
      <c r="D63" s="200" t="inlineStr">
        <is>
          <t>SLGCW/48/26-27</t>
        </is>
      </c>
      <c r="E63" s="200" t="inlineStr">
        <is>
          <t>COUNTER SALE</t>
        </is>
      </c>
      <c r="F63" s="201" t="n">
        <v>3371</v>
      </c>
      <c r="G63" s="199" t="inlineStr">
        <is>
          <t>2026-05-03</t>
        </is>
      </c>
      <c r="H63" s="202" t="n">
        <v>0</v>
      </c>
      <c r="I63" s="200">
        <f>MAX(0,F63-H63)</f>
        <v/>
      </c>
      <c r="J63" s="200">
        <f>IF(G63="",0,MAX(0,TODAY()-G63))</f>
        <v/>
      </c>
      <c r="K63" s="200">
        <f>IF(I63&lt;=0,"Current",IF(J63&lt;=30,"0-30 Days",IF(J63&lt;=60,"31-60 Days",IF(J63&lt;=90,"61-90 Days","90+ Days"))))</f>
        <v/>
      </c>
      <c r="L63" s="200">
        <f>IF(I63&lt;=0,"-",IF(J63&lt;=30,"Low",IF(J63&lt;=60,"Low-Medium",IF(J63&lt;=90,"Medium","HIGH RISK"))))</f>
        <v/>
      </c>
      <c r="M63" s="200" t="inlineStr"/>
      <c r="N63" s="200" t="inlineStr">
        <is>
          <t>Pending</t>
        </is>
      </c>
    </row>
    <row r="64">
      <c r="A64" s="178" t="n">
        <v>63</v>
      </c>
      <c r="B64" s="178" t="inlineStr">
        <is>
          <t>Watches</t>
        </is>
      </c>
      <c r="C64" s="179" t="inlineStr">
        <is>
          <t>2026-05-11</t>
        </is>
      </c>
      <c r="D64" s="180" t="inlineStr">
        <is>
          <t>SLGCW/63/26-27</t>
        </is>
      </c>
      <c r="E64" s="180" t="inlineStr">
        <is>
          <t>COUNTER SALE</t>
        </is>
      </c>
      <c r="F64" s="181" t="n">
        <v>2922</v>
      </c>
      <c r="G64" s="179" t="inlineStr">
        <is>
          <t>2026-05-12</t>
        </is>
      </c>
      <c r="H64" s="182" t="n">
        <v>0</v>
      </c>
      <c r="I64" s="180">
        <f>MAX(0,F64-H64)</f>
        <v/>
      </c>
      <c r="J64" s="180">
        <f>IF(G64="",0,MAX(0,TODAY()-G64))</f>
        <v/>
      </c>
      <c r="K64" s="180">
        <f>IF(I64&lt;=0,"Current",IF(J64&lt;=30,"0-30 Days",IF(J64&lt;=60,"31-60 Days",IF(J64&lt;=90,"61-90 Days","90+ Days"))))</f>
        <v/>
      </c>
      <c r="L64" s="180">
        <f>IF(I64&lt;=0,"-",IF(J64&lt;=30,"Low",IF(J64&lt;=60,"Low-Medium",IF(J64&lt;=90,"Medium","HIGH RISK"))))</f>
        <v/>
      </c>
      <c r="M64" s="180" t="inlineStr"/>
      <c r="N64" s="180" t="inlineStr">
        <is>
          <t>Pending</t>
        </is>
      </c>
    </row>
    <row r="65">
      <c r="A65" s="198" t="n">
        <v>64</v>
      </c>
      <c r="B65" s="198" t="inlineStr">
        <is>
          <t>Watches</t>
        </is>
      </c>
      <c r="C65" s="199" t="inlineStr">
        <is>
          <t>2026-05-15</t>
        </is>
      </c>
      <c r="D65" s="200" t="inlineStr">
        <is>
          <t>SLGCW/66/26-27</t>
        </is>
      </c>
      <c r="E65" s="200" t="inlineStr">
        <is>
          <t>COUNTER SALE</t>
        </is>
      </c>
      <c r="F65" s="201" t="n">
        <v>7356</v>
      </c>
      <c r="G65" s="199" t="inlineStr">
        <is>
          <t>2026-05-16</t>
        </is>
      </c>
      <c r="H65" s="202" t="n">
        <v>0</v>
      </c>
      <c r="I65" s="200">
        <f>MAX(0,F65-H65)</f>
        <v/>
      </c>
      <c r="J65" s="200">
        <f>IF(G65="",0,MAX(0,TODAY()-G65))</f>
        <v/>
      </c>
      <c r="K65" s="200">
        <f>IF(I65&lt;=0,"Current",IF(J65&lt;=30,"0-30 Days",IF(J65&lt;=60,"31-60 Days",IF(J65&lt;=90,"61-90 Days","90+ Days"))))</f>
        <v/>
      </c>
      <c r="L65" s="200">
        <f>IF(I65&lt;=0,"-",IF(J65&lt;=30,"Low",IF(J65&lt;=60,"Low-Medium",IF(J65&lt;=90,"Medium","HIGH RISK"))))</f>
        <v/>
      </c>
      <c r="M65" s="200" t="inlineStr"/>
      <c r="N65" s="200" t="inlineStr">
        <is>
          <t>Pending</t>
        </is>
      </c>
    </row>
    <row r="66">
      <c r="A66" s="178" t="n">
        <v>65</v>
      </c>
      <c r="B66" s="178" t="inlineStr">
        <is>
          <t>Watches</t>
        </is>
      </c>
      <c r="C66" s="179" t="inlineStr">
        <is>
          <t>2026-04-30</t>
        </is>
      </c>
      <c r="D66" s="180" t="inlineStr">
        <is>
          <t>SLGCW/43/26-27</t>
        </is>
      </c>
      <c r="E66" s="180" t="inlineStr">
        <is>
          <t>INDIAN WATCH CO AND OPTICALS</t>
        </is>
      </c>
      <c r="F66" s="181" t="n">
        <v>121816</v>
      </c>
      <c r="G66" s="179" t="inlineStr">
        <is>
          <t>2026-05-30</t>
        </is>
      </c>
      <c r="H66" s="182" t="n">
        <v>0</v>
      </c>
      <c r="I66" s="180">
        <f>MAX(0,F66-H66)</f>
        <v/>
      </c>
      <c r="J66" s="180">
        <f>IF(G66="",0,MAX(0,TODAY()-G66))</f>
        <v/>
      </c>
      <c r="K66" s="180">
        <f>IF(I66&lt;=0,"Current",IF(J66&lt;=30,"0-30 Days",IF(J66&lt;=60,"31-60 Days",IF(J66&lt;=90,"61-90 Days","90+ Days"))))</f>
        <v/>
      </c>
      <c r="L66" s="180">
        <f>IF(I66&lt;=0,"-",IF(J66&lt;=30,"Low",IF(J66&lt;=60,"Low-Medium",IF(J66&lt;=90,"Medium","HIGH RISK"))))</f>
        <v/>
      </c>
      <c r="M66" s="180" t="inlineStr"/>
      <c r="N66" s="180" t="inlineStr">
        <is>
          <t>Pending</t>
        </is>
      </c>
    </row>
    <row r="67">
      <c r="A67" s="198" t="n">
        <v>66</v>
      </c>
      <c r="B67" s="198" t="inlineStr">
        <is>
          <t>Watches</t>
        </is>
      </c>
      <c r="C67" s="199" t="inlineStr">
        <is>
          <t>2026-04-27</t>
        </is>
      </c>
      <c r="D67" s="200" t="inlineStr">
        <is>
          <t>SLGCW/26/26-27</t>
        </is>
      </c>
      <c r="E67" s="200" t="inlineStr">
        <is>
          <t>labdhi watche&amp;premium</t>
        </is>
      </c>
      <c r="F67" s="201" t="n">
        <v>98345</v>
      </c>
      <c r="G67" s="199" t="inlineStr">
        <is>
          <t>2026-05-27</t>
        </is>
      </c>
      <c r="H67" s="202" t="n">
        <v>0</v>
      </c>
      <c r="I67" s="200">
        <f>MAX(0,F67-H67)</f>
        <v/>
      </c>
      <c r="J67" s="200">
        <f>IF(G67="",0,MAX(0,TODAY()-G67))</f>
        <v/>
      </c>
      <c r="K67" s="200">
        <f>IF(I67&lt;=0,"Current",IF(J67&lt;=30,"0-30 Days",IF(J67&lt;=60,"31-60 Days",IF(J67&lt;=90,"61-90 Days","90+ Days"))))</f>
        <v/>
      </c>
      <c r="L67" s="200">
        <f>IF(I67&lt;=0,"-",IF(J67&lt;=30,"Low",IF(J67&lt;=60,"Low-Medium",IF(J67&lt;=90,"Medium","HIGH RISK"))))</f>
        <v/>
      </c>
      <c r="M67" s="200" t="inlineStr"/>
      <c r="N67" s="200" t="inlineStr">
        <is>
          <t>Pending</t>
        </is>
      </c>
    </row>
    <row r="68">
      <c r="A68" s="178" t="n">
        <v>67</v>
      </c>
      <c r="B68" s="178" t="inlineStr">
        <is>
          <t>Watches</t>
        </is>
      </c>
      <c r="C68" s="179" t="inlineStr">
        <is>
          <t>2026-04-30</t>
        </is>
      </c>
      <c r="D68" s="180" t="inlineStr">
        <is>
          <t>SLGCW/39/26-27</t>
        </is>
      </c>
      <c r="E68" s="180" t="inlineStr">
        <is>
          <t>labdhi watche&amp;premium</t>
        </is>
      </c>
      <c r="F68" s="181" t="n">
        <v>338046</v>
      </c>
      <c r="G68" s="179" t="inlineStr">
        <is>
          <t>2026-05-30</t>
        </is>
      </c>
      <c r="H68" s="182" t="n">
        <v>0</v>
      </c>
      <c r="I68" s="180">
        <f>MAX(0,F68-H68)</f>
        <v/>
      </c>
      <c r="J68" s="180">
        <f>IF(G68="",0,MAX(0,TODAY()-G68))</f>
        <v/>
      </c>
      <c r="K68" s="180">
        <f>IF(I68&lt;=0,"Current",IF(J68&lt;=30,"0-30 Days",IF(J68&lt;=60,"31-60 Days",IF(J68&lt;=90,"61-90 Days","90+ Days"))))</f>
        <v/>
      </c>
      <c r="L68" s="180">
        <f>IF(I68&lt;=0,"-",IF(J68&lt;=30,"Low",IF(J68&lt;=60,"Low-Medium",IF(J68&lt;=90,"Medium","HIGH RISK"))))</f>
        <v/>
      </c>
      <c r="M68" s="180" t="inlineStr"/>
      <c r="N68" s="180" t="inlineStr">
        <is>
          <t>Pending</t>
        </is>
      </c>
    </row>
    <row r="69">
      <c r="A69" s="198" t="n">
        <v>68</v>
      </c>
      <c r="B69" s="198" t="inlineStr">
        <is>
          <t>Watches</t>
        </is>
      </c>
      <c r="C69" s="199" t="inlineStr">
        <is>
          <t>2026-05-02</t>
        </is>
      </c>
      <c r="D69" s="200" t="inlineStr">
        <is>
          <t>SLGCW/57/26-27</t>
        </is>
      </c>
      <c r="E69" s="200" t="inlineStr">
        <is>
          <t>labdhi watche&amp;premium</t>
        </is>
      </c>
      <c r="F69" s="201" t="n">
        <v>22340</v>
      </c>
      <c r="G69" s="199" t="inlineStr">
        <is>
          <t>2026-06-01</t>
        </is>
      </c>
      <c r="H69" s="202" t="n">
        <v>0</v>
      </c>
      <c r="I69" s="200">
        <f>MAX(0,F69-H69)</f>
        <v/>
      </c>
      <c r="J69" s="200">
        <f>IF(G69="",0,MAX(0,TODAY()-G69))</f>
        <v/>
      </c>
      <c r="K69" s="200">
        <f>IF(I69&lt;=0,"Current",IF(J69&lt;=30,"0-30 Days",IF(J69&lt;=60,"31-60 Days",IF(J69&lt;=90,"61-90 Days","90+ Days"))))</f>
        <v/>
      </c>
      <c r="L69" s="200">
        <f>IF(I69&lt;=0,"-",IF(J69&lt;=30,"Low",IF(J69&lt;=60,"Low-Medium",IF(J69&lt;=90,"Medium","HIGH RISK"))))</f>
        <v/>
      </c>
      <c r="M69" s="200" t="inlineStr"/>
      <c r="N69" s="200" t="inlineStr">
        <is>
          <t>Pending</t>
        </is>
      </c>
    </row>
    <row r="70">
      <c r="A70" s="178" t="n">
        <v>69</v>
      </c>
      <c r="B70" s="178" t="inlineStr">
        <is>
          <t>Watches</t>
        </is>
      </c>
      <c r="C70" s="179" t="inlineStr">
        <is>
          <t>2026-04-24</t>
        </is>
      </c>
      <c r="D70" s="180" t="inlineStr">
        <is>
          <t>SLGCW/17/26-27</t>
        </is>
      </c>
      <c r="E70" s="180" t="inlineStr">
        <is>
          <t>Navkar Watch &amp; Premium</t>
        </is>
      </c>
      <c r="F70" s="181" t="n">
        <v>280312</v>
      </c>
      <c r="G70" s="179" t="inlineStr">
        <is>
          <t>2026-05-24</t>
        </is>
      </c>
      <c r="H70" s="182" t="n">
        <v>0</v>
      </c>
      <c r="I70" s="180">
        <f>MAX(0,F70-H70)</f>
        <v/>
      </c>
      <c r="J70" s="180">
        <f>IF(G70="",0,MAX(0,TODAY()-G70))</f>
        <v/>
      </c>
      <c r="K70" s="180">
        <f>IF(I70&lt;=0,"Current",IF(J70&lt;=30,"0-30 Days",IF(J70&lt;=60,"31-60 Days",IF(J70&lt;=90,"61-90 Days","90+ Days"))))</f>
        <v/>
      </c>
      <c r="L70" s="180">
        <f>IF(I70&lt;=0,"-",IF(J70&lt;=30,"Low",IF(J70&lt;=60,"Low-Medium",IF(J70&lt;=90,"Medium","HIGH RISK"))))</f>
        <v/>
      </c>
      <c r="M70" s="180" t="inlineStr"/>
      <c r="N70" s="180" t="inlineStr">
        <is>
          <t>Pending</t>
        </is>
      </c>
    </row>
    <row r="71">
      <c r="A71" s="198" t="n">
        <v>70</v>
      </c>
      <c r="B71" s="198" t="inlineStr">
        <is>
          <t>Watches</t>
        </is>
      </c>
      <c r="C71" s="199" t="inlineStr">
        <is>
          <t>2026-05-02</t>
        </is>
      </c>
      <c r="D71" s="200" t="inlineStr">
        <is>
          <t>SLGCW/55/26-27</t>
        </is>
      </c>
      <c r="E71" s="200" t="inlineStr">
        <is>
          <t>Navkar Watch &amp; Premium</t>
        </is>
      </c>
      <c r="F71" s="201" t="n">
        <v>19688</v>
      </c>
      <c r="G71" s="199" t="inlineStr">
        <is>
          <t>2026-06-01</t>
        </is>
      </c>
      <c r="H71" s="202" t="n">
        <v>0</v>
      </c>
      <c r="I71" s="200">
        <f>MAX(0,F71-H71)</f>
        <v/>
      </c>
      <c r="J71" s="200">
        <f>IF(G71="",0,MAX(0,TODAY()-G71))</f>
        <v/>
      </c>
      <c r="K71" s="200">
        <f>IF(I71&lt;=0,"Current",IF(J71&lt;=30,"0-30 Days",IF(J71&lt;=60,"31-60 Days",IF(J71&lt;=90,"61-90 Days","90+ Days"))))</f>
        <v/>
      </c>
      <c r="L71" s="200">
        <f>IF(I71&lt;=0,"-",IF(J71&lt;=30,"Low",IF(J71&lt;=60,"Low-Medium",IF(J71&lt;=90,"Medium","HIGH RISK"))))</f>
        <v/>
      </c>
      <c r="M71" s="200" t="inlineStr"/>
      <c r="N71" s="200" t="inlineStr">
        <is>
          <t>Pending</t>
        </is>
      </c>
    </row>
    <row r="72">
      <c r="A72" s="178" t="n">
        <v>71</v>
      </c>
      <c r="B72" s="178" t="inlineStr">
        <is>
          <t>Watches</t>
        </is>
      </c>
      <c r="C72" s="179" t="inlineStr">
        <is>
          <t>2026-04-24</t>
        </is>
      </c>
      <c r="D72" s="180" t="inlineStr">
        <is>
          <t>SLGCW/16/26-27</t>
        </is>
      </c>
      <c r="E72" s="180" t="inlineStr">
        <is>
          <t>RAMDEV WATCH CO.</t>
        </is>
      </c>
      <c r="F72" s="181" t="n">
        <v>886138</v>
      </c>
      <c r="G72" s="179" t="inlineStr">
        <is>
          <t>2026-05-24</t>
        </is>
      </c>
      <c r="H72" s="182" t="n">
        <v>0</v>
      </c>
      <c r="I72" s="180">
        <f>MAX(0,F72-H72)</f>
        <v/>
      </c>
      <c r="J72" s="180">
        <f>IF(G72="",0,MAX(0,TODAY()-G72))</f>
        <v/>
      </c>
      <c r="K72" s="180">
        <f>IF(I72&lt;=0,"Current",IF(J72&lt;=30,"0-30 Days",IF(J72&lt;=60,"31-60 Days",IF(J72&lt;=90,"61-90 Days","90+ Days"))))</f>
        <v/>
      </c>
      <c r="L72" s="180">
        <f>IF(I72&lt;=0,"-",IF(J72&lt;=30,"Low",IF(J72&lt;=60,"Low-Medium",IF(J72&lt;=90,"Medium","HIGH RISK"))))</f>
        <v/>
      </c>
      <c r="M72" s="180" t="inlineStr"/>
      <c r="N72" s="180" t="inlineStr">
        <is>
          <t>Pending</t>
        </is>
      </c>
    </row>
    <row r="73">
      <c r="A73" s="198" t="n">
        <v>72</v>
      </c>
      <c r="B73" s="198" t="inlineStr">
        <is>
          <t>Watches</t>
        </is>
      </c>
      <c r="C73" s="199" t="inlineStr">
        <is>
          <t>2026-05-02</t>
        </is>
      </c>
      <c r="D73" s="200" t="inlineStr">
        <is>
          <t>SLGCW/54/26-27</t>
        </is>
      </c>
      <c r="E73" s="200" t="inlineStr">
        <is>
          <t>RAMDEV WATCH CO.</t>
        </is>
      </c>
      <c r="F73" s="201" t="n">
        <v>19688</v>
      </c>
      <c r="G73" s="199" t="inlineStr">
        <is>
          <t>2026-06-01</t>
        </is>
      </c>
      <c r="H73" s="202" t="n">
        <v>0</v>
      </c>
      <c r="I73" s="200">
        <f>MAX(0,F73-H73)</f>
        <v/>
      </c>
      <c r="J73" s="200">
        <f>IF(G73="",0,MAX(0,TODAY()-G73))</f>
        <v/>
      </c>
      <c r="K73" s="200">
        <f>IF(I73&lt;=0,"Current",IF(J73&lt;=30,"0-30 Days",IF(J73&lt;=60,"31-60 Days",IF(J73&lt;=90,"61-90 Days","90+ Days"))))</f>
        <v/>
      </c>
      <c r="L73" s="200">
        <f>IF(I73&lt;=0,"-",IF(J73&lt;=30,"Low",IF(J73&lt;=60,"Low-Medium",IF(J73&lt;=90,"Medium","HIGH RISK"))))</f>
        <v/>
      </c>
      <c r="M73" s="200" t="inlineStr"/>
      <c r="N73" s="200" t="inlineStr">
        <is>
          <t>Pending</t>
        </is>
      </c>
    </row>
    <row r="74">
      <c r="A74" s="178" t="n">
        <v>73</v>
      </c>
      <c r="B74" s="178" t="inlineStr">
        <is>
          <t>Watches</t>
        </is>
      </c>
      <c r="C74" s="179" t="inlineStr">
        <is>
          <t>2026-05-15</t>
        </is>
      </c>
      <c r="D74" s="180" t="inlineStr">
        <is>
          <t>SLGCW/64/26-27</t>
        </is>
      </c>
      <c r="E74" s="180" t="inlineStr">
        <is>
          <t>RAMDEV WATCH CO.</t>
        </is>
      </c>
      <c r="F74" s="181" t="n">
        <v>11676</v>
      </c>
      <c r="G74" s="179" t="inlineStr">
        <is>
          <t>2026-06-14</t>
        </is>
      </c>
      <c r="H74" s="182" t="n">
        <v>0</v>
      </c>
      <c r="I74" s="180">
        <f>MAX(0,F74-H74)</f>
        <v/>
      </c>
      <c r="J74" s="180">
        <f>IF(G74="",0,MAX(0,TODAY()-G74))</f>
        <v/>
      </c>
      <c r="K74" s="180">
        <f>IF(I74&lt;=0,"Current",IF(J74&lt;=30,"0-30 Days",IF(J74&lt;=60,"31-60 Days",IF(J74&lt;=90,"61-90 Days","90+ Days"))))</f>
        <v/>
      </c>
      <c r="L74" s="180">
        <f>IF(I74&lt;=0,"-",IF(J74&lt;=30,"Low",IF(J74&lt;=60,"Low-Medium",IF(J74&lt;=90,"Medium","HIGH RISK"))))</f>
        <v/>
      </c>
      <c r="M74" s="180" t="inlineStr"/>
      <c r="N74" s="180" t="inlineStr">
        <is>
          <t>Pending</t>
        </is>
      </c>
    </row>
    <row r="75">
      <c r="A75" s="198" t="n">
        <v>74</v>
      </c>
      <c r="B75" s="198" t="inlineStr">
        <is>
          <t>Watches</t>
        </is>
      </c>
      <c r="C75" s="199" t="inlineStr">
        <is>
          <t>2026-05-20</t>
        </is>
      </c>
      <c r="D75" s="200" t="inlineStr">
        <is>
          <t>SLGCW/78/26-27</t>
        </is>
      </c>
      <c r="E75" s="200" t="inlineStr">
        <is>
          <t>RAMDEV WATCH CO.</t>
        </is>
      </c>
      <c r="F75" s="201" t="n">
        <v>120998</v>
      </c>
      <c r="G75" s="199" t="inlineStr">
        <is>
          <t>2026-05-21</t>
        </is>
      </c>
      <c r="H75" s="202" t="n">
        <v>0</v>
      </c>
      <c r="I75" s="200">
        <f>MAX(0,F75-H75)</f>
        <v/>
      </c>
      <c r="J75" s="200">
        <f>IF(G75="",0,MAX(0,TODAY()-G75))</f>
        <v/>
      </c>
      <c r="K75" s="200">
        <f>IF(I75&lt;=0,"Current",IF(J75&lt;=30,"0-30 Days",IF(J75&lt;=60,"31-60 Days",IF(J75&lt;=90,"61-90 Days","90+ Days"))))</f>
        <v/>
      </c>
      <c r="L75" s="200">
        <f>IF(I75&lt;=0,"-",IF(J75&lt;=30,"Low",IF(J75&lt;=60,"Low-Medium",IF(J75&lt;=90,"Medium","HIGH RISK"))))</f>
        <v/>
      </c>
      <c r="M75" s="200" t="inlineStr"/>
      <c r="N75" s="200" t="inlineStr">
        <is>
          <t>Pending</t>
        </is>
      </c>
    </row>
    <row r="76">
      <c r="A76" s="178" t="n">
        <v>75</v>
      </c>
      <c r="B76" s="178" t="inlineStr">
        <is>
          <t>Watches</t>
        </is>
      </c>
      <c r="C76" s="179" t="inlineStr">
        <is>
          <t>2026-05-22</t>
        </is>
      </c>
      <c r="D76" s="180" t="inlineStr">
        <is>
          <t>SLGCW/83/26-27</t>
        </is>
      </c>
      <c r="E76" s="180" t="inlineStr">
        <is>
          <t>RAMDEV WATCH CO.</t>
        </is>
      </c>
      <c r="F76" s="181" t="n">
        <v>13397</v>
      </c>
      <c r="G76" s="179" t="inlineStr">
        <is>
          <t>2026-05-23</t>
        </is>
      </c>
      <c r="H76" s="182" t="n">
        <v>0</v>
      </c>
      <c r="I76" s="180">
        <f>MAX(0,F76-H76)</f>
        <v/>
      </c>
      <c r="J76" s="180">
        <f>IF(G76="",0,MAX(0,TODAY()-G76))</f>
        <v/>
      </c>
      <c r="K76" s="180">
        <f>IF(I76&lt;=0,"Current",IF(J76&lt;=30,"0-30 Days",IF(J76&lt;=60,"31-60 Days",IF(J76&lt;=90,"61-90 Days","90+ Days"))))</f>
        <v/>
      </c>
      <c r="L76" s="180">
        <f>IF(I76&lt;=0,"-",IF(J76&lt;=30,"Low",IF(J76&lt;=60,"Low-Medium",IF(J76&lt;=90,"Medium","HIGH RISK"))))</f>
        <v/>
      </c>
      <c r="M76" s="180" t="inlineStr"/>
      <c r="N76" s="180" t="inlineStr">
        <is>
          <t>Pending</t>
        </is>
      </c>
    </row>
    <row r="77">
      <c r="A77" s="198" t="n">
        <v>76</v>
      </c>
      <c r="B77" s="198" t="inlineStr">
        <is>
          <t>Watches</t>
        </is>
      </c>
      <c r="C77" s="199" t="inlineStr">
        <is>
          <t>2026-05-22</t>
        </is>
      </c>
      <c r="D77" s="200" t="inlineStr">
        <is>
          <t>SLGCW/81/26-27</t>
        </is>
      </c>
      <c r="E77" s="200" t="inlineStr">
        <is>
          <t>RAMDEV WATCH CO.</t>
        </is>
      </c>
      <c r="F77" s="201" t="n">
        <v>19111</v>
      </c>
      <c r="G77" s="199" t="inlineStr">
        <is>
          <t>2026-07-06</t>
        </is>
      </c>
      <c r="H77" s="202" t="n">
        <v>0</v>
      </c>
      <c r="I77" s="200">
        <f>MAX(0,F77-H77)</f>
        <v/>
      </c>
      <c r="J77" s="200">
        <f>IF(G77="",0,MAX(0,TODAY()-G77))</f>
        <v/>
      </c>
      <c r="K77" s="200">
        <f>IF(I77&lt;=0,"Current",IF(J77&lt;=30,"0-30 Days",IF(J77&lt;=60,"31-60 Days",IF(J77&lt;=90,"61-90 Days","90+ Days"))))</f>
        <v/>
      </c>
      <c r="L77" s="200">
        <f>IF(I77&lt;=0,"-",IF(J77&lt;=30,"Low",IF(J77&lt;=60,"Low-Medium",IF(J77&lt;=90,"Medium","HIGH RISK"))))</f>
        <v/>
      </c>
      <c r="M77" s="200" t="inlineStr"/>
      <c r="N77" s="200" t="inlineStr">
        <is>
          <t>Pending</t>
        </is>
      </c>
    </row>
    <row r="78">
      <c r="A78" s="178" t="n">
        <v>77</v>
      </c>
      <c r="B78" s="178" t="inlineStr">
        <is>
          <t>Watches</t>
        </is>
      </c>
      <c r="C78" s="179" t="inlineStr">
        <is>
          <t>2026-05-20</t>
        </is>
      </c>
      <c r="D78" s="180" t="inlineStr">
        <is>
          <t>SLGCW/79/26-27</t>
        </is>
      </c>
      <c r="E78" s="180" t="inlineStr">
        <is>
          <t>RAMDEV WATCH CO.</t>
        </is>
      </c>
      <c r="F78" s="181" t="n">
        <v>1</v>
      </c>
      <c r="G78" s="179" t="inlineStr">
        <is>
          <t>2026-05-20</t>
        </is>
      </c>
      <c r="H78" s="182" t="n">
        <v>0</v>
      </c>
      <c r="I78" s="180">
        <f>MAX(0,F78-H78)</f>
        <v/>
      </c>
      <c r="J78" s="180">
        <f>IF(G78="",0,MAX(0,TODAY()-G78))</f>
        <v/>
      </c>
      <c r="K78" s="180">
        <f>IF(I78&lt;=0,"Current",IF(J78&lt;=30,"0-30 Days",IF(J78&lt;=60,"31-60 Days",IF(J78&lt;=90,"61-90 Days","90+ Days"))))</f>
        <v/>
      </c>
      <c r="L78" s="180">
        <f>IF(I78&lt;=0,"-",IF(J78&lt;=30,"Low",IF(J78&lt;=60,"Low-Medium",IF(J78&lt;=90,"Medium","HIGH RISK"))))</f>
        <v/>
      </c>
      <c r="M78" s="180" t="inlineStr"/>
      <c r="N78" s="180" t="inlineStr">
        <is>
          <t>Pending</t>
        </is>
      </c>
    </row>
    <row r="79">
      <c r="A79" s="198" t="n">
        <v>78</v>
      </c>
      <c r="B79" s="198" t="inlineStr">
        <is>
          <t>Watches</t>
        </is>
      </c>
      <c r="C79" s="199" t="inlineStr">
        <is>
          <t>2026-05-23</t>
        </is>
      </c>
      <c r="D79" s="200" t="inlineStr">
        <is>
          <t>SLGCW/84/26-27</t>
        </is>
      </c>
      <c r="E79" s="200" t="inlineStr">
        <is>
          <t>RAMDEV WATCH CO.</t>
        </is>
      </c>
      <c r="F79" s="201" t="n">
        <v>33663</v>
      </c>
      <c r="G79" s="199" t="inlineStr">
        <is>
          <t>2026-05-24</t>
        </is>
      </c>
      <c r="H79" s="202" t="n">
        <v>0</v>
      </c>
      <c r="I79" s="200">
        <f>MAX(0,F79-H79)</f>
        <v/>
      </c>
      <c r="J79" s="200">
        <f>IF(G79="",0,MAX(0,TODAY()-G79))</f>
        <v/>
      </c>
      <c r="K79" s="200">
        <f>IF(I79&lt;=0,"Current",IF(J79&lt;=30,"0-30 Days",IF(J79&lt;=60,"31-60 Days",IF(J79&lt;=90,"61-90 Days","90+ Days"))))</f>
        <v/>
      </c>
      <c r="L79" s="200">
        <f>IF(I79&lt;=0,"-",IF(J79&lt;=30,"Low",IF(J79&lt;=60,"Low-Medium",IF(J79&lt;=90,"Medium","HIGH RISK"))))</f>
        <v/>
      </c>
      <c r="M79" s="200" t="inlineStr"/>
      <c r="N79" s="200" t="inlineStr">
        <is>
          <t>Pending</t>
        </is>
      </c>
    </row>
    <row r="80">
      <c r="A80" s="178" t="n">
        <v>79</v>
      </c>
      <c r="B80" s="178" t="inlineStr">
        <is>
          <t>Watches</t>
        </is>
      </c>
      <c r="C80" s="179" t="inlineStr">
        <is>
          <t>2026-05-20</t>
        </is>
      </c>
      <c r="D80" s="180" t="inlineStr">
        <is>
          <t>SLGCW/74/26-27</t>
        </is>
      </c>
      <c r="E80" s="180" t="inlineStr">
        <is>
          <t>RAMDEV WATCH CO.</t>
        </is>
      </c>
      <c r="F80" s="181" t="n">
        <v>29485</v>
      </c>
      <c r="G80" s="179" t="inlineStr">
        <is>
          <t>2026-06-19</t>
        </is>
      </c>
      <c r="H80" s="182" t="n">
        <v>0</v>
      </c>
      <c r="I80" s="180">
        <f>MAX(0,F80-H80)</f>
        <v/>
      </c>
      <c r="J80" s="180">
        <f>IF(G80="",0,MAX(0,TODAY()-G80))</f>
        <v/>
      </c>
      <c r="K80" s="180">
        <f>IF(I80&lt;=0,"Current",IF(J80&lt;=30,"0-30 Days",IF(J80&lt;=60,"31-60 Days",IF(J80&lt;=90,"61-90 Days","90+ Days"))))</f>
        <v/>
      </c>
      <c r="L80" s="180">
        <f>IF(I80&lt;=0,"-",IF(J80&lt;=30,"Low",IF(J80&lt;=60,"Low-Medium",IF(J80&lt;=90,"Medium","HIGH RISK"))))</f>
        <v/>
      </c>
      <c r="M80" s="180" t="inlineStr"/>
      <c r="N80" s="180" t="inlineStr">
        <is>
          <t>Pending</t>
        </is>
      </c>
    </row>
    <row r="81">
      <c r="A81" s="193" t="n">
        <v>80</v>
      </c>
      <c r="B81" s="193" t="inlineStr">
        <is>
          <t>Watches</t>
        </is>
      </c>
      <c r="C81" s="194" t="n">
        <v>46161</v>
      </c>
      <c r="D81" s="195" t="inlineStr">
        <is>
          <t>SLGCW/71/26-27</t>
        </is>
      </c>
      <c r="E81" s="195" t="inlineStr">
        <is>
          <t>RAMDEV WATCH CO.</t>
        </is>
      </c>
      <c r="F81" s="196" t="n">
        <v>206851</v>
      </c>
      <c r="G81" s="194" t="n">
        <v>46206</v>
      </c>
      <c r="H81" s="197" t="n">
        <v>0</v>
      </c>
      <c r="I81" s="195">
        <f>MAX(0,F81-H81)</f>
        <v/>
      </c>
      <c r="J81" s="195">
        <f>IF(G81="",0,MAX(0,TODAY()-G81))</f>
        <v/>
      </c>
      <c r="K81" s="195">
        <f>IF(I81&lt;=0,"Current",IF(J81&lt;=30,"0-30 Days",IF(J81&lt;=60,"31-60 Days",IF(J81&lt;=90,"61-90 Days","90+ Days"))))</f>
        <v/>
      </c>
      <c r="L81" s="195">
        <f>IF(I81&lt;=0,"-",IF(J81&lt;=30,"Low",IF(J81&lt;=60,"Low-Medium",IF(J81&lt;=90,"Medium","HIGH RISK"))))</f>
        <v/>
      </c>
      <c r="M81" s="195" t="inlineStr"/>
      <c r="N81" s="195" t="inlineStr">
        <is>
          <t>Pending</t>
        </is>
      </c>
    </row>
    <row r="82">
      <c r="A82" s="193" t="n">
        <v>81</v>
      </c>
      <c r="B82" s="193" t="inlineStr">
        <is>
          <t>Watches</t>
        </is>
      </c>
      <c r="C82" s="194" t="n">
        <v>46162</v>
      </c>
      <c r="D82" s="195" t="inlineStr">
        <is>
          <t>SLGCW/75/26-27</t>
        </is>
      </c>
      <c r="E82" s="195" t="inlineStr">
        <is>
          <t>RAMDEV WATCH CO.</t>
        </is>
      </c>
      <c r="F82" s="196" t="n">
        <v>9028</v>
      </c>
      <c r="G82" s="194" t="n">
        <v>46207</v>
      </c>
      <c r="H82" s="197" t="n">
        <v>0</v>
      </c>
      <c r="I82" s="195">
        <f>MAX(0,F82-H82)</f>
        <v/>
      </c>
      <c r="J82" s="195">
        <f>IF(G82="",0,MAX(0,TODAY()-G82))</f>
        <v/>
      </c>
      <c r="K82" s="195">
        <f>IF(I82&lt;=0,"Current",IF(J82&lt;=30,"0-30 Days",IF(J82&lt;=60,"31-60 Days",IF(J82&lt;=90,"61-90 Days","90+ Days"))))</f>
        <v/>
      </c>
      <c r="L82" s="195">
        <f>IF(I82&lt;=0,"-",IF(J82&lt;=30,"Low",IF(J82&lt;=60,"Low-Medium",IF(J82&lt;=90,"Medium","HIGH RISK"))))</f>
        <v/>
      </c>
      <c r="M82" s="195" t="inlineStr"/>
      <c r="N82" s="195" t="inlineStr">
        <is>
          <t>Pending</t>
        </is>
      </c>
    </row>
    <row r="83">
      <c r="A83" s="193" t="n">
        <v>82</v>
      </c>
      <c r="B83" s="193" t="inlineStr">
        <is>
          <t>Watches</t>
        </is>
      </c>
      <c r="C83" s="194" t="n">
        <v>46162</v>
      </c>
      <c r="D83" s="195" t="inlineStr">
        <is>
          <t>SLGCW/76/26-27</t>
        </is>
      </c>
      <c r="E83" s="195" t="inlineStr">
        <is>
          <t>RAMDEV WATCH CO.</t>
        </is>
      </c>
      <c r="F83" s="196" t="n">
        <v>20093</v>
      </c>
      <c r="G83" s="194" t="n">
        <v>46207</v>
      </c>
      <c r="H83" s="197" t="n">
        <v>0</v>
      </c>
      <c r="I83" s="195">
        <f>MAX(0,F83-H83)</f>
        <v/>
      </c>
      <c r="J83" s="195">
        <f>IF(G83="",0,MAX(0,TODAY()-G83))</f>
        <v/>
      </c>
      <c r="K83" s="195">
        <f>IF(I83&lt;=0,"Current",IF(J83&lt;=30,"0-30 Days",IF(J83&lt;=60,"31-60 Days",IF(J83&lt;=90,"61-90 Days","90+ Days"))))</f>
        <v/>
      </c>
      <c r="L83" s="195">
        <f>IF(I83&lt;=0,"-",IF(J83&lt;=30,"Low",IF(J83&lt;=60,"Low-Medium",IF(J83&lt;=90,"Medium","HIGH RISK"))))</f>
        <v/>
      </c>
      <c r="M83" s="195" t="inlineStr"/>
      <c r="N83" s="195" t="inlineStr">
        <is>
          <t>Pending</t>
        </is>
      </c>
    </row>
    <row r="84">
      <c r="A84" s="193" t="n">
        <v>83</v>
      </c>
      <c r="B84" s="193" t="inlineStr">
        <is>
          <t>Watches</t>
        </is>
      </c>
      <c r="C84" s="194" t="n">
        <v>46162</v>
      </c>
      <c r="D84" s="195" t="inlineStr">
        <is>
          <t>SLGCW/80/26-27</t>
        </is>
      </c>
      <c r="E84" s="195" t="inlineStr">
        <is>
          <t>RAMDEV WATCH CO.</t>
        </is>
      </c>
      <c r="F84" s="196" t="n">
        <v>118616</v>
      </c>
      <c r="G84" s="194" t="n">
        <v>46207</v>
      </c>
      <c r="H84" s="197" t="n">
        <v>0</v>
      </c>
      <c r="I84" s="195">
        <f>MAX(0,F84-H84)</f>
        <v/>
      </c>
      <c r="J84" s="195">
        <f>IF(G84="",0,MAX(0,TODAY()-G84))</f>
        <v/>
      </c>
      <c r="K84" s="195">
        <f>IF(I84&lt;=0,"Current",IF(J84&lt;=30,"0-30 Days",IF(J84&lt;=60,"31-60 Days",IF(J84&lt;=90,"61-90 Days","90+ Days"))))</f>
        <v/>
      </c>
      <c r="L84" s="195">
        <f>IF(I84&lt;=0,"-",IF(J84&lt;=30,"Low",IF(J84&lt;=60,"Low-Medium",IF(J84&lt;=90,"Medium","HIGH RISK"))))</f>
        <v/>
      </c>
      <c r="M84" s="195" t="inlineStr"/>
      <c r="N84" s="195" t="inlineStr">
        <is>
          <t>Pending</t>
        </is>
      </c>
    </row>
    <row r="85">
      <c r="A85" s="193" t="n">
        <v>84</v>
      </c>
      <c r="B85" s="193" t="inlineStr">
        <is>
          <t>Watches</t>
        </is>
      </c>
      <c r="C85" s="194" t="n">
        <v>46164</v>
      </c>
      <c r="D85" s="195" t="inlineStr">
        <is>
          <t>SLGCW/82/26-27</t>
        </is>
      </c>
      <c r="E85" s="195" t="inlineStr">
        <is>
          <t>RAMDEV WATCH CO.</t>
        </is>
      </c>
      <c r="F85" s="196" t="n">
        <v>41660</v>
      </c>
      <c r="G85" s="194" t="n">
        <v>46209</v>
      </c>
      <c r="H85" s="197" t="n">
        <v>0</v>
      </c>
      <c r="I85" s="195">
        <f>MAX(0,F85-H85)</f>
        <v/>
      </c>
      <c r="J85" s="195">
        <f>IF(G85="",0,MAX(0,TODAY()-G85))</f>
        <v/>
      </c>
      <c r="K85" s="195">
        <f>IF(I85&lt;=0,"Current",IF(J85&lt;=30,"0-30 Days",IF(J85&lt;=60,"31-60 Days",IF(J85&lt;=90,"61-90 Days","90+ Days"))))</f>
        <v/>
      </c>
      <c r="L85" s="195">
        <f>IF(I85&lt;=0,"-",IF(J85&lt;=30,"Low",IF(J85&lt;=60,"Low-Medium",IF(J85&lt;=90,"Medium","HIGH RISK"))))</f>
        <v/>
      </c>
      <c r="M85" s="195" t="inlineStr"/>
      <c r="N85" s="195" t="inlineStr">
        <is>
          <t>Pending</t>
        </is>
      </c>
    </row>
    <row r="86">
      <c r="A86" s="193" t="n">
        <v>85</v>
      </c>
      <c r="B86" s="193" t="inlineStr">
        <is>
          <t>Watches</t>
        </is>
      </c>
      <c r="C86" s="194" t="n">
        <v>46165</v>
      </c>
      <c r="D86" s="195" t="inlineStr">
        <is>
          <t>SLGCW/85/26-27</t>
        </is>
      </c>
      <c r="E86" s="195" t="inlineStr">
        <is>
          <t>RAMDEV WATCH CO.</t>
        </is>
      </c>
      <c r="F86" s="196" t="n">
        <v>52735</v>
      </c>
      <c r="G86" s="194" t="n">
        <v>46210</v>
      </c>
      <c r="H86" s="197" t="n">
        <v>0</v>
      </c>
      <c r="I86" s="195">
        <f>MAX(0,F86-H86)</f>
        <v/>
      </c>
      <c r="J86" s="195">
        <f>IF(G86="",0,MAX(0,TODAY()-G86))</f>
        <v/>
      </c>
      <c r="K86" s="195">
        <f>IF(I86&lt;=0,"Current",IF(J86&lt;=30,"0-30 Days",IF(J86&lt;=60,"31-60 Days",IF(J86&lt;=90,"61-90 Days","90+ Days"))))</f>
        <v/>
      </c>
      <c r="L86" s="195">
        <f>IF(I86&lt;=0,"-",IF(J86&lt;=30,"Low",IF(J86&lt;=60,"Low-Medium",IF(J86&lt;=90,"Medium","HIGH RISK"))))</f>
        <v/>
      </c>
      <c r="M86" s="195" t="inlineStr"/>
      <c r="N86" s="195" t="inlineStr">
        <is>
          <t>Pending</t>
        </is>
      </c>
    </row>
    <row r="87">
      <c r="A87" s="193" t="n">
        <v>86</v>
      </c>
      <c r="B87" s="193" t="inlineStr">
        <is>
          <t>Watches</t>
        </is>
      </c>
      <c r="C87" s="194" t="n">
        <v>46165</v>
      </c>
      <c r="D87" s="195" t="inlineStr">
        <is>
          <t>SLGCW/86/26-27</t>
        </is>
      </c>
      <c r="E87" s="195" t="inlineStr">
        <is>
          <t>RAMDEV WATCH CO.</t>
        </is>
      </c>
      <c r="F87" s="196" t="n">
        <v>28280</v>
      </c>
      <c r="G87" s="194" t="n">
        <v>46210</v>
      </c>
      <c r="H87" s="197" t="n">
        <v>0</v>
      </c>
      <c r="I87" s="195">
        <f>MAX(0,F87-H87)</f>
        <v/>
      </c>
      <c r="J87" s="195">
        <f>IF(G87="",0,MAX(0,TODAY()-G87))</f>
        <v/>
      </c>
      <c r="K87" s="195">
        <f>IF(I87&lt;=0,"Current",IF(J87&lt;=30,"0-30 Days",IF(J87&lt;=60,"31-60 Days",IF(J87&lt;=90,"61-90 Days","90+ Days"))))</f>
        <v/>
      </c>
      <c r="L87" s="195">
        <f>IF(I87&lt;=0,"-",IF(J87&lt;=30,"Low",IF(J87&lt;=60,"Low-Medium",IF(J87&lt;=90,"Medium","HIGH RISK"))))</f>
        <v/>
      </c>
      <c r="M87" s="195" t="inlineStr"/>
      <c r="N87" s="195" t="inlineStr">
        <is>
          <t>Pending</t>
        </is>
      </c>
    </row>
    <row r="88">
      <c r="A88" s="188" t="n">
        <v>87</v>
      </c>
      <c r="B88" s="188" t="inlineStr">
        <is>
          <t>Mujahid</t>
        </is>
      </c>
      <c r="C88" s="189" t="n">
        <v>45083</v>
      </c>
      <c r="D88" s="190" t="inlineStr">
        <is>
          <t>Bounce Charges-429</t>
        </is>
      </c>
      <c r="E88" s="190" t="inlineStr">
        <is>
          <t>BAGARIA AGENCIES</t>
        </is>
      </c>
      <c r="F88" s="191" t="n">
        <v>500</v>
      </c>
      <c r="G88" s="189" t="n">
        <v>45083</v>
      </c>
      <c r="H88" s="192" t="n">
        <v>0</v>
      </c>
      <c r="I88" s="190">
        <f>MAX(0,F88-H88)</f>
        <v/>
      </c>
      <c r="J88" s="190">
        <f>IF(G88="",0,MAX(0,TODAY()-G88))</f>
        <v/>
      </c>
      <c r="K88" s="190">
        <f>IF(I88&lt;=0,"Current",IF(J88&lt;=30,"0-30 Days",IF(J88&lt;=60,"31-60 Days",IF(J88&lt;=90,"61-90 Days","90+ Days"))))</f>
        <v/>
      </c>
      <c r="L88" s="190">
        <f>IF(I88&lt;=0,"-",IF(J88&lt;=30,"Low",IF(J88&lt;=60,"Low-Medium",IF(J88&lt;=90,"Medium","HIGH RISK"))))</f>
        <v/>
      </c>
      <c r="M88" s="190" t="inlineStr">
        <is>
          <t>Old Issue</t>
        </is>
      </c>
      <c r="N88" s="190" t="inlineStr">
        <is>
          <t>Pending</t>
        </is>
      </c>
    </row>
    <row r="89">
      <c r="A89" s="213" t="n">
        <v>88</v>
      </c>
      <c r="B89" s="213" t="inlineStr">
        <is>
          <t>Mujahid</t>
        </is>
      </c>
      <c r="C89" s="214" t="n">
        <v>46087</v>
      </c>
      <c r="D89" s="215" t="inlineStr">
        <is>
          <t>C-SLG/2322/25-26</t>
        </is>
      </c>
      <c r="E89" s="215" t="inlineStr">
        <is>
          <t>BAGARIA AGENCIES</t>
        </is>
      </c>
      <c r="F89" s="216" t="n">
        <v>1427</v>
      </c>
      <c r="G89" s="214" t="n">
        <v>46112</v>
      </c>
      <c r="H89" s="217" t="n">
        <v>0</v>
      </c>
      <c r="I89" s="215">
        <f>MAX(0,F89-H89)</f>
        <v/>
      </c>
      <c r="J89" s="215">
        <f>IF(G89="",0,MAX(0,TODAY()-G89))</f>
        <v/>
      </c>
      <c r="K89" s="215">
        <f>IF(I89&lt;=0,"Current",IF(J89&lt;=30,"0-30 Days",IF(J89&lt;=60,"31-60 Days",IF(J89&lt;=90,"61-90 Days","90+ Days"))))</f>
        <v/>
      </c>
      <c r="L89" s="215">
        <f>IF(I89&lt;=0,"-",IF(J89&lt;=30,"Low",IF(J89&lt;=60,"Low-Medium",IF(J89&lt;=90,"Medium","HIGH RISK"))))</f>
        <v/>
      </c>
      <c r="M89" s="215" t="inlineStr">
        <is>
          <t>Sample Piece to MJ</t>
        </is>
      </c>
      <c r="N89" s="215" t="inlineStr">
        <is>
          <t>Pending</t>
        </is>
      </c>
    </row>
    <row r="90">
      <c r="A90" s="188" t="n">
        <v>89</v>
      </c>
      <c r="B90" s="188" t="inlineStr">
        <is>
          <t>Mujahid</t>
        </is>
      </c>
      <c r="C90" s="189" t="n">
        <v>45870</v>
      </c>
      <c r="D90" s="190" t="inlineStr">
        <is>
          <t>Bounce Charges-803</t>
        </is>
      </c>
      <c r="E90" s="190" t="inlineStr">
        <is>
          <t>BALAJI ENTERPRISES</t>
        </is>
      </c>
      <c r="F90" s="191" t="n">
        <v>400</v>
      </c>
      <c r="G90" s="189" t="n">
        <v>45895</v>
      </c>
      <c r="H90" s="192" t="n">
        <v>0</v>
      </c>
      <c r="I90" s="190">
        <f>MAX(0,F90-H90)</f>
        <v/>
      </c>
      <c r="J90" s="190">
        <f>IF(G90="",0,MAX(0,TODAY()-G90))</f>
        <v/>
      </c>
      <c r="K90" s="190">
        <f>IF(I90&lt;=0,"Current",IF(J90&lt;=30,"0-30 Days",IF(J90&lt;=60,"31-60 Days",IF(J90&lt;=90,"61-90 Days","90+ Days"))))</f>
        <v/>
      </c>
      <c r="L90" s="190">
        <f>IF(I90&lt;=0,"-",IF(J90&lt;=30,"Low",IF(J90&lt;=60,"Low-Medium",IF(J90&lt;=90,"Medium","HIGH RISK"))))</f>
        <v/>
      </c>
      <c r="M90" s="190" t="inlineStr">
        <is>
          <t>Customer Paid</t>
        </is>
      </c>
      <c r="N90" s="190" t="inlineStr">
        <is>
          <t>Pending</t>
        </is>
      </c>
    </row>
    <row r="91">
      <c r="A91" s="198" t="n">
        <v>90</v>
      </c>
      <c r="B91" s="198" t="inlineStr">
        <is>
          <t>Mujahid</t>
        </is>
      </c>
      <c r="C91" s="199" t="n">
        <v>46119</v>
      </c>
      <c r="D91" s="200" t="inlineStr">
        <is>
          <t>Bounce Charges-168</t>
        </is>
      </c>
      <c r="E91" s="200" t="inlineStr">
        <is>
          <t>BALAJI ENTERPRISES</t>
        </is>
      </c>
      <c r="F91" s="201" t="n">
        <v>500</v>
      </c>
      <c r="G91" s="199" t="n">
        <v>46144</v>
      </c>
      <c r="H91" s="202" t="n">
        <v>0</v>
      </c>
      <c r="I91" s="200">
        <f>MAX(0,F91-H91)</f>
        <v/>
      </c>
      <c r="J91" s="200">
        <f>IF(G91="",0,MAX(0,TODAY()-G91))</f>
        <v/>
      </c>
      <c r="K91" s="200">
        <f>IF(I91&lt;=0,"Current",IF(J91&lt;=30,"0-30 Days",IF(J91&lt;=60,"31-60 Days",IF(J91&lt;=90,"61-90 Days","90+ Days"))))</f>
        <v/>
      </c>
      <c r="L91" s="200">
        <f>IF(I91&lt;=0,"-",IF(J91&lt;=30,"Low",IF(J91&lt;=60,"Low-Medium",IF(J91&lt;=90,"Medium","HIGH RISK"))))</f>
        <v/>
      </c>
      <c r="M91" s="200" t="inlineStr">
        <is>
          <t>Customer Paid</t>
        </is>
      </c>
      <c r="N91" s="200" t="inlineStr">
        <is>
          <t>Pending</t>
        </is>
      </c>
    </row>
    <row r="92">
      <c r="A92" s="193" t="n">
        <v>91</v>
      </c>
      <c r="B92" s="193" t="inlineStr">
        <is>
          <t>Mujahid</t>
        </is>
      </c>
      <c r="C92" s="194" t="n">
        <v>46156</v>
      </c>
      <c r="D92" s="195" t="inlineStr">
        <is>
          <t>C-SLG/0127/26-27</t>
        </is>
      </c>
      <c r="E92" s="195" t="inlineStr">
        <is>
          <t>BALAJI ENTERPRISES</t>
        </is>
      </c>
      <c r="F92" s="196" t="n">
        <v>28600</v>
      </c>
      <c r="G92" s="194" t="n">
        <v>46181</v>
      </c>
      <c r="H92" s="197" t="n">
        <v>0</v>
      </c>
      <c r="I92" s="195">
        <f>MAX(0,F92-H92)</f>
        <v/>
      </c>
      <c r="J92" s="195">
        <f>IF(G92="",0,MAX(0,TODAY()-G92))</f>
        <v/>
      </c>
      <c r="K92" s="195">
        <f>IF(I92&lt;=0,"Current",IF(J92&lt;=30,"0-30 Days",IF(J92&lt;=60,"31-60 Days",IF(J92&lt;=90,"61-90 Days","90+ Days"))))</f>
        <v/>
      </c>
      <c r="L92" s="195">
        <f>IF(I92&lt;=0,"-",IF(J92&lt;=30,"Low",IF(J92&lt;=60,"Low-Medium",IF(J92&lt;=90,"Medium","HIGH RISK"))))</f>
        <v/>
      </c>
      <c r="M92" s="195" t="inlineStr"/>
      <c r="N92" s="195" t="inlineStr">
        <is>
          <t>Pending</t>
        </is>
      </c>
    </row>
    <row r="93">
      <c r="A93" s="208" t="n">
        <v>92</v>
      </c>
      <c r="B93" s="208" t="inlineStr">
        <is>
          <t>Mujahid</t>
        </is>
      </c>
      <c r="C93" s="209" t="n">
        <v>46107</v>
      </c>
      <c r="D93" s="210" t="inlineStr">
        <is>
          <t>C-SLG/2438/25-26</t>
        </is>
      </c>
      <c r="E93" s="210" t="inlineStr">
        <is>
          <t>BANNU ENTERPRISES</t>
        </is>
      </c>
      <c r="F93" s="211" t="n">
        <v>67462</v>
      </c>
      <c r="G93" s="209" t="n">
        <v>46107</v>
      </c>
      <c r="H93" s="212" t="n">
        <v>0</v>
      </c>
      <c r="I93" s="210">
        <f>MAX(0,F93-H93)</f>
        <v/>
      </c>
      <c r="J93" s="210">
        <f>IF(G93="",0,MAX(0,TODAY()-G93))</f>
        <v/>
      </c>
      <c r="K93" s="210">
        <f>IF(I93&lt;=0,"Current",IF(J93&lt;=30,"0-30 Days",IF(J93&lt;=60,"31-60 Days",IF(J93&lt;=90,"61-90 Days","90+ Days"))))</f>
        <v/>
      </c>
      <c r="L93" s="210">
        <f>IF(I93&lt;=0,"-",IF(J93&lt;=30,"Low",IF(J93&lt;=60,"Low-Medium",IF(J93&lt;=90,"Medium","HIGH RISK"))))</f>
        <v/>
      </c>
      <c r="M93" s="210" t="inlineStr">
        <is>
          <t>DSO will Collect</t>
        </is>
      </c>
      <c r="N93" s="210" t="inlineStr">
        <is>
          <t>Pending</t>
        </is>
      </c>
    </row>
    <row r="94">
      <c r="A94" s="218" t="n">
        <v>93</v>
      </c>
      <c r="B94" s="218" t="inlineStr">
        <is>
          <t>Mujahid</t>
        </is>
      </c>
      <c r="C94" s="219" t="n">
        <v>46087</v>
      </c>
      <c r="D94" s="220" t="inlineStr">
        <is>
          <t>Bounce Charges-2567</t>
        </is>
      </c>
      <c r="E94" s="220" t="inlineStr">
        <is>
          <t>DHANLAKSHMI ENTERPRISES</t>
        </is>
      </c>
      <c r="F94" s="221" t="n">
        <v>500</v>
      </c>
      <c r="G94" s="219" t="n">
        <v>46112</v>
      </c>
      <c r="H94" s="222" t="n">
        <v>0</v>
      </c>
      <c r="I94" s="220">
        <f>MAX(0,F94-H94)</f>
        <v/>
      </c>
      <c r="J94" s="220">
        <f>IF(G94="",0,MAX(0,TODAY()-G94))</f>
        <v/>
      </c>
      <c r="K94" s="220">
        <f>IF(I94&lt;=0,"Current",IF(J94&lt;=30,"0-30 Days",IF(J94&lt;=60,"31-60 Days",IF(J94&lt;=90,"61-90 Days","90+ Days"))))</f>
        <v/>
      </c>
      <c r="L94" s="220">
        <f>IF(I94&lt;=0,"-",IF(J94&lt;=30,"Low",IF(J94&lt;=60,"Low-Medium",IF(J94&lt;=90,"Medium","HIGH RISK"))))</f>
        <v/>
      </c>
      <c r="M94" s="220" t="inlineStr">
        <is>
          <t>Number Busy</t>
        </is>
      </c>
      <c r="N94" s="220" t="inlineStr">
        <is>
          <t>Pending</t>
        </is>
      </c>
    </row>
    <row r="95">
      <c r="A95" s="183" t="n">
        <v>94</v>
      </c>
      <c r="B95" s="183" t="inlineStr">
        <is>
          <t>Mujahid</t>
        </is>
      </c>
      <c r="C95" s="184" t="n">
        <v>46008</v>
      </c>
      <c r="D95" s="185" t="inlineStr">
        <is>
          <t>C-SLG/1915/25-26</t>
        </is>
      </c>
      <c r="E95" s="185" t="inlineStr">
        <is>
          <t>Dynamic Computer &amp; Stationery</t>
        </is>
      </c>
      <c r="F95" s="186" t="n">
        <v>101670</v>
      </c>
      <c r="G95" s="184" t="n">
        <v>46033</v>
      </c>
      <c r="H95" s="187" t="n">
        <v>0</v>
      </c>
      <c r="I95" s="185">
        <f>MAX(0,F95-H95)</f>
        <v/>
      </c>
      <c r="J95" s="185">
        <f>IF(G95="",0,MAX(0,TODAY()-G95))</f>
        <v/>
      </c>
      <c r="K95" s="185">
        <f>IF(I95&lt;=0,"Current",IF(J95&lt;=30,"0-30 Days",IF(J95&lt;=60,"31-60 Days",IF(J95&lt;=90,"61-90 Days","90+ Days"))))</f>
        <v/>
      </c>
      <c r="L95" s="185">
        <f>IF(I95&lt;=0,"-",IF(J95&lt;=30,"Low",IF(J95&lt;=60,"Low-Medium",IF(J95&lt;=90,"Medium","HIGH RISK"))))</f>
        <v/>
      </c>
      <c r="M95" s="185" t="inlineStr">
        <is>
          <t>DSO will Collect</t>
        </is>
      </c>
      <c r="N95" s="185" t="inlineStr">
        <is>
          <t>Pending</t>
        </is>
      </c>
    </row>
    <row r="96">
      <c r="A96" s="188" t="n">
        <v>95</v>
      </c>
      <c r="B96" s="188" t="inlineStr">
        <is>
          <t>Mujahid</t>
        </is>
      </c>
      <c r="C96" s="189" t="n">
        <v>46009</v>
      </c>
      <c r="D96" s="190" t="inlineStr">
        <is>
          <t>C-SLG/1933/25-26</t>
        </is>
      </c>
      <c r="E96" s="190" t="inlineStr">
        <is>
          <t>Dynamic Computer &amp; Stationery</t>
        </is>
      </c>
      <c r="F96" s="191" t="n">
        <v>45784</v>
      </c>
      <c r="G96" s="189" t="n">
        <v>46034</v>
      </c>
      <c r="H96" s="192" t="n">
        <v>0</v>
      </c>
      <c r="I96" s="190">
        <f>MAX(0,F96-H96)</f>
        <v/>
      </c>
      <c r="J96" s="190">
        <f>IF(G96="",0,MAX(0,TODAY()-G96))</f>
        <v/>
      </c>
      <c r="K96" s="190">
        <f>IF(I96&lt;=0,"Current",IF(J96&lt;=30,"0-30 Days",IF(J96&lt;=60,"31-60 Days",IF(J96&lt;=90,"61-90 Days","90+ Days"))))</f>
        <v/>
      </c>
      <c r="L96" s="190">
        <f>IF(I96&lt;=0,"-",IF(J96&lt;=30,"Low",IF(J96&lt;=60,"Low-Medium",IF(J96&lt;=90,"Medium","HIGH RISK"))))</f>
        <v/>
      </c>
      <c r="M96" s="190" t="inlineStr">
        <is>
          <t>DSO will Collect</t>
        </is>
      </c>
      <c r="N96" s="190" t="inlineStr">
        <is>
          <t>Pending</t>
        </is>
      </c>
    </row>
    <row r="97">
      <c r="A97" s="183" t="n">
        <v>96</v>
      </c>
      <c r="B97" s="183" t="inlineStr">
        <is>
          <t>Mujahid</t>
        </is>
      </c>
      <c r="C97" s="184" t="n">
        <v>46011</v>
      </c>
      <c r="D97" s="185" t="inlineStr">
        <is>
          <t>C-SLG/1938/25-26</t>
        </is>
      </c>
      <c r="E97" s="185" t="inlineStr">
        <is>
          <t>Dynamic Computer &amp; Stationery</t>
        </is>
      </c>
      <c r="F97" s="186" t="n">
        <v>217599</v>
      </c>
      <c r="G97" s="184" t="n">
        <v>46036</v>
      </c>
      <c r="H97" s="187" t="n">
        <v>0</v>
      </c>
      <c r="I97" s="185">
        <f>MAX(0,F97-H97)</f>
        <v/>
      </c>
      <c r="J97" s="185">
        <f>IF(G97="",0,MAX(0,TODAY()-G97))</f>
        <v/>
      </c>
      <c r="K97" s="185">
        <f>IF(I97&lt;=0,"Current",IF(J97&lt;=30,"0-30 Days",IF(J97&lt;=60,"31-60 Days",IF(J97&lt;=90,"61-90 Days","90+ Days"))))</f>
        <v/>
      </c>
      <c r="L97" s="185">
        <f>IF(I97&lt;=0,"-",IF(J97&lt;=30,"Low",IF(J97&lt;=60,"Low-Medium",IF(J97&lt;=90,"Medium","HIGH RISK"))))</f>
        <v/>
      </c>
      <c r="M97" s="185" t="inlineStr">
        <is>
          <t>DSO will Collect</t>
        </is>
      </c>
      <c r="N97" s="185" t="inlineStr">
        <is>
          <t>Pending</t>
        </is>
      </c>
    </row>
    <row r="98">
      <c r="A98" s="218" t="n">
        <v>97</v>
      </c>
      <c r="B98" s="218" t="inlineStr">
        <is>
          <t>Mujahid</t>
        </is>
      </c>
      <c r="C98" s="219" t="n">
        <v>46094</v>
      </c>
      <c r="D98" s="220" t="inlineStr">
        <is>
          <t>C-SLG/2380/25-26</t>
        </is>
      </c>
      <c r="E98" s="220" t="inlineStr">
        <is>
          <t>Dynamic Computer &amp; Stationery</t>
        </is>
      </c>
      <c r="F98" s="221" t="n">
        <v>134125</v>
      </c>
      <c r="G98" s="219" t="n">
        <v>46119</v>
      </c>
      <c r="H98" s="222" t="n">
        <v>0</v>
      </c>
      <c r="I98" s="220">
        <f>MAX(0,F98-H98)</f>
        <v/>
      </c>
      <c r="J98" s="220">
        <f>IF(G98="",0,MAX(0,TODAY()-G98))</f>
        <v/>
      </c>
      <c r="K98" s="220">
        <f>IF(I98&lt;=0,"Current",IF(J98&lt;=30,"0-30 Days",IF(J98&lt;=60,"31-60 Days",IF(J98&lt;=90,"61-90 Days","90+ Days"))))</f>
        <v/>
      </c>
      <c r="L98" s="220">
        <f>IF(I98&lt;=0,"-",IF(J98&lt;=30,"Low",IF(J98&lt;=60,"Low-Medium",IF(J98&lt;=90,"Medium","HIGH RISK"))))</f>
        <v/>
      </c>
      <c r="M98" s="220" t="inlineStr">
        <is>
          <t>DSO will Collect</t>
        </is>
      </c>
      <c r="N98" s="220" t="inlineStr">
        <is>
          <t>Pending</t>
        </is>
      </c>
    </row>
    <row r="99">
      <c r="A99" s="213" t="n">
        <v>98</v>
      </c>
      <c r="B99" s="213" t="inlineStr">
        <is>
          <t>Mujahid</t>
        </is>
      </c>
      <c r="C99" s="214" t="n">
        <v>46108</v>
      </c>
      <c r="D99" s="215" t="inlineStr">
        <is>
          <t>C-SLG/2461/25-26</t>
        </is>
      </c>
      <c r="E99" s="215" t="inlineStr">
        <is>
          <t>Dynamic Computer &amp; Stationery</t>
        </is>
      </c>
      <c r="F99" s="216" t="n">
        <v>97809</v>
      </c>
      <c r="G99" s="214" t="n">
        <v>46133</v>
      </c>
      <c r="H99" s="217" t="n">
        <v>0</v>
      </c>
      <c r="I99" s="215">
        <f>MAX(0,F99-H99)</f>
        <v/>
      </c>
      <c r="J99" s="215">
        <f>IF(G99="",0,MAX(0,TODAY()-G99))</f>
        <v/>
      </c>
      <c r="K99" s="215">
        <f>IF(I99&lt;=0,"Current",IF(J99&lt;=30,"0-30 Days",IF(J99&lt;=60,"31-60 Days",IF(J99&lt;=90,"61-90 Days","90+ Days"))))</f>
        <v/>
      </c>
      <c r="L99" s="215">
        <f>IF(I99&lt;=0,"-",IF(J99&lt;=30,"Low",IF(J99&lt;=60,"Low-Medium",IF(J99&lt;=90,"Medium","HIGH RISK"))))</f>
        <v/>
      </c>
      <c r="M99" s="215" t="inlineStr">
        <is>
          <t>DSO will Collect</t>
        </is>
      </c>
      <c r="N99" s="215" t="inlineStr">
        <is>
          <t>Pending</t>
        </is>
      </c>
    </row>
    <row r="100">
      <c r="A100" s="178" t="n">
        <v>99</v>
      </c>
      <c r="B100" s="178" t="inlineStr">
        <is>
          <t>Mujahid</t>
        </is>
      </c>
      <c r="C100" s="179" t="n">
        <v>46127</v>
      </c>
      <c r="D100" s="180" t="inlineStr">
        <is>
          <t>C-SLG/0042/26-27</t>
        </is>
      </c>
      <c r="E100" s="180" t="inlineStr">
        <is>
          <t>Dynamic Computer &amp; Stationery</t>
        </is>
      </c>
      <c r="F100" s="181" t="n">
        <v>47335</v>
      </c>
      <c r="G100" s="179" t="n">
        <v>46152</v>
      </c>
      <c r="H100" s="182" t="n">
        <v>0</v>
      </c>
      <c r="I100" s="180">
        <f>MAX(0,F100-H100)</f>
        <v/>
      </c>
      <c r="J100" s="180">
        <f>IF(G100="",0,MAX(0,TODAY()-G100))</f>
        <v/>
      </c>
      <c r="K100" s="180">
        <f>IF(I100&lt;=0,"Current",IF(J100&lt;=30,"0-30 Days",IF(J100&lt;=60,"31-60 Days",IF(J100&lt;=90,"61-90 Days","90+ Days"))))</f>
        <v/>
      </c>
      <c r="L100" s="180">
        <f>IF(I100&lt;=0,"-",IF(J100&lt;=30,"Low",IF(J100&lt;=60,"Low-Medium",IF(J100&lt;=90,"Medium","HIGH RISK"))))</f>
        <v/>
      </c>
      <c r="M100" s="180" t="inlineStr">
        <is>
          <t>DSO will Collect</t>
        </is>
      </c>
      <c r="N100" s="180" t="inlineStr">
        <is>
          <t>Pending</t>
        </is>
      </c>
    </row>
    <row r="101">
      <c r="A101" s="193" t="n">
        <v>100</v>
      </c>
      <c r="B101" s="193" t="inlineStr">
        <is>
          <t>Mujahid</t>
        </is>
      </c>
      <c r="C101" s="194" t="n">
        <v>46156</v>
      </c>
      <c r="D101" s="195" t="inlineStr">
        <is>
          <t>C-SLG/0121/26-27</t>
        </is>
      </c>
      <c r="E101" s="195" t="inlineStr">
        <is>
          <t>Dynamic Computer &amp; Stationery</t>
        </is>
      </c>
      <c r="F101" s="196" t="n">
        <v>112417</v>
      </c>
      <c r="G101" s="194" t="n">
        <v>46181</v>
      </c>
      <c r="H101" s="197" t="n">
        <v>0</v>
      </c>
      <c r="I101" s="195">
        <f>MAX(0,F101-H101)</f>
        <v/>
      </c>
      <c r="J101" s="195">
        <f>IF(G101="",0,MAX(0,TODAY()-G101))</f>
        <v/>
      </c>
      <c r="K101" s="195">
        <f>IF(I101&lt;=0,"Current",IF(J101&lt;=30,"0-30 Days",IF(J101&lt;=60,"31-60 Days",IF(J101&lt;=90,"61-90 Days","90+ Days"))))</f>
        <v/>
      </c>
      <c r="L101" s="195">
        <f>IF(I101&lt;=0,"-",IF(J101&lt;=30,"Low",IF(J101&lt;=60,"Low-Medium",IF(J101&lt;=90,"Medium","HIGH RISK"))))</f>
        <v/>
      </c>
      <c r="M101" s="195" t="inlineStr"/>
      <c r="N101" s="195" t="inlineStr">
        <is>
          <t>Pending</t>
        </is>
      </c>
    </row>
    <row r="102">
      <c r="A102" s="193" t="n">
        <v>101</v>
      </c>
      <c r="B102" s="193" t="inlineStr">
        <is>
          <t>Mujahid</t>
        </is>
      </c>
      <c r="C102" s="194" t="n">
        <v>46156</v>
      </c>
      <c r="D102" s="195" t="inlineStr">
        <is>
          <t>C-SLG/0134/26-27</t>
        </is>
      </c>
      <c r="E102" s="195" t="inlineStr">
        <is>
          <t>Dynamic Computer &amp; Stationery</t>
        </is>
      </c>
      <c r="F102" s="196" t="n">
        <v>3614</v>
      </c>
      <c r="G102" s="194" t="n">
        <v>46181</v>
      </c>
      <c r="H102" s="197" t="n">
        <v>0</v>
      </c>
      <c r="I102" s="195">
        <f>MAX(0,F102-H102)</f>
        <v/>
      </c>
      <c r="J102" s="195">
        <f>IF(G102="",0,MAX(0,TODAY()-G102))</f>
        <v/>
      </c>
      <c r="K102" s="195">
        <f>IF(I102&lt;=0,"Current",IF(J102&lt;=30,"0-30 Days",IF(J102&lt;=60,"31-60 Days",IF(J102&lt;=90,"61-90 Days","90+ Days"))))</f>
        <v/>
      </c>
      <c r="L102" s="195">
        <f>IF(I102&lt;=0,"-",IF(J102&lt;=30,"Low",IF(J102&lt;=60,"Low-Medium",IF(J102&lt;=90,"Medium","HIGH RISK"))))</f>
        <v/>
      </c>
      <c r="M102" s="195" t="inlineStr"/>
      <c r="N102" s="195" t="inlineStr">
        <is>
          <t>Pending</t>
        </is>
      </c>
    </row>
    <row r="103">
      <c r="A103" s="183" t="n">
        <v>102</v>
      </c>
      <c r="B103" s="183" t="inlineStr">
        <is>
          <t>Mujahid</t>
        </is>
      </c>
      <c r="C103" s="184" t="n">
        <v>45988</v>
      </c>
      <c r="D103" s="185" t="inlineStr">
        <is>
          <t>C-SLG/1781/25-26</t>
        </is>
      </c>
      <c r="E103" s="185" t="inlineStr">
        <is>
          <t>K D M MARKETING</t>
        </is>
      </c>
      <c r="F103" s="186" t="n">
        <v>107348</v>
      </c>
      <c r="G103" s="184" t="n">
        <v>46013</v>
      </c>
      <c r="H103" s="187" t="n">
        <v>0</v>
      </c>
      <c r="I103" s="185">
        <f>MAX(0,F103-H103)</f>
        <v/>
      </c>
      <c r="J103" s="185">
        <f>IF(G103="",0,MAX(0,TODAY()-G103))</f>
        <v/>
      </c>
      <c r="K103" s="185">
        <f>IF(I103&lt;=0,"Current",IF(J103&lt;=30,"0-30 Days",IF(J103&lt;=60,"31-60 Days",IF(J103&lt;=90,"61-90 Days","90+ Days"))))</f>
        <v/>
      </c>
      <c r="L103" s="185">
        <f>IF(I103&lt;=0,"-",IF(J103&lt;=30,"Low",IF(J103&lt;=60,"Low-Medium",IF(J103&lt;=90,"Medium","HIGH RISK"))))</f>
        <v/>
      </c>
      <c r="M103" s="185" t="inlineStr">
        <is>
          <t>Number Busy</t>
        </is>
      </c>
      <c r="N103" s="185" t="inlineStr">
        <is>
          <t>Pending</t>
        </is>
      </c>
    </row>
    <row r="104">
      <c r="A104" s="178" t="n">
        <v>103</v>
      </c>
      <c r="B104" s="178" t="inlineStr">
        <is>
          <t>Mujahid</t>
        </is>
      </c>
      <c r="C104" s="179" t="n">
        <v>46123</v>
      </c>
      <c r="D104" s="180" t="inlineStr">
        <is>
          <t>C-SLG/0030/26-27</t>
        </is>
      </c>
      <c r="E104" s="180" t="inlineStr">
        <is>
          <t>K D M MARKETING</t>
        </is>
      </c>
      <c r="F104" s="181" t="n">
        <v>94833</v>
      </c>
      <c r="G104" s="179" t="n">
        <v>46148</v>
      </c>
      <c r="H104" s="182" t="n">
        <v>0</v>
      </c>
      <c r="I104" s="180">
        <f>MAX(0,F104-H104)</f>
        <v/>
      </c>
      <c r="J104" s="180">
        <f>IF(G104="",0,MAX(0,TODAY()-G104))</f>
        <v/>
      </c>
      <c r="K104" s="180">
        <f>IF(I104&lt;=0,"Current",IF(J104&lt;=30,"0-30 Days",IF(J104&lt;=60,"31-60 Days",IF(J104&lt;=90,"61-90 Days","90+ Days"))))</f>
        <v/>
      </c>
      <c r="L104" s="180">
        <f>IF(I104&lt;=0,"-",IF(J104&lt;=30,"Low",IF(J104&lt;=60,"Low-Medium",IF(J104&lt;=90,"Medium","HIGH RISK"))))</f>
        <v/>
      </c>
      <c r="M104" s="180" t="inlineStr">
        <is>
          <t>Number Busy</t>
        </is>
      </c>
      <c r="N104" s="180" t="inlineStr">
        <is>
          <t>Pending</t>
        </is>
      </c>
    </row>
    <row r="105">
      <c r="A105" s="213" t="n">
        <v>104</v>
      </c>
      <c r="B105" s="213" t="inlineStr">
        <is>
          <t>Mujahid</t>
        </is>
      </c>
      <c r="C105" s="214" t="n">
        <v>46112</v>
      </c>
      <c r="D105" s="215" t="inlineStr">
        <is>
          <t>C-SLG/2490/25-26</t>
        </is>
      </c>
      <c r="E105" s="215" t="inlineStr">
        <is>
          <t>Mahadev Stationers</t>
        </is>
      </c>
      <c r="F105" s="216" t="n">
        <v>146950</v>
      </c>
      <c r="G105" s="214" t="n">
        <v>46137</v>
      </c>
      <c r="H105" s="217" t="n">
        <v>146950</v>
      </c>
      <c r="I105" s="215">
        <f>MAX(0,F105-H105)</f>
        <v/>
      </c>
      <c r="J105" s="215">
        <f>IF(G105="",0,MAX(0,TODAY()-G105))</f>
        <v/>
      </c>
      <c r="K105" s="215">
        <f>IF(I105&lt;=0,"Current",IF(J105&lt;=30,"0-30 Days",IF(J105&lt;=60,"31-60 Days",IF(J105&lt;=90,"61-90 Days","90+ Days"))))</f>
        <v/>
      </c>
      <c r="L105" s="215">
        <f>IF(I105&lt;=0,"-",IF(J105&lt;=30,"Low",IF(J105&lt;=60,"Low-Medium",IF(J105&lt;=90,"Medium","HIGH RISK"))))</f>
        <v/>
      </c>
      <c r="M105" s="215" t="inlineStr">
        <is>
          <t>Paid Cheque - Full Amt</t>
        </is>
      </c>
      <c r="N105" s="215" t="inlineStr">
        <is>
          <t>Pending</t>
        </is>
      </c>
    </row>
    <row r="106">
      <c r="A106" s="178" t="n">
        <v>105</v>
      </c>
      <c r="B106" s="178" t="inlineStr">
        <is>
          <t>Mujahid</t>
        </is>
      </c>
      <c r="C106" s="179" t="n">
        <v>46133</v>
      </c>
      <c r="D106" s="180" t="inlineStr">
        <is>
          <t>C-SLG/0057/26-27</t>
        </is>
      </c>
      <c r="E106" s="180" t="inlineStr">
        <is>
          <t>Nandi Arts Stationery</t>
        </is>
      </c>
      <c r="F106" s="181" t="n">
        <v>120696</v>
      </c>
      <c r="G106" s="179" t="n">
        <v>46158</v>
      </c>
      <c r="H106" s="182" t="n">
        <v>0</v>
      </c>
      <c r="I106" s="180">
        <f>MAX(0,F106-H106)</f>
        <v/>
      </c>
      <c r="J106" s="180">
        <f>IF(G106="",0,MAX(0,TODAY()-G106))</f>
        <v/>
      </c>
      <c r="K106" s="180">
        <f>IF(I106&lt;=0,"Current",IF(J106&lt;=30,"0-30 Days",IF(J106&lt;=60,"31-60 Days",IF(J106&lt;=90,"61-90 Days","90+ Days"))))</f>
        <v/>
      </c>
      <c r="L106" s="180">
        <f>IF(I106&lt;=0,"-",IF(J106&lt;=30,"Low",IF(J106&lt;=60,"Low-Medium",IF(J106&lt;=90,"Medium","HIGH RISK"))))</f>
        <v/>
      </c>
      <c r="M106" s="180" t="inlineStr"/>
      <c r="N106" s="180" t="inlineStr">
        <is>
          <t>Pending</t>
        </is>
      </c>
    </row>
    <row r="107">
      <c r="A107" s="198" t="n">
        <v>106</v>
      </c>
      <c r="B107" s="198" t="inlineStr">
        <is>
          <t>Mujahid</t>
        </is>
      </c>
      <c r="C107" s="199" t="n">
        <v>46139</v>
      </c>
      <c r="D107" s="200" t="inlineStr">
        <is>
          <t>C-SLG/0072/26-27</t>
        </is>
      </c>
      <c r="E107" s="200" t="inlineStr">
        <is>
          <t>Nandi Arts Stationery</t>
        </is>
      </c>
      <c r="F107" s="201" t="n">
        <v>25410</v>
      </c>
      <c r="G107" s="199" t="n">
        <v>46164</v>
      </c>
      <c r="H107" s="202" t="n">
        <v>0</v>
      </c>
      <c r="I107" s="200">
        <f>MAX(0,F107-H107)</f>
        <v/>
      </c>
      <c r="J107" s="200">
        <f>IF(G107="",0,MAX(0,TODAY()-G107))</f>
        <v/>
      </c>
      <c r="K107" s="200">
        <f>IF(I107&lt;=0,"Current",IF(J107&lt;=30,"0-30 Days",IF(J107&lt;=60,"31-60 Days",IF(J107&lt;=90,"61-90 Days","90+ Days"))))</f>
        <v/>
      </c>
      <c r="L107" s="200">
        <f>IF(I107&lt;=0,"-",IF(J107&lt;=30,"Low",IF(J107&lt;=60,"Low-Medium",IF(J107&lt;=90,"Medium","HIGH RISK"))))</f>
        <v/>
      </c>
      <c r="M107" s="200" t="inlineStr"/>
      <c r="N107" s="200" t="inlineStr">
        <is>
          <t>Pending</t>
        </is>
      </c>
    </row>
    <row r="108">
      <c r="A108" s="218" t="n">
        <v>107</v>
      </c>
      <c r="B108" s="218" t="inlineStr">
        <is>
          <t>Mujahid</t>
        </is>
      </c>
      <c r="C108" s="219" t="n">
        <v>46104</v>
      </c>
      <c r="D108" s="220" t="inlineStr">
        <is>
          <t>C-SLG/2418/25-26</t>
        </is>
      </c>
      <c r="E108" s="220" t="inlineStr">
        <is>
          <t>Narender Stationary</t>
        </is>
      </c>
      <c r="F108" s="221" t="n">
        <v>1329</v>
      </c>
      <c r="G108" s="219" t="n">
        <v>46129</v>
      </c>
      <c r="H108" s="222" t="n">
        <v>0</v>
      </c>
      <c r="I108" s="220">
        <f>MAX(0,F108-H108)</f>
        <v/>
      </c>
      <c r="J108" s="220">
        <f>IF(G108="",0,MAX(0,TODAY()-G108))</f>
        <v/>
      </c>
      <c r="K108" s="220">
        <f>IF(I108&lt;=0,"Current",IF(J108&lt;=30,"0-30 Days",IF(J108&lt;=60,"31-60 Days",IF(J108&lt;=90,"61-90 Days","90+ Days"))))</f>
        <v/>
      </c>
      <c r="L108" s="220">
        <f>IF(I108&lt;=0,"-",IF(J108&lt;=30,"Low",IF(J108&lt;=60,"Low-Medium",IF(J108&lt;=90,"Medium","HIGH RISK"))))</f>
        <v/>
      </c>
      <c r="M108" s="220" t="inlineStr">
        <is>
          <t>Sample Piece Issue</t>
        </is>
      </c>
      <c r="N108" s="220" t="inlineStr">
        <is>
          <t>Pending</t>
        </is>
      </c>
    </row>
    <row r="109">
      <c r="A109" s="198" t="n">
        <v>108</v>
      </c>
      <c r="B109" s="198" t="inlineStr">
        <is>
          <t>Mujahid</t>
        </is>
      </c>
      <c r="C109" s="199" t="n">
        <v>46136</v>
      </c>
      <c r="D109" s="200" t="inlineStr">
        <is>
          <t>C-SLG/0068/26-27</t>
        </is>
      </c>
      <c r="E109" s="200" t="inlineStr">
        <is>
          <t>N. PRIYA STATIONARY</t>
        </is>
      </c>
      <c r="F109" s="201" t="n">
        <v>135197</v>
      </c>
      <c r="G109" s="199" t="n">
        <v>46161</v>
      </c>
      <c r="H109" s="202" t="n">
        <v>0</v>
      </c>
      <c r="I109" s="200">
        <f>MAX(0,F109-H109)</f>
        <v/>
      </c>
      <c r="J109" s="200">
        <f>IF(G109="",0,MAX(0,TODAY()-G109))</f>
        <v/>
      </c>
      <c r="K109" s="200">
        <f>IF(I109&lt;=0,"Current",IF(J109&lt;=30,"0-30 Days",IF(J109&lt;=60,"31-60 Days",IF(J109&lt;=90,"61-90 Days","90+ Days"))))</f>
        <v/>
      </c>
      <c r="L109" s="200">
        <f>IF(I109&lt;=0,"-",IF(J109&lt;=30,"Low",IF(J109&lt;=60,"Low-Medium",IF(J109&lt;=90,"Medium","HIGH RISK"))))</f>
        <v/>
      </c>
      <c r="M109" s="200" t="inlineStr"/>
      <c r="N109" s="200" t="inlineStr">
        <is>
          <t>Pending</t>
        </is>
      </c>
    </row>
    <row r="110">
      <c r="A110" s="218" t="n">
        <v>109</v>
      </c>
      <c r="B110" s="218" t="inlineStr">
        <is>
          <t>Mujahid</t>
        </is>
      </c>
      <c r="C110" s="219" t="n">
        <v>46104</v>
      </c>
      <c r="D110" s="220" t="inlineStr">
        <is>
          <t>C-SLG/2417/25-26</t>
        </is>
      </c>
      <c r="E110" s="220" t="inlineStr">
        <is>
          <t>PAVAN STATIONERY MART</t>
        </is>
      </c>
      <c r="F110" s="221" t="n">
        <v>1329</v>
      </c>
      <c r="G110" s="219" t="n">
        <v>46129</v>
      </c>
      <c r="H110" s="222" t="n">
        <v>0</v>
      </c>
      <c r="I110" s="220">
        <f>MAX(0,F110-H110)</f>
        <v/>
      </c>
      <c r="J110" s="220">
        <f>IF(G110="",0,MAX(0,TODAY()-G110))</f>
        <v/>
      </c>
      <c r="K110" s="220">
        <f>IF(I110&lt;=0,"Current",IF(J110&lt;=30,"0-30 Days",IF(J110&lt;=60,"31-60 Days",IF(J110&lt;=90,"61-90 Days","90+ Days"))))</f>
        <v/>
      </c>
      <c r="L110" s="220">
        <f>IF(I110&lt;=0,"-",IF(J110&lt;=30,"Low",IF(J110&lt;=60,"Low-Medium",IF(J110&lt;=90,"Medium","HIGH RISK"))))</f>
        <v/>
      </c>
      <c r="M110" s="220" t="inlineStr">
        <is>
          <t>Sample Piece Issue</t>
        </is>
      </c>
      <c r="N110" s="220" t="inlineStr">
        <is>
          <t>Pending</t>
        </is>
      </c>
    </row>
    <row r="111">
      <c r="A111" s="213" t="n">
        <v>110</v>
      </c>
      <c r="B111" s="213" t="inlineStr">
        <is>
          <t>Mujahid</t>
        </is>
      </c>
      <c r="C111" s="214" t="n">
        <v>46087</v>
      </c>
      <c r="D111" s="215" t="inlineStr">
        <is>
          <t>C-SLG/2325/25-26</t>
        </is>
      </c>
      <c r="E111" s="215" t="inlineStr">
        <is>
          <t>RAHUL STATIONERS</t>
        </is>
      </c>
      <c r="F111" s="216" t="n">
        <v>1427</v>
      </c>
      <c r="G111" s="214" t="n">
        <v>46112</v>
      </c>
      <c r="H111" s="217" t="n">
        <v>0</v>
      </c>
      <c r="I111" s="215">
        <f>MAX(0,F111-H111)</f>
        <v/>
      </c>
      <c r="J111" s="215">
        <f>IF(G111="",0,MAX(0,TODAY()-G111))</f>
        <v/>
      </c>
      <c r="K111" s="215">
        <f>IF(I111&lt;=0,"Current",IF(J111&lt;=30,"0-30 Days",IF(J111&lt;=60,"31-60 Days",IF(J111&lt;=90,"61-90 Days","90+ Days"))))</f>
        <v/>
      </c>
      <c r="L111" s="215">
        <f>IF(I111&lt;=0,"-",IF(J111&lt;=30,"Low",IF(J111&lt;=60,"Low-Medium",IF(J111&lt;=90,"Medium","HIGH RISK"))))</f>
        <v/>
      </c>
      <c r="M111" s="215" t="inlineStr">
        <is>
          <t>Sample Piece Issue</t>
        </is>
      </c>
      <c r="N111" s="215" t="inlineStr">
        <is>
          <t>Pending</t>
        </is>
      </c>
    </row>
    <row r="112">
      <c r="A112" s="218" t="n">
        <v>111</v>
      </c>
      <c r="B112" s="218" t="inlineStr">
        <is>
          <t>Mujahid</t>
        </is>
      </c>
      <c r="C112" s="219" t="n">
        <v>46098</v>
      </c>
      <c r="D112" s="220" t="inlineStr">
        <is>
          <t>C-SLG/2395/25-26</t>
        </is>
      </c>
      <c r="E112" s="220" t="inlineStr">
        <is>
          <t>RAJKAMAL AGENCIES</t>
        </is>
      </c>
      <c r="F112" s="221" t="n">
        <v>75814</v>
      </c>
      <c r="G112" s="219" t="n">
        <v>46123</v>
      </c>
      <c r="H112" s="222" t="n">
        <v>0</v>
      </c>
      <c r="I112" s="220">
        <f>MAX(0,F112-H112)</f>
        <v/>
      </c>
      <c r="J112" s="220">
        <f>IF(G112="",0,MAX(0,TODAY()-G112))</f>
        <v/>
      </c>
      <c r="K112" s="220">
        <f>IF(I112&lt;=0,"Current",IF(J112&lt;=30,"0-30 Days",IF(J112&lt;=60,"31-60 Days",IF(J112&lt;=90,"61-90 Days","90+ Days"))))</f>
        <v/>
      </c>
      <c r="L112" s="220">
        <f>IF(I112&lt;=0,"-",IF(J112&lt;=30,"Low",IF(J112&lt;=60,"Low-Medium",IF(J112&lt;=90,"Medium","HIGH RISK"))))</f>
        <v/>
      </c>
      <c r="M112" s="220" t="inlineStr">
        <is>
          <t>Send DSO on Monday for Cheque Collection</t>
        </is>
      </c>
      <c r="N112" s="220" t="inlineStr">
        <is>
          <t>Pending</t>
        </is>
      </c>
    </row>
    <row r="113">
      <c r="A113" s="213" t="n">
        <v>112</v>
      </c>
      <c r="B113" s="213" t="inlineStr">
        <is>
          <t>Mujahid</t>
        </is>
      </c>
      <c r="C113" s="214" t="n">
        <v>46112</v>
      </c>
      <c r="D113" s="215" t="inlineStr">
        <is>
          <t>Bounce Charges-2661</t>
        </is>
      </c>
      <c r="E113" s="215" t="inlineStr">
        <is>
          <t>RAJKAMAL AGENCIES</t>
        </is>
      </c>
      <c r="F113" s="216" t="n">
        <v>500</v>
      </c>
      <c r="G113" s="214" t="n">
        <v>46137</v>
      </c>
      <c r="H113" s="217" t="n">
        <v>0</v>
      </c>
      <c r="I113" s="215">
        <f>MAX(0,F113-H113)</f>
        <v/>
      </c>
      <c r="J113" s="215">
        <f>IF(G113="",0,MAX(0,TODAY()-G113))</f>
        <v/>
      </c>
      <c r="K113" s="215">
        <f>IF(I113&lt;=0,"Current",IF(J113&lt;=30,"0-30 Days",IF(J113&lt;=60,"31-60 Days",IF(J113&lt;=90,"61-90 Days","90+ Days"))))</f>
        <v/>
      </c>
      <c r="L113" s="215">
        <f>IF(I113&lt;=0,"-",IF(J113&lt;=30,"Low",IF(J113&lt;=60,"Low-Medium",IF(J113&lt;=90,"Medium","HIGH RISK"))))</f>
        <v/>
      </c>
      <c r="M113" s="215" t="inlineStr"/>
      <c r="N113" s="215" t="inlineStr">
        <is>
          <t>Pending</t>
        </is>
      </c>
    </row>
    <row r="114">
      <c r="A114" s="193" t="n">
        <v>113</v>
      </c>
      <c r="B114" s="193" t="inlineStr">
        <is>
          <t>Mujahid</t>
        </is>
      </c>
      <c r="C114" s="194" t="n">
        <v>46151</v>
      </c>
      <c r="D114" s="195" t="inlineStr">
        <is>
          <t>C-SLG/0107/26-27</t>
        </is>
      </c>
      <c r="E114" s="195" t="inlineStr">
        <is>
          <t>RAJKAMAL AGENCIES</t>
        </is>
      </c>
      <c r="F114" s="196" t="n">
        <v>57397</v>
      </c>
      <c r="G114" s="194" t="n">
        <v>46176</v>
      </c>
      <c r="H114" s="197" t="n">
        <v>0</v>
      </c>
      <c r="I114" s="195">
        <f>MAX(0,F114-H114)</f>
        <v/>
      </c>
      <c r="J114" s="195">
        <f>IF(G114="",0,MAX(0,TODAY()-G114))</f>
        <v/>
      </c>
      <c r="K114" s="195">
        <f>IF(I114&lt;=0,"Current",IF(J114&lt;=30,"0-30 Days",IF(J114&lt;=60,"31-60 Days",IF(J114&lt;=90,"61-90 Days","90+ Days"))))</f>
        <v/>
      </c>
      <c r="L114" s="195">
        <f>IF(I114&lt;=0,"-",IF(J114&lt;=30,"Low",IF(J114&lt;=60,"Low-Medium",IF(J114&lt;=90,"Medium","HIGH RISK"))))</f>
        <v/>
      </c>
      <c r="M114" s="195" t="inlineStr"/>
      <c r="N114" s="195" t="inlineStr">
        <is>
          <t>Pending</t>
        </is>
      </c>
    </row>
    <row r="115">
      <c r="A115" s="198" t="n">
        <v>114</v>
      </c>
      <c r="B115" s="198" t="inlineStr">
        <is>
          <t>Mujahid</t>
        </is>
      </c>
      <c r="C115" s="199" t="n">
        <v>46121</v>
      </c>
      <c r="D115" s="200" t="inlineStr">
        <is>
          <t>Bounce Charges-170</t>
        </is>
      </c>
      <c r="E115" s="200" t="inlineStr">
        <is>
          <t>Rajkamal Paper Product</t>
        </is>
      </c>
      <c r="F115" s="201" t="n">
        <v>500</v>
      </c>
      <c r="G115" s="199" t="n">
        <v>46146</v>
      </c>
      <c r="H115" s="202" t="n">
        <v>0</v>
      </c>
      <c r="I115" s="200">
        <f>MAX(0,F115-H115)</f>
        <v/>
      </c>
      <c r="J115" s="200">
        <f>IF(G115="",0,MAX(0,TODAY()-G115))</f>
        <v/>
      </c>
      <c r="K115" s="200">
        <f>IF(I115&lt;=0,"Current",IF(J115&lt;=30,"0-30 Days",IF(J115&lt;=60,"31-60 Days",IF(J115&lt;=90,"61-90 Days","90+ Days"))))</f>
        <v/>
      </c>
      <c r="L115" s="200">
        <f>IF(I115&lt;=0,"-",IF(J115&lt;=30,"Low",IF(J115&lt;=60,"Low-Medium",IF(J115&lt;=90,"Medium","HIGH RISK"))))</f>
        <v/>
      </c>
      <c r="M115" s="200" t="inlineStr"/>
      <c r="N115" s="200" t="inlineStr">
        <is>
          <t>Pending</t>
        </is>
      </c>
    </row>
    <row r="116">
      <c r="A116" s="178" t="n">
        <v>115</v>
      </c>
      <c r="B116" s="178" t="inlineStr">
        <is>
          <t>Mujahid</t>
        </is>
      </c>
      <c r="C116" s="179" t="n">
        <v>46125</v>
      </c>
      <c r="D116" s="180" t="inlineStr">
        <is>
          <t>Bounce Charges-172</t>
        </is>
      </c>
      <c r="E116" s="180" t="inlineStr">
        <is>
          <t>Rajkamal Paper Product</t>
        </is>
      </c>
      <c r="F116" s="181" t="n">
        <v>500</v>
      </c>
      <c r="G116" s="179" t="n">
        <v>46150</v>
      </c>
      <c r="H116" s="182" t="n">
        <v>0</v>
      </c>
      <c r="I116" s="180">
        <f>MAX(0,F116-H116)</f>
        <v/>
      </c>
      <c r="J116" s="180">
        <f>IF(G116="",0,MAX(0,TODAY()-G116))</f>
        <v/>
      </c>
      <c r="K116" s="180">
        <f>IF(I116&lt;=0,"Current",IF(J116&lt;=30,"0-30 Days",IF(J116&lt;=60,"31-60 Days",IF(J116&lt;=90,"61-90 Days","90+ Days"))))</f>
        <v/>
      </c>
      <c r="L116" s="180">
        <f>IF(I116&lt;=0,"-",IF(J116&lt;=30,"Low",IF(J116&lt;=60,"Low-Medium",IF(J116&lt;=90,"Medium","HIGH RISK"))))</f>
        <v/>
      </c>
      <c r="M116" s="180" t="inlineStr"/>
      <c r="N116" s="180" t="inlineStr">
        <is>
          <t>Pending</t>
        </is>
      </c>
    </row>
    <row r="117">
      <c r="A117" s="198" t="n">
        <v>116</v>
      </c>
      <c r="B117" s="198" t="inlineStr">
        <is>
          <t>Mujahid</t>
        </is>
      </c>
      <c r="C117" s="199" t="n">
        <v>46130</v>
      </c>
      <c r="D117" s="200" t="inlineStr">
        <is>
          <t>C-SLG/0052/26-27</t>
        </is>
      </c>
      <c r="E117" s="200" t="inlineStr">
        <is>
          <t>Rajkamal Paper Product</t>
        </is>
      </c>
      <c r="F117" s="201" t="n">
        <v>39730</v>
      </c>
      <c r="G117" s="199" t="n">
        <v>46155</v>
      </c>
      <c r="H117" s="202" t="n">
        <v>0</v>
      </c>
      <c r="I117" s="200">
        <f>MAX(0,F117-H117)</f>
        <v/>
      </c>
      <c r="J117" s="200">
        <f>IF(G117="",0,MAX(0,TODAY()-G117))</f>
        <v/>
      </c>
      <c r="K117" s="200">
        <f>IF(I117&lt;=0,"Current",IF(J117&lt;=30,"0-30 Days",IF(J117&lt;=60,"31-60 Days",IF(J117&lt;=90,"61-90 Days","90+ Days"))))</f>
        <v/>
      </c>
      <c r="L117" s="200">
        <f>IF(I117&lt;=0,"-",IF(J117&lt;=30,"Low",IF(J117&lt;=60,"Low-Medium",IF(J117&lt;=90,"Medium","HIGH RISK"))))</f>
        <v/>
      </c>
      <c r="M117" s="200" t="inlineStr"/>
      <c r="N117" s="200" t="inlineStr">
        <is>
          <t>Pending</t>
        </is>
      </c>
    </row>
    <row r="118">
      <c r="A118" s="188" t="n">
        <v>117</v>
      </c>
      <c r="B118" s="188" t="inlineStr">
        <is>
          <t>Mujahid</t>
        </is>
      </c>
      <c r="C118" s="189" t="n">
        <v>46015</v>
      </c>
      <c r="D118" s="190" t="inlineStr">
        <is>
          <t>Chq Bounce-2101</t>
        </is>
      </c>
      <c r="E118" s="190" t="inlineStr">
        <is>
          <t>RAJLAXMI STATIONERY</t>
        </is>
      </c>
      <c r="F118" s="191" t="n">
        <v>15000</v>
      </c>
      <c r="G118" s="189" t="n">
        <v>46040</v>
      </c>
      <c r="H118" s="192" t="n">
        <v>0</v>
      </c>
      <c r="I118" s="190">
        <f>MAX(0,F118-H118)</f>
        <v/>
      </c>
      <c r="J118" s="190">
        <f>IF(G118="",0,MAX(0,TODAY()-G118))</f>
        <v/>
      </c>
      <c r="K118" s="190">
        <f>IF(I118&lt;=0,"Current",IF(J118&lt;=30,"0-30 Days",IF(J118&lt;=60,"31-60 Days",IF(J118&lt;=90,"61-90 Days","90+ Days"))))</f>
        <v/>
      </c>
      <c r="L118" s="190">
        <f>IF(I118&lt;=0,"-",IF(J118&lt;=30,"Low",IF(J118&lt;=60,"Low-Medium",IF(J118&lt;=90,"Medium","HIGH RISK"))))</f>
        <v/>
      </c>
      <c r="M118" s="190" t="inlineStr">
        <is>
          <t>Paid</t>
        </is>
      </c>
      <c r="N118" s="190" t="inlineStr">
        <is>
          <t>Pending</t>
        </is>
      </c>
    </row>
    <row r="119">
      <c r="A119" s="183" t="n">
        <v>118</v>
      </c>
      <c r="B119" s="183" t="inlineStr">
        <is>
          <t>Mujahid</t>
        </is>
      </c>
      <c r="C119" s="184" t="n">
        <v>46042</v>
      </c>
      <c r="D119" s="185" t="inlineStr">
        <is>
          <t>Bounce Charges-2290</t>
        </is>
      </c>
      <c r="E119" s="185" t="inlineStr">
        <is>
          <t>RAJLAXMI STATIONERY</t>
        </is>
      </c>
      <c r="F119" s="186" t="n">
        <v>400</v>
      </c>
      <c r="G119" s="184" t="n">
        <v>46067</v>
      </c>
      <c r="H119" s="187" t="n">
        <v>0</v>
      </c>
      <c r="I119" s="185">
        <f>MAX(0,F119-H119)</f>
        <v/>
      </c>
      <c r="J119" s="185">
        <f>IF(G119="",0,MAX(0,TODAY()-G119))</f>
        <v/>
      </c>
      <c r="K119" s="185">
        <f>IF(I119&lt;=0,"Current",IF(J119&lt;=30,"0-30 Days",IF(J119&lt;=60,"31-60 Days",IF(J119&lt;=90,"61-90 Days","90+ Days"))))</f>
        <v/>
      </c>
      <c r="L119" s="185">
        <f>IF(I119&lt;=0,"-",IF(J119&lt;=30,"Low",IF(J119&lt;=60,"Low-Medium",IF(J119&lt;=90,"Medium","HIGH RISK"))))</f>
        <v/>
      </c>
      <c r="M119" s="185" t="inlineStr">
        <is>
          <t>Paid</t>
        </is>
      </c>
      <c r="N119" s="185" t="inlineStr">
        <is>
          <t>Pending</t>
        </is>
      </c>
    </row>
    <row r="120">
      <c r="A120" s="218" t="n">
        <v>119</v>
      </c>
      <c r="B120" s="218" t="inlineStr">
        <is>
          <t>Mujahid</t>
        </is>
      </c>
      <c r="C120" s="219" t="n">
        <v>46084</v>
      </c>
      <c r="D120" s="220" t="inlineStr">
        <is>
          <t>C-SLG/2306/25-26</t>
        </is>
      </c>
      <c r="E120" s="220" t="inlineStr">
        <is>
          <t>RAJ MARKETING</t>
        </is>
      </c>
      <c r="F120" s="221" t="n">
        <v>26307</v>
      </c>
      <c r="G120" s="219" t="n">
        <v>46109</v>
      </c>
      <c r="H120" s="222" t="n">
        <v>0</v>
      </c>
      <c r="I120" s="220">
        <f>MAX(0,F120-H120)</f>
        <v/>
      </c>
      <c r="J120" s="220">
        <f>IF(G120="",0,MAX(0,TODAY()-G120))</f>
        <v/>
      </c>
      <c r="K120" s="220">
        <f>IF(I120&lt;=0,"Current",IF(J120&lt;=30,"0-30 Days",IF(J120&lt;=60,"31-60 Days",IF(J120&lt;=90,"61-90 Days","90+ Days"))))</f>
        <v/>
      </c>
      <c r="L120" s="220">
        <f>IF(I120&lt;=0,"-",IF(J120&lt;=30,"Low",IF(J120&lt;=60,"Low-Medium",IF(J120&lt;=90,"Medium","HIGH RISK"))))</f>
        <v/>
      </c>
      <c r="M120" s="220" t="inlineStr">
        <is>
          <t>Credit Note</t>
        </is>
      </c>
      <c r="N120" s="220" t="inlineStr">
        <is>
          <t>Pending</t>
        </is>
      </c>
    </row>
    <row r="121">
      <c r="A121" s="213" t="n">
        <v>120</v>
      </c>
      <c r="B121" s="213" t="inlineStr">
        <is>
          <t>Mujahid</t>
        </is>
      </c>
      <c r="C121" s="214" t="n">
        <v>46109</v>
      </c>
      <c r="D121" s="215" t="inlineStr">
        <is>
          <t>C-SLG/2468/25-26</t>
        </is>
      </c>
      <c r="E121" s="215" t="inlineStr">
        <is>
          <t>RAJ MARKETING</t>
        </is>
      </c>
      <c r="F121" s="216" t="n">
        <v>20526</v>
      </c>
      <c r="G121" s="214" t="n">
        <v>46134</v>
      </c>
      <c r="H121" s="217" t="n">
        <v>20526</v>
      </c>
      <c r="I121" s="215">
        <f>MAX(0,F121-H121)</f>
        <v/>
      </c>
      <c r="J121" s="215">
        <f>IF(G121="",0,MAX(0,TODAY()-G121))</f>
        <v/>
      </c>
      <c r="K121" s="215">
        <f>IF(I121&lt;=0,"Current",IF(J121&lt;=30,"0-30 Days",IF(J121&lt;=60,"31-60 Days",IF(J121&lt;=90,"61-90 Days","90+ Days"))))</f>
        <v/>
      </c>
      <c r="L121" s="215">
        <f>IF(I121&lt;=0,"-",IF(J121&lt;=30,"Low",IF(J121&lt;=60,"Low-Medium",IF(J121&lt;=90,"Medium","HIGH RISK"))))</f>
        <v/>
      </c>
      <c r="M121" s="215" t="inlineStr">
        <is>
          <t>Paid Cheque - Full Amt</t>
        </is>
      </c>
      <c r="N121" s="215" t="inlineStr">
        <is>
          <t>Pending</t>
        </is>
      </c>
    </row>
    <row r="122">
      <c r="A122" s="178" t="n">
        <v>121</v>
      </c>
      <c r="B122" s="178" t="inlineStr">
        <is>
          <t>Mujahid</t>
        </is>
      </c>
      <c r="C122" s="179" t="n">
        <v>46128</v>
      </c>
      <c r="D122" s="180" t="inlineStr">
        <is>
          <t>C-SLG/0044/26-27</t>
        </is>
      </c>
      <c r="E122" s="180" t="inlineStr">
        <is>
          <t>RAM BHAGWAN CORPORATION</t>
        </is>
      </c>
      <c r="F122" s="181" t="n">
        <v>25530</v>
      </c>
      <c r="G122" s="179" t="n">
        <v>46153</v>
      </c>
      <c r="H122" s="182" t="n">
        <v>0</v>
      </c>
      <c r="I122" s="180">
        <f>MAX(0,F122-H122)</f>
        <v/>
      </c>
      <c r="J122" s="180">
        <f>IF(G122="",0,MAX(0,TODAY()-G122))</f>
        <v/>
      </c>
      <c r="K122" s="180">
        <f>IF(I122&lt;=0,"Current",IF(J122&lt;=30,"0-30 Days",IF(J122&lt;=60,"31-60 Days",IF(J122&lt;=90,"61-90 Days","90+ Days"))))</f>
        <v/>
      </c>
      <c r="L122" s="180">
        <f>IF(I122&lt;=0,"-",IF(J122&lt;=30,"Low",IF(J122&lt;=60,"Low-Medium",IF(J122&lt;=90,"Medium","HIGH RISK"))))</f>
        <v/>
      </c>
      <c r="M122" s="180" t="inlineStr"/>
      <c r="N122" s="180" t="inlineStr">
        <is>
          <t>Pending</t>
        </is>
      </c>
    </row>
    <row r="123">
      <c r="A123" s="183" t="n">
        <v>122</v>
      </c>
      <c r="B123" s="183" t="inlineStr">
        <is>
          <t>Mujahid</t>
        </is>
      </c>
      <c r="C123" s="184" t="n">
        <v>45770</v>
      </c>
      <c r="D123" s="185" t="inlineStr">
        <is>
          <t>C-SLG/00130/25-26</t>
        </is>
      </c>
      <c r="E123" s="185" t="inlineStr">
        <is>
          <t>Ram Stationery Mart</t>
        </is>
      </c>
      <c r="F123" s="186" t="n">
        <v>613.15</v>
      </c>
      <c r="G123" s="184" t="n">
        <v>45795</v>
      </c>
      <c r="H123" s="187" t="n">
        <v>0</v>
      </c>
      <c r="I123" s="185">
        <f>MAX(0,F123-H123)</f>
        <v/>
      </c>
      <c r="J123" s="185">
        <f>IF(G123="",0,MAX(0,TODAY()-G123))</f>
        <v/>
      </c>
      <c r="K123" s="185">
        <f>IF(I123&lt;=0,"Current",IF(J123&lt;=30,"0-30 Days",IF(J123&lt;=60,"31-60 Days",IF(J123&lt;=90,"61-90 Days","90+ Days"))))</f>
        <v/>
      </c>
      <c r="L123" s="185">
        <f>IF(I123&lt;=0,"-",IF(J123&lt;=30,"Low",IF(J123&lt;=60,"Low-Medium",IF(J123&lt;=90,"Medium","HIGH RISK"))))</f>
        <v/>
      </c>
      <c r="M123" s="185" t="inlineStr">
        <is>
          <t>Vendor</t>
        </is>
      </c>
      <c r="N123" s="185" t="inlineStr">
        <is>
          <t>Pending</t>
        </is>
      </c>
    </row>
    <row r="124">
      <c r="A124" s="188" t="n">
        <v>123</v>
      </c>
      <c r="B124" s="188" t="inlineStr">
        <is>
          <t>Mujahid</t>
        </is>
      </c>
      <c r="C124" s="189" t="n">
        <v>45836</v>
      </c>
      <c r="D124" s="190" t="inlineStr">
        <is>
          <t>C-SLG/508/25-26</t>
        </is>
      </c>
      <c r="E124" s="190" t="inlineStr">
        <is>
          <t>Ram Stationery Mart</t>
        </is>
      </c>
      <c r="F124" s="191" t="n">
        <v>83953</v>
      </c>
      <c r="G124" s="189" t="n">
        <v>45861</v>
      </c>
      <c r="H124" s="192" t="n">
        <v>0</v>
      </c>
      <c r="I124" s="190">
        <f>MAX(0,F124-H124)</f>
        <v/>
      </c>
      <c r="J124" s="190">
        <f>IF(G124="",0,MAX(0,TODAY()-G124))</f>
        <v/>
      </c>
      <c r="K124" s="190">
        <f>IF(I124&lt;=0,"Current",IF(J124&lt;=30,"0-30 Days",IF(J124&lt;=60,"31-60 Days",IF(J124&lt;=90,"61-90 Days","90+ Days"))))</f>
        <v/>
      </c>
      <c r="L124" s="190">
        <f>IF(I124&lt;=0,"-",IF(J124&lt;=30,"Low",IF(J124&lt;=60,"Low-Medium",IF(J124&lt;=90,"Medium","HIGH RISK"))))</f>
        <v/>
      </c>
      <c r="M124" s="190" t="inlineStr">
        <is>
          <t>Vendor</t>
        </is>
      </c>
      <c r="N124" s="190" t="inlineStr">
        <is>
          <t>Pending</t>
        </is>
      </c>
    </row>
    <row r="125">
      <c r="A125" s="183" t="n">
        <v>124</v>
      </c>
      <c r="B125" s="183" t="inlineStr">
        <is>
          <t>Mujahid</t>
        </is>
      </c>
      <c r="C125" s="184" t="n">
        <v>45838</v>
      </c>
      <c r="D125" s="185" t="inlineStr">
        <is>
          <t>C-SLG/515/25-26</t>
        </is>
      </c>
      <c r="E125" s="185" t="inlineStr">
        <is>
          <t>Ram Stationery Mart</t>
        </is>
      </c>
      <c r="F125" s="186" t="n">
        <v>136289</v>
      </c>
      <c r="G125" s="184" t="n">
        <v>45863</v>
      </c>
      <c r="H125" s="187" t="n">
        <v>0</v>
      </c>
      <c r="I125" s="185">
        <f>MAX(0,F125-H125)</f>
        <v/>
      </c>
      <c r="J125" s="185">
        <f>IF(G125="",0,MAX(0,TODAY()-G125))</f>
        <v/>
      </c>
      <c r="K125" s="185">
        <f>IF(I125&lt;=0,"Current",IF(J125&lt;=30,"0-30 Days",IF(J125&lt;=60,"31-60 Days",IF(J125&lt;=90,"61-90 Days","90+ Days"))))</f>
        <v/>
      </c>
      <c r="L125" s="185">
        <f>IF(I125&lt;=0,"-",IF(J125&lt;=30,"Low",IF(J125&lt;=60,"Low-Medium",IF(J125&lt;=90,"Medium","HIGH RISK"))))</f>
        <v/>
      </c>
      <c r="M125" s="185" t="inlineStr">
        <is>
          <t>Vendor</t>
        </is>
      </c>
      <c r="N125" s="185" t="inlineStr">
        <is>
          <t>Pending</t>
        </is>
      </c>
    </row>
    <row r="126">
      <c r="A126" s="188" t="n">
        <v>125</v>
      </c>
      <c r="B126" s="188" t="inlineStr">
        <is>
          <t>Mujahid</t>
        </is>
      </c>
      <c r="C126" s="189" t="n">
        <v>45849</v>
      </c>
      <c r="D126" s="190" t="inlineStr">
        <is>
          <t>C-SLG/620/25-26</t>
        </is>
      </c>
      <c r="E126" s="190" t="inlineStr">
        <is>
          <t>Ram Stationery Mart</t>
        </is>
      </c>
      <c r="F126" s="191" t="n">
        <v>97996</v>
      </c>
      <c r="G126" s="189" t="n">
        <v>45874</v>
      </c>
      <c r="H126" s="192" t="n">
        <v>0</v>
      </c>
      <c r="I126" s="190">
        <f>MAX(0,F126-H126)</f>
        <v/>
      </c>
      <c r="J126" s="190">
        <f>IF(G126="",0,MAX(0,TODAY()-G126))</f>
        <v/>
      </c>
      <c r="K126" s="190">
        <f>IF(I126&lt;=0,"Current",IF(J126&lt;=30,"0-30 Days",IF(J126&lt;=60,"31-60 Days",IF(J126&lt;=90,"61-90 Days","90+ Days"))))</f>
        <v/>
      </c>
      <c r="L126" s="190">
        <f>IF(I126&lt;=0,"-",IF(J126&lt;=30,"Low",IF(J126&lt;=60,"Low-Medium",IF(J126&lt;=90,"Medium","HIGH RISK"))))</f>
        <v/>
      </c>
      <c r="M126" s="190" t="inlineStr">
        <is>
          <t>Vendor</t>
        </is>
      </c>
      <c r="N126" s="190" t="inlineStr">
        <is>
          <t>Pending</t>
        </is>
      </c>
    </row>
    <row r="127">
      <c r="A127" s="183" t="n">
        <v>126</v>
      </c>
      <c r="B127" s="183" t="inlineStr">
        <is>
          <t>Mujahid</t>
        </is>
      </c>
      <c r="C127" s="184" t="n">
        <v>45890</v>
      </c>
      <c r="D127" s="185" t="inlineStr">
        <is>
          <t>C-SLG/943/25-26</t>
        </is>
      </c>
      <c r="E127" s="185" t="inlineStr">
        <is>
          <t>Ram Stationery Mart</t>
        </is>
      </c>
      <c r="F127" s="186" t="n">
        <v>37146</v>
      </c>
      <c r="G127" s="184" t="n">
        <v>45915</v>
      </c>
      <c r="H127" s="187" t="n">
        <v>0</v>
      </c>
      <c r="I127" s="185">
        <f>MAX(0,F127-H127)</f>
        <v/>
      </c>
      <c r="J127" s="185">
        <f>IF(G127="",0,MAX(0,TODAY()-G127))</f>
        <v/>
      </c>
      <c r="K127" s="185">
        <f>IF(I127&lt;=0,"Current",IF(J127&lt;=30,"0-30 Days",IF(J127&lt;=60,"31-60 Days",IF(J127&lt;=90,"61-90 Days","90+ Days"))))</f>
        <v/>
      </c>
      <c r="L127" s="185">
        <f>IF(I127&lt;=0,"-",IF(J127&lt;=30,"Low",IF(J127&lt;=60,"Low-Medium",IF(J127&lt;=90,"Medium","HIGH RISK"))))</f>
        <v/>
      </c>
      <c r="M127" s="185" t="inlineStr">
        <is>
          <t>Vendor</t>
        </is>
      </c>
      <c r="N127" s="185" t="inlineStr">
        <is>
          <t>Pending</t>
        </is>
      </c>
    </row>
    <row r="128">
      <c r="A128" s="188" t="n">
        <v>127</v>
      </c>
      <c r="B128" s="188" t="inlineStr">
        <is>
          <t>Mujahid</t>
        </is>
      </c>
      <c r="C128" s="189" t="n">
        <v>45905</v>
      </c>
      <c r="D128" s="190" t="inlineStr">
        <is>
          <t>C-SLG/1078/25-26</t>
        </is>
      </c>
      <c r="E128" s="190" t="inlineStr">
        <is>
          <t>Ram Stationery Mart</t>
        </is>
      </c>
      <c r="F128" s="191" t="n">
        <v>248440</v>
      </c>
      <c r="G128" s="189" t="n">
        <v>45930</v>
      </c>
      <c r="H128" s="192" t="n">
        <v>0</v>
      </c>
      <c r="I128" s="190">
        <f>MAX(0,F128-H128)</f>
        <v/>
      </c>
      <c r="J128" s="190">
        <f>IF(G128="",0,MAX(0,TODAY()-G128))</f>
        <v/>
      </c>
      <c r="K128" s="190">
        <f>IF(I128&lt;=0,"Current",IF(J128&lt;=30,"0-30 Days",IF(J128&lt;=60,"31-60 Days",IF(J128&lt;=90,"61-90 Days","90+ Days"))))</f>
        <v/>
      </c>
      <c r="L128" s="190">
        <f>IF(I128&lt;=0,"-",IF(J128&lt;=30,"Low",IF(J128&lt;=60,"Low-Medium",IF(J128&lt;=90,"Medium","HIGH RISK"))))</f>
        <v/>
      </c>
      <c r="M128" s="190" t="inlineStr">
        <is>
          <t>Vendor</t>
        </is>
      </c>
      <c r="N128" s="190" t="inlineStr">
        <is>
          <t>Pending</t>
        </is>
      </c>
    </row>
    <row r="129">
      <c r="A129" s="183" t="n">
        <v>128</v>
      </c>
      <c r="B129" s="183" t="inlineStr">
        <is>
          <t>Mujahid</t>
        </is>
      </c>
      <c r="C129" s="184" t="n">
        <v>45918</v>
      </c>
      <c r="D129" s="185" t="inlineStr">
        <is>
          <t>C-SLG/1244/25-26</t>
        </is>
      </c>
      <c r="E129" s="185" t="inlineStr">
        <is>
          <t>Ram Stationery Mart</t>
        </is>
      </c>
      <c r="F129" s="186" t="n">
        <v>143307</v>
      </c>
      <c r="G129" s="184" t="n">
        <v>45943</v>
      </c>
      <c r="H129" s="187" t="n">
        <v>0</v>
      </c>
      <c r="I129" s="185">
        <f>MAX(0,F129-H129)</f>
        <v/>
      </c>
      <c r="J129" s="185">
        <f>IF(G129="",0,MAX(0,TODAY()-G129))</f>
        <v/>
      </c>
      <c r="K129" s="185">
        <f>IF(I129&lt;=0,"Current",IF(J129&lt;=30,"0-30 Days",IF(J129&lt;=60,"31-60 Days",IF(J129&lt;=90,"61-90 Days","90+ Days"))))</f>
        <v/>
      </c>
      <c r="L129" s="185">
        <f>IF(I129&lt;=0,"-",IF(J129&lt;=30,"Low",IF(J129&lt;=60,"Low-Medium",IF(J129&lt;=90,"Medium","HIGH RISK"))))</f>
        <v/>
      </c>
      <c r="M129" s="185" t="inlineStr">
        <is>
          <t>Vendor</t>
        </is>
      </c>
      <c r="N129" s="185" t="inlineStr">
        <is>
          <t>Pending</t>
        </is>
      </c>
    </row>
    <row r="130">
      <c r="A130" s="188" t="n">
        <v>129</v>
      </c>
      <c r="B130" s="188" t="inlineStr">
        <is>
          <t>Mujahid</t>
        </is>
      </c>
      <c r="C130" s="189" t="n">
        <v>45927</v>
      </c>
      <c r="D130" s="190" t="inlineStr">
        <is>
          <t>C-SLG/1326/25-26</t>
        </is>
      </c>
      <c r="E130" s="190" t="inlineStr">
        <is>
          <t>Ram Stationery Mart</t>
        </is>
      </c>
      <c r="F130" s="191" t="n">
        <v>19200</v>
      </c>
      <c r="G130" s="189" t="n">
        <v>45952</v>
      </c>
      <c r="H130" s="192" t="n">
        <v>0</v>
      </c>
      <c r="I130" s="190">
        <f>MAX(0,F130-H130)</f>
        <v/>
      </c>
      <c r="J130" s="190">
        <f>IF(G130="",0,MAX(0,TODAY()-G130))</f>
        <v/>
      </c>
      <c r="K130" s="190">
        <f>IF(I130&lt;=0,"Current",IF(J130&lt;=30,"0-30 Days",IF(J130&lt;=60,"31-60 Days",IF(J130&lt;=90,"61-90 Days","90+ Days"))))</f>
        <v/>
      </c>
      <c r="L130" s="190">
        <f>IF(I130&lt;=0,"-",IF(J130&lt;=30,"Low",IF(J130&lt;=60,"Low-Medium",IF(J130&lt;=90,"Medium","HIGH RISK"))))</f>
        <v/>
      </c>
      <c r="M130" s="190" t="inlineStr">
        <is>
          <t>Vendor</t>
        </is>
      </c>
      <c r="N130" s="190" t="inlineStr">
        <is>
          <t>Pending</t>
        </is>
      </c>
    </row>
    <row r="131">
      <c r="A131" s="183" t="n">
        <v>130</v>
      </c>
      <c r="B131" s="183" t="inlineStr">
        <is>
          <t>Mujahid</t>
        </is>
      </c>
      <c r="C131" s="184" t="n">
        <v>45955</v>
      </c>
      <c r="D131" s="185" t="inlineStr">
        <is>
          <t>C-SLG/1540/25-26</t>
        </is>
      </c>
      <c r="E131" s="185" t="inlineStr">
        <is>
          <t>Ram Stationery Mart</t>
        </is>
      </c>
      <c r="F131" s="186" t="n">
        <v>163657</v>
      </c>
      <c r="G131" s="184" t="n">
        <v>45980</v>
      </c>
      <c r="H131" s="187" t="n">
        <v>0</v>
      </c>
      <c r="I131" s="185">
        <f>MAX(0,F131-H131)</f>
        <v/>
      </c>
      <c r="J131" s="185">
        <f>IF(G131="",0,MAX(0,TODAY()-G131))</f>
        <v/>
      </c>
      <c r="K131" s="185">
        <f>IF(I131&lt;=0,"Current",IF(J131&lt;=30,"0-30 Days",IF(J131&lt;=60,"31-60 Days",IF(J131&lt;=90,"61-90 Days","90+ Days"))))</f>
        <v/>
      </c>
      <c r="L131" s="185">
        <f>IF(I131&lt;=0,"-",IF(J131&lt;=30,"Low",IF(J131&lt;=60,"Low-Medium",IF(J131&lt;=90,"Medium","HIGH RISK"))))</f>
        <v/>
      </c>
      <c r="M131" s="185" t="inlineStr">
        <is>
          <t>Vendor</t>
        </is>
      </c>
      <c r="N131" s="185" t="inlineStr">
        <is>
          <t>Pending</t>
        </is>
      </c>
    </row>
    <row r="132">
      <c r="A132" s="188" t="n">
        <v>131</v>
      </c>
      <c r="B132" s="188" t="inlineStr">
        <is>
          <t>Mujahid</t>
        </is>
      </c>
      <c r="C132" s="189" t="n">
        <v>45978</v>
      </c>
      <c r="D132" s="190" t="inlineStr">
        <is>
          <t>C-SLG/1673/25-26</t>
        </is>
      </c>
      <c r="E132" s="190" t="inlineStr">
        <is>
          <t>Ram Stationery Mart</t>
        </is>
      </c>
      <c r="F132" s="191" t="n">
        <v>5143</v>
      </c>
      <c r="G132" s="189" t="n">
        <v>46003</v>
      </c>
      <c r="H132" s="192" t="n">
        <v>0</v>
      </c>
      <c r="I132" s="190">
        <f>MAX(0,F132-H132)</f>
        <v/>
      </c>
      <c r="J132" s="190">
        <f>IF(G132="",0,MAX(0,TODAY()-G132))</f>
        <v/>
      </c>
      <c r="K132" s="190">
        <f>IF(I132&lt;=0,"Current",IF(J132&lt;=30,"0-30 Days",IF(J132&lt;=60,"31-60 Days",IF(J132&lt;=90,"61-90 Days","90+ Days"))))</f>
        <v/>
      </c>
      <c r="L132" s="190">
        <f>IF(I132&lt;=0,"-",IF(J132&lt;=30,"Low",IF(J132&lt;=60,"Low-Medium",IF(J132&lt;=90,"Medium","HIGH RISK"))))</f>
        <v/>
      </c>
      <c r="M132" s="190" t="inlineStr">
        <is>
          <t>Vendor</t>
        </is>
      </c>
      <c r="N132" s="190" t="inlineStr">
        <is>
          <t>Pending</t>
        </is>
      </c>
    </row>
    <row r="133">
      <c r="A133" s="183" t="n">
        <v>132</v>
      </c>
      <c r="B133" s="183" t="inlineStr">
        <is>
          <t>Mujahid</t>
        </is>
      </c>
      <c r="C133" s="184" t="n">
        <v>46022</v>
      </c>
      <c r="D133" s="185" t="inlineStr">
        <is>
          <t>C-SLG/2018/25-26</t>
        </is>
      </c>
      <c r="E133" s="185" t="inlineStr">
        <is>
          <t>Ram Stationery Mart</t>
        </is>
      </c>
      <c r="F133" s="186" t="n">
        <v>105970.48</v>
      </c>
      <c r="G133" s="184" t="n">
        <v>46047</v>
      </c>
      <c r="H133" s="187" t="n">
        <v>0</v>
      </c>
      <c r="I133" s="185">
        <f>MAX(0,F133-H133)</f>
        <v/>
      </c>
      <c r="J133" s="185">
        <f>IF(G133="",0,MAX(0,TODAY()-G133))</f>
        <v/>
      </c>
      <c r="K133" s="185">
        <f>IF(I133&lt;=0,"Current",IF(J133&lt;=30,"0-30 Days",IF(J133&lt;=60,"31-60 Days",IF(J133&lt;=90,"61-90 Days","90+ Days"))))</f>
        <v/>
      </c>
      <c r="L133" s="185">
        <f>IF(I133&lt;=0,"-",IF(J133&lt;=30,"Low",IF(J133&lt;=60,"Low-Medium",IF(J133&lt;=90,"Medium","HIGH RISK"))))</f>
        <v/>
      </c>
      <c r="M133" s="185" t="inlineStr">
        <is>
          <t>Vendor</t>
        </is>
      </c>
      <c r="N133" s="185" t="inlineStr">
        <is>
          <t>Pending</t>
        </is>
      </c>
    </row>
    <row r="134">
      <c r="A134" s="188" t="n">
        <v>133</v>
      </c>
      <c r="B134" s="188" t="inlineStr">
        <is>
          <t>Mujahid</t>
        </is>
      </c>
      <c r="C134" s="189" t="n">
        <v>46025</v>
      </c>
      <c r="D134" s="190" t="inlineStr">
        <is>
          <t>C-SLG/2030/25-26</t>
        </is>
      </c>
      <c r="E134" s="190" t="inlineStr">
        <is>
          <t>Ram Stationery Mart</t>
        </is>
      </c>
      <c r="F134" s="191" t="n">
        <v>53447.25</v>
      </c>
      <c r="G134" s="189" t="n">
        <v>46050</v>
      </c>
      <c r="H134" s="192" t="n">
        <v>0</v>
      </c>
      <c r="I134" s="190">
        <f>MAX(0,F134-H134)</f>
        <v/>
      </c>
      <c r="J134" s="190">
        <f>IF(G134="",0,MAX(0,TODAY()-G134))</f>
        <v/>
      </c>
      <c r="K134" s="190">
        <f>IF(I134&lt;=0,"Current",IF(J134&lt;=30,"0-30 Days",IF(J134&lt;=60,"31-60 Days",IF(J134&lt;=90,"61-90 Days","90+ Days"))))</f>
        <v/>
      </c>
      <c r="L134" s="190">
        <f>IF(I134&lt;=0,"-",IF(J134&lt;=30,"Low",IF(J134&lt;=60,"Low-Medium",IF(J134&lt;=90,"Medium","HIGH RISK"))))</f>
        <v/>
      </c>
      <c r="M134" s="190" t="inlineStr">
        <is>
          <t>Vendor</t>
        </is>
      </c>
      <c r="N134" s="190" t="inlineStr">
        <is>
          <t>Pending</t>
        </is>
      </c>
    </row>
    <row r="135">
      <c r="A135" s="208" t="n">
        <v>134</v>
      </c>
      <c r="B135" s="208" t="inlineStr">
        <is>
          <t>Mujahid</t>
        </is>
      </c>
      <c r="C135" s="209" t="n">
        <v>46053</v>
      </c>
      <c r="D135" s="210" t="inlineStr">
        <is>
          <t>C-SLG/2156/25-26</t>
        </is>
      </c>
      <c r="E135" s="210" t="inlineStr">
        <is>
          <t>Ram Stationery Mart</t>
        </is>
      </c>
      <c r="F135" s="211" t="n">
        <v>155010</v>
      </c>
      <c r="G135" s="209" t="n">
        <v>46078</v>
      </c>
      <c r="H135" s="212" t="n">
        <v>0</v>
      </c>
      <c r="I135" s="210">
        <f>MAX(0,F135-H135)</f>
        <v/>
      </c>
      <c r="J135" s="210">
        <f>IF(G135="",0,MAX(0,TODAY()-G135))</f>
        <v/>
      </c>
      <c r="K135" s="210">
        <f>IF(I135&lt;=0,"Current",IF(J135&lt;=30,"0-30 Days",IF(J135&lt;=60,"31-60 Days",IF(J135&lt;=90,"61-90 Days","90+ Days"))))</f>
        <v/>
      </c>
      <c r="L135" s="210">
        <f>IF(I135&lt;=0,"-",IF(J135&lt;=30,"Low",IF(J135&lt;=60,"Low-Medium",IF(J135&lt;=90,"Medium","HIGH RISK"))))</f>
        <v/>
      </c>
      <c r="M135" s="210" t="inlineStr">
        <is>
          <t>Vendor</t>
        </is>
      </c>
      <c r="N135" s="210" t="inlineStr">
        <is>
          <t>Pending</t>
        </is>
      </c>
    </row>
    <row r="136">
      <c r="A136" s="178" t="n">
        <v>135</v>
      </c>
      <c r="B136" s="178" t="inlineStr">
        <is>
          <t>Mujahid</t>
        </is>
      </c>
      <c r="C136" s="179" t="n">
        <v>46122</v>
      </c>
      <c r="D136" s="180" t="inlineStr">
        <is>
          <t>C-SLG/0025/26-27</t>
        </is>
      </c>
      <c r="E136" s="180" t="inlineStr">
        <is>
          <t>Ram Stationery Mart</t>
        </is>
      </c>
      <c r="F136" s="181" t="n">
        <v>93732</v>
      </c>
      <c r="G136" s="179" t="n">
        <v>46147</v>
      </c>
      <c r="H136" s="182" t="n">
        <v>0</v>
      </c>
      <c r="I136" s="180">
        <f>MAX(0,F136-H136)</f>
        <v/>
      </c>
      <c r="J136" s="180">
        <f>IF(G136="",0,MAX(0,TODAY()-G136))</f>
        <v/>
      </c>
      <c r="K136" s="180">
        <f>IF(I136&lt;=0,"Current",IF(J136&lt;=30,"0-30 Days",IF(J136&lt;=60,"31-60 Days",IF(J136&lt;=90,"61-90 Days","90+ Days"))))</f>
        <v/>
      </c>
      <c r="L136" s="180">
        <f>IF(I136&lt;=0,"-",IF(J136&lt;=30,"Low",IF(J136&lt;=60,"Low-Medium",IF(J136&lt;=90,"Medium","HIGH RISK"))))</f>
        <v/>
      </c>
      <c r="M136" s="180" t="inlineStr">
        <is>
          <t>Vendor</t>
        </is>
      </c>
      <c r="N136" s="180" t="inlineStr">
        <is>
          <t>Pending</t>
        </is>
      </c>
    </row>
    <row r="137">
      <c r="A137" s="193" t="n">
        <v>136</v>
      </c>
      <c r="B137" s="193" t="inlineStr">
        <is>
          <t>Mujahid</t>
        </is>
      </c>
      <c r="C137" s="194" t="n">
        <v>46156</v>
      </c>
      <c r="D137" s="195" t="inlineStr">
        <is>
          <t>C-SLG/0128/26-27</t>
        </is>
      </c>
      <c r="E137" s="195" t="inlineStr">
        <is>
          <t>Ram Stationery Mart</t>
        </is>
      </c>
      <c r="F137" s="196" t="n">
        <v>43847</v>
      </c>
      <c r="G137" s="194" t="n">
        <v>46181</v>
      </c>
      <c r="H137" s="197" t="n">
        <v>0</v>
      </c>
      <c r="I137" s="195">
        <f>MAX(0,F137-H137)</f>
        <v/>
      </c>
      <c r="J137" s="195">
        <f>IF(G137="",0,MAX(0,TODAY()-G137))</f>
        <v/>
      </c>
      <c r="K137" s="195">
        <f>IF(I137&lt;=0,"Current",IF(J137&lt;=30,"0-30 Days",IF(J137&lt;=60,"31-60 Days",IF(J137&lt;=90,"61-90 Days","90+ Days"))))</f>
        <v/>
      </c>
      <c r="L137" s="195">
        <f>IF(I137&lt;=0,"-",IF(J137&lt;=30,"Low",IF(J137&lt;=60,"Low-Medium",IF(J137&lt;=90,"Medium","HIGH RISK"))))</f>
        <v/>
      </c>
      <c r="M137" s="195" t="inlineStr"/>
      <c r="N137" s="195" t="inlineStr">
        <is>
          <t>Pending</t>
        </is>
      </c>
    </row>
    <row r="138">
      <c r="A138" s="188" t="n">
        <v>137</v>
      </c>
      <c r="B138" s="188" t="inlineStr">
        <is>
          <t>Mujahid</t>
        </is>
      </c>
      <c r="C138" s="189" t="n">
        <v>46031</v>
      </c>
      <c r="D138" s="190" t="inlineStr">
        <is>
          <t>C-SLG/2061/25-26</t>
        </is>
      </c>
      <c r="E138" s="190" t="inlineStr">
        <is>
          <t>REMAX ENTERPRISES</t>
        </is>
      </c>
      <c r="F138" s="191" t="n">
        <v>5</v>
      </c>
      <c r="G138" s="189" t="n">
        <v>46056</v>
      </c>
      <c r="H138" s="192" t="n">
        <v>0</v>
      </c>
      <c r="I138" s="190">
        <f>MAX(0,F138-H138)</f>
        <v/>
      </c>
      <c r="J138" s="190">
        <f>IF(G138="",0,MAX(0,TODAY()-G138))</f>
        <v/>
      </c>
      <c r="K138" s="190">
        <f>IF(I138&lt;=0,"Current",IF(J138&lt;=30,"0-30 Days",IF(J138&lt;=60,"31-60 Days",IF(J138&lt;=90,"61-90 Days","90+ Days"))))</f>
        <v/>
      </c>
      <c r="L138" s="190">
        <f>IF(I138&lt;=0,"-",IF(J138&lt;=30,"Low",IF(J138&lt;=60,"Low-Medium",IF(J138&lt;=90,"Medium","HIGH RISK"))))</f>
        <v/>
      </c>
      <c r="M138" s="190" t="inlineStr"/>
      <c r="N138" s="190" t="inlineStr">
        <is>
          <t>Pending</t>
        </is>
      </c>
    </row>
    <row r="139">
      <c r="A139" s="213" t="n">
        <v>138</v>
      </c>
      <c r="B139" s="213" t="inlineStr">
        <is>
          <t>Mujahid</t>
        </is>
      </c>
      <c r="C139" s="214" t="n">
        <v>46107</v>
      </c>
      <c r="D139" s="215" t="inlineStr">
        <is>
          <t>C-SLG/2456/25-26</t>
        </is>
      </c>
      <c r="E139" s="215" t="inlineStr">
        <is>
          <t>Renuka Enterprises</t>
        </is>
      </c>
      <c r="F139" s="216" t="n">
        <v>82798</v>
      </c>
      <c r="G139" s="214" t="n">
        <v>46132</v>
      </c>
      <c r="H139" s="217" t="n">
        <v>0</v>
      </c>
      <c r="I139" s="215">
        <f>MAX(0,F139-H139)</f>
        <v/>
      </c>
      <c r="J139" s="215">
        <f>IF(G139="",0,MAX(0,TODAY()-G139))</f>
        <v/>
      </c>
      <c r="K139" s="215">
        <f>IF(I139&lt;=0,"Current",IF(J139&lt;=30,"0-30 Days",IF(J139&lt;=60,"31-60 Days",IF(J139&lt;=90,"61-90 Days","90+ Days"))))</f>
        <v/>
      </c>
      <c r="L139" s="215">
        <f>IF(I139&lt;=0,"-",IF(J139&lt;=30,"Low",IF(J139&lt;=60,"Low-Medium",IF(J139&lt;=90,"Medium","HIGH RISK"))))</f>
        <v/>
      </c>
      <c r="M139" s="215" t="inlineStr">
        <is>
          <t>Out of Reach</t>
        </is>
      </c>
      <c r="N139" s="215" t="inlineStr">
        <is>
          <t>Pending</t>
        </is>
      </c>
    </row>
    <row r="140">
      <c r="A140" s="193" t="n">
        <v>139</v>
      </c>
      <c r="B140" s="193" t="inlineStr">
        <is>
          <t>Mujahid</t>
        </is>
      </c>
      <c r="C140" s="194" t="n">
        <v>46155</v>
      </c>
      <c r="D140" s="195" t="inlineStr">
        <is>
          <t>C-SLG/0116/26-27</t>
        </is>
      </c>
      <c r="E140" s="195" t="inlineStr">
        <is>
          <t>Renuka Enterprises</t>
        </is>
      </c>
      <c r="F140" s="196" t="n">
        <v>547</v>
      </c>
      <c r="G140" s="194" t="n">
        <v>46180</v>
      </c>
      <c r="H140" s="197" t="n">
        <v>0</v>
      </c>
      <c r="I140" s="195">
        <f>MAX(0,F140-H140)</f>
        <v/>
      </c>
      <c r="J140" s="195">
        <f>IF(G140="",0,MAX(0,TODAY()-G140))</f>
        <v/>
      </c>
      <c r="K140" s="195">
        <f>IF(I140&lt;=0,"Current",IF(J140&lt;=30,"0-30 Days",IF(J140&lt;=60,"31-60 Days",IF(J140&lt;=90,"61-90 Days","90+ Days"))))</f>
        <v/>
      </c>
      <c r="L140" s="195">
        <f>IF(I140&lt;=0,"-",IF(J140&lt;=30,"Low",IF(J140&lt;=60,"Low-Medium",IF(J140&lt;=90,"Medium","HIGH RISK"))))</f>
        <v/>
      </c>
      <c r="M140" s="195" t="inlineStr"/>
      <c r="N140" s="195" t="inlineStr">
        <is>
          <t>Pending</t>
        </is>
      </c>
    </row>
    <row r="141">
      <c r="A141" s="213" t="n">
        <v>140</v>
      </c>
      <c r="B141" s="213" t="inlineStr">
        <is>
          <t>Mujahid</t>
        </is>
      </c>
      <c r="C141" s="214" t="n">
        <v>46109</v>
      </c>
      <c r="D141" s="215" t="inlineStr">
        <is>
          <t>C-SLG/2473/25-26</t>
        </is>
      </c>
      <c r="E141" s="215" t="inlineStr">
        <is>
          <t>RENUKA STATIONERS</t>
        </is>
      </c>
      <c r="F141" s="216" t="n">
        <v>152603</v>
      </c>
      <c r="G141" s="214" t="n">
        <v>46134</v>
      </c>
      <c r="H141" s="217" t="n">
        <v>0</v>
      </c>
      <c r="I141" s="215">
        <f>MAX(0,F141-H141)</f>
        <v/>
      </c>
      <c r="J141" s="215">
        <f>IF(G141="",0,MAX(0,TODAY()-G141))</f>
        <v/>
      </c>
      <c r="K141" s="215">
        <f>IF(I141&lt;=0,"Current",IF(J141&lt;=30,"0-30 Days",IF(J141&lt;=60,"31-60 Days",IF(J141&lt;=90,"61-90 Days","90+ Days"))))</f>
        <v/>
      </c>
      <c r="L141" s="215">
        <f>IF(I141&lt;=0,"-",IF(J141&lt;=30,"Low",IF(J141&lt;=60,"Low-Medium",IF(J141&lt;=90,"Medium","HIGH RISK"))))</f>
        <v/>
      </c>
      <c r="M141" s="215" t="inlineStr"/>
      <c r="N141" s="215" t="inlineStr">
        <is>
          <t>Pending</t>
        </is>
      </c>
    </row>
    <row r="142">
      <c r="A142" s="178" t="n">
        <v>141</v>
      </c>
      <c r="B142" s="178" t="inlineStr">
        <is>
          <t>Mujahid</t>
        </is>
      </c>
      <c r="C142" s="179" t="n">
        <v>46142</v>
      </c>
      <c r="D142" s="180" t="inlineStr">
        <is>
          <t>C-SLG/0084/26-27</t>
        </is>
      </c>
      <c r="E142" s="180" t="inlineStr">
        <is>
          <t>RENUKA STATIONERS</t>
        </is>
      </c>
      <c r="F142" s="181" t="n">
        <v>136439</v>
      </c>
      <c r="G142" s="179" t="n">
        <v>46167</v>
      </c>
      <c r="H142" s="182" t="n">
        <v>0</v>
      </c>
      <c r="I142" s="180">
        <f>MAX(0,F142-H142)</f>
        <v/>
      </c>
      <c r="J142" s="180">
        <f>IF(G142="",0,MAX(0,TODAY()-G142))</f>
        <v/>
      </c>
      <c r="K142" s="180">
        <f>IF(I142&lt;=0,"Current",IF(J142&lt;=30,"0-30 Days",IF(J142&lt;=60,"31-60 Days",IF(J142&lt;=90,"61-90 Days","90+ Days"))))</f>
        <v/>
      </c>
      <c r="L142" s="180">
        <f>IF(I142&lt;=0,"-",IF(J142&lt;=30,"Low",IF(J142&lt;=60,"Low-Medium",IF(J142&lt;=90,"Medium","HIGH RISK"))))</f>
        <v/>
      </c>
      <c r="M142" s="180" t="inlineStr"/>
      <c r="N142" s="180" t="inlineStr">
        <is>
          <t>Pending</t>
        </is>
      </c>
    </row>
    <row r="143">
      <c r="A143" s="193" t="n">
        <v>142</v>
      </c>
      <c r="B143" s="193" t="inlineStr">
        <is>
          <t>Mujahid</t>
        </is>
      </c>
      <c r="C143" s="194" t="n">
        <v>46155</v>
      </c>
      <c r="D143" s="195" t="inlineStr">
        <is>
          <t>C-SLG/0115/26-27</t>
        </is>
      </c>
      <c r="E143" s="195" t="inlineStr">
        <is>
          <t>RENUKA STATIONERS</t>
        </is>
      </c>
      <c r="F143" s="196" t="n">
        <v>547</v>
      </c>
      <c r="G143" s="194" t="n">
        <v>46180</v>
      </c>
      <c r="H143" s="197" t="n">
        <v>0</v>
      </c>
      <c r="I143" s="195">
        <f>MAX(0,F143-H143)</f>
        <v/>
      </c>
      <c r="J143" s="195">
        <f>IF(G143="",0,MAX(0,TODAY()-G143))</f>
        <v/>
      </c>
      <c r="K143" s="195">
        <f>IF(I143&lt;=0,"Current",IF(J143&lt;=30,"0-30 Days",IF(J143&lt;=60,"31-60 Days",IF(J143&lt;=90,"61-90 Days","90+ Days"))))</f>
        <v/>
      </c>
      <c r="L143" s="195">
        <f>IF(I143&lt;=0,"-",IF(J143&lt;=30,"Low",IF(J143&lt;=60,"Low-Medium",IF(J143&lt;=90,"Medium","HIGH RISK"))))</f>
        <v/>
      </c>
      <c r="M143" s="195" t="inlineStr"/>
      <c r="N143" s="195" t="inlineStr">
        <is>
          <t>Pending</t>
        </is>
      </c>
    </row>
    <row r="144">
      <c r="A144" s="218" t="n">
        <v>143</v>
      </c>
      <c r="B144" s="218" t="inlineStr">
        <is>
          <t>Mujahid</t>
        </is>
      </c>
      <c r="C144" s="219" t="n">
        <v>46087</v>
      </c>
      <c r="D144" s="220" t="inlineStr">
        <is>
          <t>C-SLG/2326/25-26</t>
        </is>
      </c>
      <c r="E144" s="220" t="inlineStr">
        <is>
          <t>ROLEX Stationary</t>
        </is>
      </c>
      <c r="F144" s="221" t="n">
        <v>1427</v>
      </c>
      <c r="G144" s="219" t="n">
        <v>46112</v>
      </c>
      <c r="H144" s="222" t="n">
        <v>0</v>
      </c>
      <c r="I144" s="220">
        <f>MAX(0,F144-H144)</f>
        <v/>
      </c>
      <c r="J144" s="220">
        <f>IF(G144="",0,MAX(0,TODAY()-G144))</f>
        <v/>
      </c>
      <c r="K144" s="220">
        <f>IF(I144&lt;=0,"Current",IF(J144&lt;=30,"0-30 Days",IF(J144&lt;=60,"31-60 Days",IF(J144&lt;=90,"61-90 Days","90+ Days"))))</f>
        <v/>
      </c>
      <c r="L144" s="220">
        <f>IF(I144&lt;=0,"-",IF(J144&lt;=30,"Low",IF(J144&lt;=60,"Low-Medium",IF(J144&lt;=90,"Medium","HIGH RISK"))))</f>
        <v/>
      </c>
      <c r="M144" s="220" t="inlineStr">
        <is>
          <t>Sample Piece</t>
        </is>
      </c>
      <c r="N144" s="220" t="inlineStr">
        <is>
          <t>Pending</t>
        </is>
      </c>
    </row>
    <row r="145">
      <c r="A145" s="213" t="n">
        <v>144</v>
      </c>
      <c r="B145" s="213" t="inlineStr">
        <is>
          <t>Mujahid</t>
        </is>
      </c>
      <c r="C145" s="214" t="n">
        <v>46104</v>
      </c>
      <c r="D145" s="215" t="inlineStr">
        <is>
          <t>C-SLG/2416/25-26</t>
        </is>
      </c>
      <c r="E145" s="215" t="inlineStr">
        <is>
          <t>Sha Ghewarchand &amp; Co</t>
        </is>
      </c>
      <c r="F145" s="216" t="n">
        <v>1329</v>
      </c>
      <c r="G145" s="214" t="n">
        <v>46129</v>
      </c>
      <c r="H145" s="217" t="n">
        <v>0</v>
      </c>
      <c r="I145" s="215">
        <f>MAX(0,F145-H145)</f>
        <v/>
      </c>
      <c r="J145" s="215">
        <f>IF(G145="",0,MAX(0,TODAY()-G145))</f>
        <v/>
      </c>
      <c r="K145" s="215">
        <f>IF(I145&lt;=0,"Current",IF(J145&lt;=30,"0-30 Days",IF(J145&lt;=60,"31-60 Days",IF(J145&lt;=90,"61-90 Days","90+ Days"))))</f>
        <v/>
      </c>
      <c r="L145" s="215">
        <f>IF(I145&lt;=0,"-",IF(J145&lt;=30,"Low",IF(J145&lt;=60,"Low-Medium",IF(J145&lt;=90,"Medium","HIGH RISK"))))</f>
        <v/>
      </c>
      <c r="M145" s="215" t="inlineStr">
        <is>
          <t>Sample Piece</t>
        </is>
      </c>
      <c r="N145" s="215" t="inlineStr">
        <is>
          <t>Pending</t>
        </is>
      </c>
    </row>
    <row r="146">
      <c r="A146" s="178" t="n">
        <v>145</v>
      </c>
      <c r="B146" s="178" t="inlineStr">
        <is>
          <t>Mujahid</t>
        </is>
      </c>
      <c r="C146" s="179" t="n">
        <v>46118</v>
      </c>
      <c r="D146" s="180" t="inlineStr">
        <is>
          <t>C-SLG/0011/26-27</t>
        </is>
      </c>
      <c r="E146" s="180" t="inlineStr">
        <is>
          <t>Shanker Stationery Mart</t>
        </is>
      </c>
      <c r="F146" s="181" t="n">
        <v>743012</v>
      </c>
      <c r="G146" s="179" t="n">
        <v>46143</v>
      </c>
      <c r="H146" s="182" t="n">
        <v>0</v>
      </c>
      <c r="I146" s="180">
        <f>MAX(0,F146-H146)</f>
        <v/>
      </c>
      <c r="J146" s="180">
        <f>IF(G146="",0,MAX(0,TODAY()-G146))</f>
        <v/>
      </c>
      <c r="K146" s="180">
        <f>IF(I146&lt;=0,"Current",IF(J146&lt;=30,"0-30 Days",IF(J146&lt;=60,"31-60 Days",IF(J146&lt;=90,"61-90 Days","90+ Days"))))</f>
        <v/>
      </c>
      <c r="L146" s="180">
        <f>IF(I146&lt;=0,"-",IF(J146&lt;=30,"Low",IF(J146&lt;=60,"Low-Medium",IF(J146&lt;=90,"Medium","HIGH RISK"))))</f>
        <v/>
      </c>
      <c r="M146" s="180" t="inlineStr"/>
      <c r="N146" s="180" t="inlineStr">
        <is>
          <t>Pending</t>
        </is>
      </c>
    </row>
    <row r="147">
      <c r="A147" s="208" t="n">
        <v>146</v>
      </c>
      <c r="B147" s="208" t="inlineStr">
        <is>
          <t>Mujahid</t>
        </is>
      </c>
      <c r="C147" s="209" t="n">
        <v>46059</v>
      </c>
      <c r="D147" s="210" t="inlineStr">
        <is>
          <t>C-SLG/2195/25-26</t>
        </is>
      </c>
      <c r="E147" s="210" t="inlineStr">
        <is>
          <t>SRI RAMDEV ENTERPRISES</t>
        </is>
      </c>
      <c r="F147" s="211" t="n">
        <v>28600</v>
      </c>
      <c r="G147" s="209" t="n">
        <v>46084</v>
      </c>
      <c r="H147" s="212" t="n">
        <v>0</v>
      </c>
      <c r="I147" s="210">
        <f>MAX(0,F147-H147)</f>
        <v/>
      </c>
      <c r="J147" s="210">
        <f>IF(G147="",0,MAX(0,TODAY()-G147))</f>
        <v/>
      </c>
      <c r="K147" s="210">
        <f>IF(I147&lt;=0,"Current",IF(J147&lt;=30,"0-30 Days",IF(J147&lt;=60,"31-60 Days",IF(J147&lt;=90,"61-90 Days","90+ Days"))))</f>
        <v/>
      </c>
      <c r="L147" s="210">
        <f>IF(I147&lt;=0,"-",IF(J147&lt;=30,"Low",IF(J147&lt;=60,"Low-Medium",IF(J147&lt;=90,"Medium","HIGH RISK"))))</f>
        <v/>
      </c>
      <c r="M147" s="210" t="inlineStr">
        <is>
          <t>Ringing Not Responding</t>
        </is>
      </c>
      <c r="N147" s="210" t="inlineStr">
        <is>
          <t>Pending</t>
        </is>
      </c>
    </row>
    <row r="148">
      <c r="A148" s="218" t="n">
        <v>147</v>
      </c>
      <c r="B148" s="218" t="inlineStr">
        <is>
          <t>Mujahid</t>
        </is>
      </c>
      <c r="C148" s="219" t="n">
        <v>46087</v>
      </c>
      <c r="D148" s="220" t="inlineStr">
        <is>
          <t>C-SLG/2336/25-26</t>
        </is>
      </c>
      <c r="E148" s="220" t="inlineStr">
        <is>
          <t>SRI RAMDEV ENTERPRISES</t>
        </is>
      </c>
      <c r="F148" s="221" t="n">
        <v>26307</v>
      </c>
      <c r="G148" s="219" t="n">
        <v>46112</v>
      </c>
      <c r="H148" s="222" t="n">
        <v>0</v>
      </c>
      <c r="I148" s="220">
        <f>MAX(0,F148-H148)</f>
        <v/>
      </c>
      <c r="J148" s="220">
        <f>IF(G148="",0,MAX(0,TODAY()-G148))</f>
        <v/>
      </c>
      <c r="K148" s="220">
        <f>IF(I148&lt;=0,"Current",IF(J148&lt;=30,"0-30 Days",IF(J148&lt;=60,"31-60 Days",IF(J148&lt;=90,"61-90 Days","90+ Days"))))</f>
        <v/>
      </c>
      <c r="L148" s="220">
        <f>IF(I148&lt;=0,"-",IF(J148&lt;=30,"Low",IF(J148&lt;=60,"Low-Medium",IF(J148&lt;=90,"Medium","HIGH RISK"))))</f>
        <v/>
      </c>
      <c r="M148" s="220" t="inlineStr">
        <is>
          <t>Ringing Not Responding</t>
        </is>
      </c>
      <c r="N148" s="220" t="inlineStr">
        <is>
          <t>Pending</t>
        </is>
      </c>
    </row>
    <row r="149">
      <c r="A149" s="213" t="n">
        <v>148</v>
      </c>
      <c r="B149" s="213" t="inlineStr">
        <is>
          <t>Mujahid</t>
        </is>
      </c>
      <c r="C149" s="214" t="n">
        <v>46109</v>
      </c>
      <c r="D149" s="215" t="inlineStr">
        <is>
          <t>C-SLG/2467/25-26</t>
        </is>
      </c>
      <c r="E149" s="215" t="inlineStr">
        <is>
          <t>SRI RAMDEV ENTERPRISES</t>
        </is>
      </c>
      <c r="F149" s="216" t="n">
        <v>21129</v>
      </c>
      <c r="G149" s="214" t="n">
        <v>46134</v>
      </c>
      <c r="H149" s="217" t="n">
        <v>0</v>
      </c>
      <c r="I149" s="215">
        <f>MAX(0,F149-H149)</f>
        <v/>
      </c>
      <c r="J149" s="215">
        <f>IF(G149="",0,MAX(0,TODAY()-G149))</f>
        <v/>
      </c>
      <c r="K149" s="215">
        <f>IF(I149&lt;=0,"Current",IF(J149&lt;=30,"0-30 Days",IF(J149&lt;=60,"31-60 Days",IF(J149&lt;=90,"61-90 Days","90+ Days"))))</f>
        <v/>
      </c>
      <c r="L149" s="215">
        <f>IF(I149&lt;=0,"-",IF(J149&lt;=30,"Low",IF(J149&lt;=60,"Low-Medium",IF(J149&lt;=90,"Medium","HIGH RISK"))))</f>
        <v/>
      </c>
      <c r="M149" s="215" t="inlineStr">
        <is>
          <t>Ringing Not Responding</t>
        </is>
      </c>
      <c r="N149" s="215" t="inlineStr">
        <is>
          <t>Pending</t>
        </is>
      </c>
    </row>
    <row r="150">
      <c r="A150" s="178" t="n">
        <v>149</v>
      </c>
      <c r="B150" s="178" t="inlineStr">
        <is>
          <t>Mujahid</t>
        </is>
      </c>
      <c r="C150" s="179" t="n">
        <v>46121</v>
      </c>
      <c r="D150" s="180" t="inlineStr">
        <is>
          <t>C-SLG/0010/26-27</t>
        </is>
      </c>
      <c r="E150" s="180" t="inlineStr">
        <is>
          <t>SRI RAMDEV ENTERPRISES</t>
        </is>
      </c>
      <c r="F150" s="181" t="n">
        <v>7460</v>
      </c>
      <c r="G150" s="179" t="n">
        <v>46146</v>
      </c>
      <c r="H150" s="182" t="n">
        <v>0</v>
      </c>
      <c r="I150" s="180">
        <f>MAX(0,F150-H150)</f>
        <v/>
      </c>
      <c r="J150" s="180">
        <f>IF(G150="",0,MAX(0,TODAY()-G150))</f>
        <v/>
      </c>
      <c r="K150" s="180">
        <f>IF(I150&lt;=0,"Current",IF(J150&lt;=30,"0-30 Days",IF(J150&lt;=60,"31-60 Days",IF(J150&lt;=90,"61-90 Days","90+ Days"))))</f>
        <v/>
      </c>
      <c r="L150" s="180">
        <f>IF(I150&lt;=0,"-",IF(J150&lt;=30,"Low",IF(J150&lt;=60,"Low-Medium",IF(J150&lt;=90,"Medium","HIGH RISK"))))</f>
        <v/>
      </c>
      <c r="M150" s="180" t="inlineStr">
        <is>
          <t>Ringing Not Responding</t>
        </is>
      </c>
      <c r="N150" s="180" t="inlineStr">
        <is>
          <t>Pending</t>
        </is>
      </c>
    </row>
    <row r="151">
      <c r="A151" s="183" t="n">
        <v>150</v>
      </c>
      <c r="B151" s="183" t="inlineStr">
        <is>
          <t>Mujahid</t>
        </is>
      </c>
      <c r="C151" s="184" t="n">
        <v>45202</v>
      </c>
      <c r="D151" s="185" t="inlineStr">
        <is>
          <t>C-SLG/1650/23-24</t>
        </is>
      </c>
      <c r="E151" s="185" t="inlineStr">
        <is>
          <t>SRI RAM STATIONERY</t>
        </is>
      </c>
      <c r="F151" s="186" t="n">
        <v>21098.1</v>
      </c>
      <c r="G151" s="184" t="n">
        <v>45202</v>
      </c>
      <c r="H151" s="187" t="n">
        <v>0</v>
      </c>
      <c r="I151" s="185">
        <f>MAX(0,F151-H151)</f>
        <v/>
      </c>
      <c r="J151" s="185">
        <f>IF(G151="",0,MAX(0,TODAY()-G151))</f>
        <v/>
      </c>
      <c r="K151" s="185">
        <f>IF(I151&lt;=0,"Current",IF(J151&lt;=30,"0-30 Days",IF(J151&lt;=60,"31-60 Days",IF(J151&lt;=90,"61-90 Days","90+ Days"))))</f>
        <v/>
      </c>
      <c r="L151" s="185">
        <f>IF(I151&lt;=0,"-",IF(J151&lt;=30,"Low",IF(J151&lt;=60,"Low-Medium",IF(J151&lt;=90,"Medium","HIGH RISK"))))</f>
        <v/>
      </c>
      <c r="M151" s="185" t="inlineStr">
        <is>
          <t>Will Pay on Monday</t>
        </is>
      </c>
      <c r="N151" s="185" t="inlineStr">
        <is>
          <t>Pending</t>
        </is>
      </c>
    </row>
    <row r="152">
      <c r="A152" s="218" t="n">
        <v>151</v>
      </c>
      <c r="B152" s="218" t="inlineStr">
        <is>
          <t>Mujahid</t>
        </is>
      </c>
      <c r="C152" s="219" t="n">
        <v>46087</v>
      </c>
      <c r="D152" s="220" t="inlineStr">
        <is>
          <t>C-SLG/2327/25-26</t>
        </is>
      </c>
      <c r="E152" s="220" t="inlineStr">
        <is>
          <t>SRI RAM STATIONERY</t>
        </is>
      </c>
      <c r="F152" s="221" t="n">
        <v>1427</v>
      </c>
      <c r="G152" s="219" t="n">
        <v>46112</v>
      </c>
      <c r="H152" s="222" t="n">
        <v>0</v>
      </c>
      <c r="I152" s="220">
        <f>MAX(0,F152-H152)</f>
        <v/>
      </c>
      <c r="J152" s="220">
        <f>IF(G152="",0,MAX(0,TODAY()-G152))</f>
        <v/>
      </c>
      <c r="K152" s="220">
        <f>IF(I152&lt;=0,"Current",IF(J152&lt;=30,"0-30 Days",IF(J152&lt;=60,"31-60 Days",IF(J152&lt;=90,"61-90 Days","90+ Days"))))</f>
        <v/>
      </c>
      <c r="L152" s="220">
        <f>IF(I152&lt;=0,"-",IF(J152&lt;=30,"Low",IF(J152&lt;=60,"Low-Medium",IF(J152&lt;=90,"Medium","HIGH RISK"))))</f>
        <v/>
      </c>
      <c r="M152" s="220" t="inlineStr">
        <is>
          <t>Sample Piece</t>
        </is>
      </c>
      <c r="N152" s="220" t="inlineStr">
        <is>
          <t>Pending</t>
        </is>
      </c>
    </row>
    <row r="153">
      <c r="A153" s="213" t="n">
        <v>152</v>
      </c>
      <c r="B153" s="213" t="inlineStr">
        <is>
          <t>Mujahid</t>
        </is>
      </c>
      <c r="C153" s="214" t="n">
        <v>46087</v>
      </c>
      <c r="D153" s="215" t="inlineStr">
        <is>
          <t>C-SLG/2328/25-26</t>
        </is>
      </c>
      <c r="E153" s="215" t="inlineStr">
        <is>
          <t>TALAWAT STATIONARY</t>
        </is>
      </c>
      <c r="F153" s="216" t="n">
        <v>1427</v>
      </c>
      <c r="G153" s="214" t="n">
        <v>46112</v>
      </c>
      <c r="H153" s="217" t="n">
        <v>0</v>
      </c>
      <c r="I153" s="215">
        <f>MAX(0,F153-H153)</f>
        <v/>
      </c>
      <c r="J153" s="215">
        <f>IF(G153="",0,MAX(0,TODAY()-G153))</f>
        <v/>
      </c>
      <c r="K153" s="215">
        <f>IF(I153&lt;=0,"Current",IF(J153&lt;=30,"0-30 Days",IF(J153&lt;=60,"31-60 Days",IF(J153&lt;=90,"61-90 Days","90+ Days"))))</f>
        <v/>
      </c>
      <c r="L153" s="215">
        <f>IF(I153&lt;=0,"-",IF(J153&lt;=30,"Low",IF(J153&lt;=60,"Low-Medium",IF(J153&lt;=90,"Medium","HIGH RISK"))))</f>
        <v/>
      </c>
      <c r="M153" s="215" t="inlineStr">
        <is>
          <t>Sample Piece</t>
        </is>
      </c>
      <c r="N153" s="215" t="inlineStr">
        <is>
          <t>Pending</t>
        </is>
      </c>
    </row>
    <row r="154">
      <c r="A154" s="218" t="n">
        <v>153</v>
      </c>
      <c r="B154" s="218" t="inlineStr">
        <is>
          <t>Mujahid</t>
        </is>
      </c>
      <c r="C154" s="219" t="n">
        <v>46112</v>
      </c>
      <c r="D154" s="220" t="inlineStr">
        <is>
          <t>C-SLG/2493/25-26</t>
        </is>
      </c>
      <c r="E154" s="220" t="inlineStr">
        <is>
          <t>Vardhman Computer &amp; Stationery</t>
        </is>
      </c>
      <c r="F154" s="221" t="n">
        <v>45625</v>
      </c>
      <c r="G154" s="219" t="n">
        <v>46137</v>
      </c>
      <c r="H154" s="222" t="n">
        <v>0</v>
      </c>
      <c r="I154" s="220">
        <f>MAX(0,F154-H154)</f>
        <v/>
      </c>
      <c r="J154" s="220">
        <f>IF(G154="",0,MAX(0,TODAY()-G154))</f>
        <v/>
      </c>
      <c r="K154" s="220">
        <f>IF(I154&lt;=0,"Current",IF(J154&lt;=30,"0-30 Days",IF(J154&lt;=60,"31-60 Days",IF(J154&lt;=90,"61-90 Days","90+ Days"))))</f>
        <v/>
      </c>
      <c r="L154" s="220">
        <f>IF(I154&lt;=0,"-",IF(J154&lt;=30,"Low",IF(J154&lt;=60,"Low-Medium",IF(J154&lt;=90,"Medium","HIGH RISK"))))</f>
        <v/>
      </c>
      <c r="M154" s="220" t="inlineStr"/>
      <c r="N154" s="220" t="inlineStr">
        <is>
          <t>Pending</t>
        </is>
      </c>
    </row>
    <row r="155">
      <c r="A155" s="198" t="n">
        <v>154</v>
      </c>
      <c r="B155" s="198" t="inlineStr">
        <is>
          <t>Mujahid</t>
        </is>
      </c>
      <c r="C155" s="199" t="n">
        <v>46137</v>
      </c>
      <c r="D155" s="200" t="inlineStr">
        <is>
          <t>C-SLG/0069/26-27</t>
        </is>
      </c>
      <c r="E155" s="200" t="inlineStr">
        <is>
          <t>Vardhman Computer &amp; Stationery</t>
        </is>
      </c>
      <c r="F155" s="201" t="n">
        <v>91396</v>
      </c>
      <c r="G155" s="199" t="n">
        <v>46162</v>
      </c>
      <c r="H155" s="202" t="n">
        <v>0</v>
      </c>
      <c r="I155" s="200">
        <f>MAX(0,F155-H155)</f>
        <v/>
      </c>
      <c r="J155" s="200">
        <f>IF(G155="",0,MAX(0,TODAY()-G155))</f>
        <v/>
      </c>
      <c r="K155" s="200">
        <f>IF(I155&lt;=0,"Current",IF(J155&lt;=30,"0-30 Days",IF(J155&lt;=60,"31-60 Days",IF(J155&lt;=90,"61-90 Days","90+ Days"))))</f>
        <v/>
      </c>
      <c r="L155" s="200">
        <f>IF(I155&lt;=0,"-",IF(J155&lt;=30,"Low",IF(J155&lt;=60,"Low-Medium",IF(J155&lt;=90,"Medium","HIGH RISK"))))</f>
        <v/>
      </c>
      <c r="M155" s="200" t="inlineStr"/>
      <c r="N155" s="200" t="inlineStr">
        <is>
          <t>Pending</t>
        </is>
      </c>
    </row>
    <row r="156">
      <c r="A156" s="218" t="n">
        <v>155</v>
      </c>
      <c r="B156" s="218" t="inlineStr">
        <is>
          <t>Mujahid</t>
        </is>
      </c>
      <c r="C156" s="219" t="n">
        <v>46087</v>
      </c>
      <c r="D156" s="220" t="inlineStr">
        <is>
          <t>C-SLG/2330/25-26</t>
        </is>
      </c>
      <c r="E156" s="220" t="inlineStr">
        <is>
          <t>V Raja Stationery</t>
        </is>
      </c>
      <c r="F156" s="221" t="n">
        <v>52613</v>
      </c>
      <c r="G156" s="219" t="n">
        <v>46112</v>
      </c>
      <c r="H156" s="222" t="n">
        <v>0</v>
      </c>
      <c r="I156" s="220">
        <f>MAX(0,F156-H156)</f>
        <v/>
      </c>
      <c r="J156" s="220">
        <f>IF(G156="",0,MAX(0,TODAY()-G156))</f>
        <v/>
      </c>
      <c r="K156" s="220">
        <f>IF(I156&lt;=0,"Current",IF(J156&lt;=30,"0-30 Days",IF(J156&lt;=60,"31-60 Days",IF(J156&lt;=90,"61-90 Days","90+ Days"))))</f>
        <v/>
      </c>
      <c r="L156" s="220">
        <f>IF(I156&lt;=0,"-",IF(J156&lt;=30,"Low",IF(J156&lt;=60,"Low-Medium",IF(J156&lt;=90,"Medium","HIGH RISK"))))</f>
        <v/>
      </c>
      <c r="M156" s="220" t="inlineStr">
        <is>
          <t>Call Disconnected</t>
        </is>
      </c>
      <c r="N156" s="220" t="inlineStr">
        <is>
          <t>Pending</t>
        </is>
      </c>
    </row>
    <row r="157">
      <c r="A157" s="213" t="n">
        <v>156</v>
      </c>
      <c r="B157" s="213" t="inlineStr">
        <is>
          <t>Mujahid</t>
        </is>
      </c>
      <c r="C157" s="214" t="n">
        <v>46109</v>
      </c>
      <c r="D157" s="215" t="inlineStr">
        <is>
          <t>C-SLG/2466/25-26</t>
        </is>
      </c>
      <c r="E157" s="215" t="inlineStr">
        <is>
          <t>V Raja Stationery</t>
        </is>
      </c>
      <c r="F157" s="216" t="n">
        <v>88584</v>
      </c>
      <c r="G157" s="214" t="n">
        <v>46134</v>
      </c>
      <c r="H157" s="217" t="n">
        <v>0</v>
      </c>
      <c r="I157" s="215">
        <f>MAX(0,F157-H157)</f>
        <v/>
      </c>
      <c r="J157" s="215">
        <f>IF(G157="",0,MAX(0,TODAY()-G157))</f>
        <v/>
      </c>
      <c r="K157" s="215">
        <f>IF(I157&lt;=0,"Current",IF(J157&lt;=30,"0-30 Days",IF(J157&lt;=60,"31-60 Days",IF(J157&lt;=90,"61-90 Days","90+ Days"))))</f>
        <v/>
      </c>
      <c r="L157" s="215">
        <f>IF(I157&lt;=0,"-",IF(J157&lt;=30,"Low",IF(J157&lt;=60,"Low-Medium",IF(J157&lt;=90,"Medium","HIGH RISK"))))</f>
        <v/>
      </c>
      <c r="M157" s="215" t="inlineStr">
        <is>
          <t>Call Disconnected</t>
        </is>
      </c>
      <c r="N157" s="215" t="inlineStr">
        <is>
          <t>Pending</t>
        </is>
      </c>
    </row>
    <row r="158">
      <c r="A158" s="178" t="n">
        <v>157</v>
      </c>
      <c r="B158" s="178" t="inlineStr">
        <is>
          <t>Mujahid</t>
        </is>
      </c>
      <c r="C158" s="179" t="n">
        <v>46140</v>
      </c>
      <c r="D158" s="180" t="inlineStr">
        <is>
          <t>Chq Bounce-173</t>
        </is>
      </c>
      <c r="E158" s="180" t="inlineStr">
        <is>
          <t>Yash Marketing</t>
        </is>
      </c>
      <c r="F158" s="181" t="n">
        <v>46578</v>
      </c>
      <c r="G158" s="179" t="n">
        <v>46140</v>
      </c>
      <c r="H158" s="182" t="n">
        <v>0</v>
      </c>
      <c r="I158" s="180">
        <f>MAX(0,F158-H158)</f>
        <v/>
      </c>
      <c r="J158" s="180">
        <f>IF(G158="",0,MAX(0,TODAY()-G158))</f>
        <v/>
      </c>
      <c r="K158" s="180">
        <f>IF(I158&lt;=0,"Current",IF(J158&lt;=30,"0-30 Days",IF(J158&lt;=60,"31-60 Days",IF(J158&lt;=90,"61-90 Days","90+ Days"))))</f>
        <v/>
      </c>
      <c r="L158" s="180">
        <f>IF(I158&lt;=0,"-",IF(J158&lt;=30,"Low",IF(J158&lt;=60,"Low-Medium",IF(J158&lt;=90,"Medium","HIGH RISK"))))</f>
        <v/>
      </c>
      <c r="M158" s="180" t="inlineStr">
        <is>
          <t>Ringing Not Responding</t>
        </is>
      </c>
      <c r="N158" s="180" t="inlineStr">
        <is>
          <t>Pending</t>
        </is>
      </c>
    </row>
    <row r="159">
      <c r="A159" s="198" t="n">
        <v>158</v>
      </c>
      <c r="B159" s="198" t="inlineStr">
        <is>
          <t>Mujahid</t>
        </is>
      </c>
      <c r="C159" s="199" t="inlineStr">
        <is>
          <t>2026-05-15</t>
        </is>
      </c>
      <c r="D159" s="200" t="inlineStr">
        <is>
          <t>C-SLG/0136/26-27</t>
        </is>
      </c>
      <c r="E159" s="200" t="inlineStr">
        <is>
          <t>DURGA STATIONERY MART</t>
        </is>
      </c>
      <c r="F159" s="201" t="n">
        <v>22374</v>
      </c>
      <c r="G159" s="199" t="inlineStr">
        <is>
          <t>2026-06-09</t>
        </is>
      </c>
      <c r="H159" s="202" t="n">
        <v>0</v>
      </c>
      <c r="I159" s="200">
        <f>MAX(0,F159-H159)</f>
        <v/>
      </c>
      <c r="J159" s="200">
        <f>IF(G159="",0,MAX(0,TODAY()-G159))</f>
        <v/>
      </c>
      <c r="K159" s="200">
        <f>IF(I159&lt;=0,"Current",IF(J159&lt;=30,"0-30 Days",IF(J159&lt;=60,"31-60 Days",IF(J159&lt;=90,"61-90 Days","90+ Days"))))</f>
        <v/>
      </c>
      <c r="L159" s="200">
        <f>IF(I159&lt;=0,"-",IF(J159&lt;=30,"Low",IF(J159&lt;=60,"Low-Medium",IF(J159&lt;=90,"Medium","HIGH RISK"))))</f>
        <v/>
      </c>
      <c r="M159" s="200" t="inlineStr"/>
      <c r="N159" s="200" t="inlineStr">
        <is>
          <t>Pending</t>
        </is>
      </c>
    </row>
    <row r="160">
      <c r="A160" s="178" t="n">
        <v>159</v>
      </c>
      <c r="B160" s="178" t="inlineStr">
        <is>
          <t>Mujahid</t>
        </is>
      </c>
      <c r="C160" s="179" t="inlineStr">
        <is>
          <t>2026-03-06</t>
        </is>
      </c>
      <c r="D160" s="180" t="inlineStr">
        <is>
          <t>C-SLG/2323/25-26</t>
        </is>
      </c>
      <c r="E160" s="180" t="inlineStr">
        <is>
          <t>Ganesh Stationery</t>
        </is>
      </c>
      <c r="F160" s="181" t="n">
        <v>1427</v>
      </c>
      <c r="G160" s="179" t="inlineStr">
        <is>
          <t>2026-03-31</t>
        </is>
      </c>
      <c r="H160" s="182" t="n">
        <v>0</v>
      </c>
      <c r="I160" s="180">
        <f>MAX(0,F160-H160)</f>
        <v/>
      </c>
      <c r="J160" s="180">
        <f>IF(G160="",0,MAX(0,TODAY()-G160))</f>
        <v/>
      </c>
      <c r="K160" s="180">
        <f>IF(I160&lt;=0,"Current",IF(J160&lt;=30,"0-30 Days",IF(J160&lt;=60,"31-60 Days",IF(J160&lt;=90,"61-90 Days","90+ Days"))))</f>
        <v/>
      </c>
      <c r="L160" s="180">
        <f>IF(I160&lt;=0,"-",IF(J160&lt;=30,"Low",IF(J160&lt;=60,"Low-Medium",IF(J160&lt;=90,"Medium","HIGH RISK"))))</f>
        <v/>
      </c>
      <c r="M160" s="180" t="inlineStr"/>
      <c r="N160" s="180" t="inlineStr">
        <is>
          <t>Pending</t>
        </is>
      </c>
    </row>
    <row r="161">
      <c r="A161" s="198" t="n">
        <v>160</v>
      </c>
      <c r="B161" s="198" t="inlineStr">
        <is>
          <t>Mujahid</t>
        </is>
      </c>
      <c r="C161" s="199" t="inlineStr">
        <is>
          <t>2026-04-30</t>
        </is>
      </c>
      <c r="D161" s="200" t="inlineStr">
        <is>
          <t>C-SLG/0082/26-27</t>
        </is>
      </c>
      <c r="E161" s="200" t="inlineStr">
        <is>
          <t>MARUTHI MARKETING</t>
        </is>
      </c>
      <c r="F161" s="201" t="n">
        <v>44999</v>
      </c>
      <c r="G161" s="199" t="inlineStr">
        <is>
          <t>2026-05-25</t>
        </is>
      </c>
      <c r="H161" s="202" t="n">
        <v>0</v>
      </c>
      <c r="I161" s="200">
        <f>MAX(0,F161-H161)</f>
        <v/>
      </c>
      <c r="J161" s="200">
        <f>IF(G161="",0,MAX(0,TODAY()-G161))</f>
        <v/>
      </c>
      <c r="K161" s="200">
        <f>IF(I161&lt;=0,"Current",IF(J161&lt;=30,"0-30 Days",IF(J161&lt;=60,"31-60 Days",IF(J161&lt;=90,"61-90 Days","90+ Days"))))</f>
        <v/>
      </c>
      <c r="L161" s="200">
        <f>IF(I161&lt;=0,"-",IF(J161&lt;=30,"Low",IF(J161&lt;=60,"Low-Medium",IF(J161&lt;=90,"Medium","HIGH RISK"))))</f>
        <v/>
      </c>
      <c r="M161" s="200" t="inlineStr"/>
      <c r="N161" s="200" t="inlineStr">
        <is>
          <t>Pending</t>
        </is>
      </c>
    </row>
    <row r="162">
      <c r="A162" s="178" t="n">
        <v>161</v>
      </c>
      <c r="B162" s="178" t="inlineStr">
        <is>
          <t>Mujahid</t>
        </is>
      </c>
      <c r="C162" s="179" t="inlineStr">
        <is>
          <t>2026-05-14</t>
        </is>
      </c>
      <c r="D162" s="180" t="inlineStr">
        <is>
          <t>C-SLG/0129/26-27</t>
        </is>
      </c>
      <c r="E162" s="180" t="inlineStr">
        <is>
          <t>MARUTHI MARKETING</t>
        </is>
      </c>
      <c r="F162" s="181" t="n">
        <v>41544</v>
      </c>
      <c r="G162" s="179" t="inlineStr">
        <is>
          <t>2026-06-08</t>
        </is>
      </c>
      <c r="H162" s="182" t="n">
        <v>0</v>
      </c>
      <c r="I162" s="180">
        <f>MAX(0,F162-H162)</f>
        <v/>
      </c>
      <c r="J162" s="180">
        <f>IF(G162="",0,MAX(0,TODAY()-G162))</f>
        <v/>
      </c>
      <c r="K162" s="180">
        <f>IF(I162&lt;=0,"Current",IF(J162&lt;=30,"0-30 Days",IF(J162&lt;=60,"31-60 Days",IF(J162&lt;=90,"61-90 Days","90+ Days"))))</f>
        <v/>
      </c>
      <c r="L162" s="180">
        <f>IF(I162&lt;=0,"-",IF(J162&lt;=30,"Low",IF(J162&lt;=60,"Low-Medium",IF(J162&lt;=90,"Medium","HIGH RISK"))))</f>
        <v/>
      </c>
      <c r="M162" s="180" t="inlineStr"/>
      <c r="N162" s="180" t="inlineStr">
        <is>
          <t>Pending</t>
        </is>
      </c>
    </row>
    <row r="163">
      <c r="A163" s="198" t="n">
        <v>162</v>
      </c>
      <c r="B163" s="198" t="inlineStr">
        <is>
          <t>Mujahid</t>
        </is>
      </c>
      <c r="C163" s="199" t="inlineStr">
        <is>
          <t>2026-05-14</t>
        </is>
      </c>
      <c r="D163" s="200" t="inlineStr">
        <is>
          <t>C-SLG/0131/26-27</t>
        </is>
      </c>
      <c r="E163" s="200" t="inlineStr">
        <is>
          <t>Murali Stationery Mart</t>
        </is>
      </c>
      <c r="F163" s="201" t="n">
        <v>7464</v>
      </c>
      <c r="G163" s="199" t="inlineStr">
        <is>
          <t>2026-06-08</t>
        </is>
      </c>
      <c r="H163" s="202" t="n">
        <v>0</v>
      </c>
      <c r="I163" s="200">
        <f>MAX(0,F163-H163)</f>
        <v/>
      </c>
      <c r="J163" s="200">
        <f>IF(G163="",0,MAX(0,TODAY()-G163))</f>
        <v/>
      </c>
      <c r="K163" s="200">
        <f>IF(I163&lt;=0,"Current",IF(J163&lt;=30,"0-30 Days",IF(J163&lt;=60,"31-60 Days",IF(J163&lt;=90,"61-90 Days","90+ Days"))))</f>
        <v/>
      </c>
      <c r="L163" s="200">
        <f>IF(I163&lt;=0,"-",IF(J163&lt;=30,"Low",IF(J163&lt;=60,"Low-Medium",IF(J163&lt;=90,"Medium","HIGH RISK"))))</f>
        <v/>
      </c>
      <c r="M163" s="200" t="inlineStr"/>
      <c r="N163" s="200" t="inlineStr">
        <is>
          <t>Pending</t>
        </is>
      </c>
    </row>
    <row r="164">
      <c r="A164" s="178" t="n">
        <v>163</v>
      </c>
      <c r="B164" s="178" t="inlineStr">
        <is>
          <t>Mujahid</t>
        </is>
      </c>
      <c r="C164" s="179" t="inlineStr">
        <is>
          <t>2026-03-06</t>
        </is>
      </c>
      <c r="D164" s="180" t="inlineStr">
        <is>
          <t>C-SLG/2324/25-26</t>
        </is>
      </c>
      <c r="E164" s="180" t="inlineStr">
        <is>
          <t>NARESH STATIONERY</t>
        </is>
      </c>
      <c r="F164" s="181" t="n">
        <v>1427</v>
      </c>
      <c r="G164" s="179" t="inlineStr">
        <is>
          <t>2026-03-31</t>
        </is>
      </c>
      <c r="H164" s="182" t="n">
        <v>0</v>
      </c>
      <c r="I164" s="180">
        <f>MAX(0,F164-H164)</f>
        <v/>
      </c>
      <c r="J164" s="180">
        <f>IF(G164="",0,MAX(0,TODAY()-G164))</f>
        <v/>
      </c>
      <c r="K164" s="180">
        <f>IF(I164&lt;=0,"Current",IF(J164&lt;=30,"0-30 Days",IF(J164&lt;=60,"31-60 Days",IF(J164&lt;=90,"61-90 Days","90+ Days"))))</f>
        <v/>
      </c>
      <c r="L164" s="180">
        <f>IF(I164&lt;=0,"-",IF(J164&lt;=30,"Low",IF(J164&lt;=60,"Low-Medium",IF(J164&lt;=90,"Medium","HIGH RISK"))))</f>
        <v/>
      </c>
      <c r="M164" s="180" t="inlineStr"/>
      <c r="N164" s="180" t="inlineStr">
        <is>
          <t>Pending</t>
        </is>
      </c>
    </row>
    <row r="165">
      <c r="A165" s="198" t="n">
        <v>164</v>
      </c>
      <c r="B165" s="198" t="inlineStr">
        <is>
          <t>Mujahid</t>
        </is>
      </c>
      <c r="C165" s="199" t="inlineStr">
        <is>
          <t>2026-05-14</t>
        </is>
      </c>
      <c r="D165" s="200" t="inlineStr">
        <is>
          <t>C-SLG/0120/26-27</t>
        </is>
      </c>
      <c r="E165" s="200" t="inlineStr">
        <is>
          <t>P.Manish Stationary</t>
        </is>
      </c>
      <c r="F165" s="201" t="n">
        <v>25431</v>
      </c>
      <c r="G165" s="199" t="inlineStr">
        <is>
          <t>2026-06-08</t>
        </is>
      </c>
      <c r="H165" s="202" t="n">
        <v>0</v>
      </c>
      <c r="I165" s="200">
        <f>MAX(0,F165-H165)</f>
        <v/>
      </c>
      <c r="J165" s="200">
        <f>IF(G165="",0,MAX(0,TODAY()-G165))</f>
        <v/>
      </c>
      <c r="K165" s="200">
        <f>IF(I165&lt;=0,"Current",IF(J165&lt;=30,"0-30 Days",IF(J165&lt;=60,"31-60 Days",IF(J165&lt;=90,"61-90 Days","90+ Days"))))</f>
        <v/>
      </c>
      <c r="L165" s="200">
        <f>IF(I165&lt;=0,"-",IF(J165&lt;=30,"Low",IF(J165&lt;=60,"Low-Medium",IF(J165&lt;=90,"Medium","HIGH RISK"))))</f>
        <v/>
      </c>
      <c r="M165" s="200" t="inlineStr"/>
      <c r="N165" s="200" t="inlineStr">
        <is>
          <t>Pending</t>
        </is>
      </c>
    </row>
    <row r="166">
      <c r="A166" s="178" t="n">
        <v>165</v>
      </c>
      <c r="B166" s="178" t="inlineStr">
        <is>
          <t>Mujahid</t>
        </is>
      </c>
      <c r="C166" s="179" t="inlineStr">
        <is>
          <t>2026-05-19</t>
        </is>
      </c>
      <c r="D166" s="180" t="inlineStr">
        <is>
          <t>C-SLG/0149/26-27</t>
        </is>
      </c>
      <c r="E166" s="180" t="inlineStr">
        <is>
          <t>Prajapathi Enterprises</t>
        </is>
      </c>
      <c r="F166" s="181" t="n">
        <v>70455</v>
      </c>
      <c r="G166" s="179" t="inlineStr">
        <is>
          <t>2026-06-13</t>
        </is>
      </c>
      <c r="H166" s="182" t="n">
        <v>0</v>
      </c>
      <c r="I166" s="180">
        <f>MAX(0,F166-H166)</f>
        <v/>
      </c>
      <c r="J166" s="180">
        <f>IF(G166="",0,MAX(0,TODAY()-G166))</f>
        <v/>
      </c>
      <c r="K166" s="180">
        <f>IF(I166&lt;=0,"Current",IF(J166&lt;=30,"0-30 Days",IF(J166&lt;=60,"31-60 Days",IF(J166&lt;=90,"61-90 Days","90+ Days"))))</f>
        <v/>
      </c>
      <c r="L166" s="180">
        <f>IF(I166&lt;=0,"-",IF(J166&lt;=30,"Low",IF(J166&lt;=60,"Low-Medium",IF(J166&lt;=90,"Medium","HIGH RISK"))))</f>
        <v/>
      </c>
      <c r="M166" s="180" t="inlineStr"/>
      <c r="N166" s="180" t="inlineStr">
        <is>
          <t>Pending</t>
        </is>
      </c>
    </row>
    <row r="167">
      <c r="A167" s="198" t="n">
        <v>166</v>
      </c>
      <c r="B167" s="198" t="inlineStr">
        <is>
          <t>Mujahid</t>
        </is>
      </c>
      <c r="C167" s="199" t="inlineStr">
        <is>
          <t>2026-03-06</t>
        </is>
      </c>
      <c r="D167" s="200" t="inlineStr">
        <is>
          <t>C-SLG/2329/25-26</t>
        </is>
      </c>
      <c r="E167" s="200" t="inlineStr">
        <is>
          <t>Rajan Stationers</t>
        </is>
      </c>
      <c r="F167" s="201" t="n">
        <v>23318</v>
      </c>
      <c r="G167" s="199" t="inlineStr">
        <is>
          <t>2026-03-31</t>
        </is>
      </c>
      <c r="H167" s="202" t="n">
        <v>0</v>
      </c>
      <c r="I167" s="200">
        <f>MAX(0,F167-H167)</f>
        <v/>
      </c>
      <c r="J167" s="200">
        <f>IF(G167="",0,MAX(0,TODAY()-G167))</f>
        <v/>
      </c>
      <c r="K167" s="200">
        <f>IF(I167&lt;=0,"Current",IF(J167&lt;=30,"0-30 Days",IF(J167&lt;=60,"31-60 Days",IF(J167&lt;=90,"61-90 Days","90+ Days"))))</f>
        <v/>
      </c>
      <c r="L167" s="200">
        <f>IF(I167&lt;=0,"-",IF(J167&lt;=30,"Low",IF(J167&lt;=60,"Low-Medium",IF(J167&lt;=90,"Medium","HIGH RISK"))))</f>
        <v/>
      </c>
      <c r="M167" s="200" t="inlineStr"/>
      <c r="N167" s="200" t="inlineStr">
        <is>
          <t>Pending</t>
        </is>
      </c>
    </row>
    <row r="168">
      <c r="A168" s="178" t="n">
        <v>167</v>
      </c>
      <c r="B168" s="178" t="inlineStr">
        <is>
          <t>Mujahid</t>
        </is>
      </c>
      <c r="C168" s="179" t="inlineStr">
        <is>
          <t>2026-04-30</t>
        </is>
      </c>
      <c r="D168" s="180" t="inlineStr">
        <is>
          <t>C-SLG/0080/26-27</t>
        </is>
      </c>
      <c r="E168" s="180" t="inlineStr">
        <is>
          <t>RATAN STATIONARY MART</t>
        </is>
      </c>
      <c r="F168" s="181" t="n">
        <v>22849</v>
      </c>
      <c r="G168" s="179" t="inlineStr">
        <is>
          <t>2026-05-25</t>
        </is>
      </c>
      <c r="H168" s="182" t="n">
        <v>0</v>
      </c>
      <c r="I168" s="180">
        <f>MAX(0,F168-H168)</f>
        <v/>
      </c>
      <c r="J168" s="180">
        <f>IF(G168="",0,MAX(0,TODAY()-G168))</f>
        <v/>
      </c>
      <c r="K168" s="180">
        <f>IF(I168&lt;=0,"Current",IF(J168&lt;=30,"0-30 Days",IF(J168&lt;=60,"31-60 Days",IF(J168&lt;=90,"61-90 Days","90+ Days"))))</f>
        <v/>
      </c>
      <c r="L168" s="180">
        <f>IF(I168&lt;=0,"-",IF(J168&lt;=30,"Low",IF(J168&lt;=60,"Low-Medium",IF(J168&lt;=90,"Medium","HIGH RISK"))))</f>
        <v/>
      </c>
      <c r="M168" s="180" t="inlineStr"/>
      <c r="N168" s="180" t="inlineStr">
        <is>
          <t>Pending</t>
        </is>
      </c>
    </row>
    <row r="169">
      <c r="A169" s="198" t="n">
        <v>168</v>
      </c>
      <c r="B169" s="198" t="inlineStr">
        <is>
          <t>Mujahid</t>
        </is>
      </c>
      <c r="C169" s="199" t="inlineStr">
        <is>
          <t>2026-05-07</t>
        </is>
      </c>
      <c r="D169" s="200" t="inlineStr">
        <is>
          <t>C-SLG/0096/26-27</t>
        </is>
      </c>
      <c r="E169" s="200" t="inlineStr">
        <is>
          <t>RATAN STATIONARY MART</t>
        </is>
      </c>
      <c r="F169" s="201" t="n">
        <v>22849</v>
      </c>
      <c r="G169" s="199" t="inlineStr">
        <is>
          <t>2026-06-01</t>
        </is>
      </c>
      <c r="H169" s="202" t="n">
        <v>0</v>
      </c>
      <c r="I169" s="200">
        <f>MAX(0,F169-H169)</f>
        <v/>
      </c>
      <c r="J169" s="200">
        <f>IF(G169="",0,MAX(0,TODAY()-G169))</f>
        <v/>
      </c>
      <c r="K169" s="200">
        <f>IF(I169&lt;=0,"Current",IF(J169&lt;=30,"0-30 Days",IF(J169&lt;=60,"31-60 Days",IF(J169&lt;=90,"61-90 Days","90+ Days"))))</f>
        <v/>
      </c>
      <c r="L169" s="200">
        <f>IF(I169&lt;=0,"-",IF(J169&lt;=30,"Low",IF(J169&lt;=60,"Low-Medium",IF(J169&lt;=90,"Medium","HIGH RISK"))))</f>
        <v/>
      </c>
      <c r="M169" s="200" t="inlineStr"/>
      <c r="N169" s="200" t="inlineStr">
        <is>
          <t>Pending</t>
        </is>
      </c>
    </row>
    <row r="170">
      <c r="A170" s="178" t="n">
        <v>169</v>
      </c>
      <c r="B170" s="178" t="inlineStr">
        <is>
          <t>Mujahid</t>
        </is>
      </c>
      <c r="C170" s="179" t="inlineStr">
        <is>
          <t>2026-05-06</t>
        </is>
      </c>
      <c r="D170" s="180" t="inlineStr">
        <is>
          <t>C-SLG/0091/26-27</t>
        </is>
      </c>
      <c r="E170" s="180" t="inlineStr">
        <is>
          <t>SRI RAJKRUPA STATIONERS</t>
        </is>
      </c>
      <c r="F170" s="181" t="n">
        <v>43882</v>
      </c>
      <c r="G170" s="179" t="inlineStr">
        <is>
          <t>2026-05-31</t>
        </is>
      </c>
      <c r="H170" s="182" t="n">
        <v>0</v>
      </c>
      <c r="I170" s="180">
        <f>MAX(0,F170-H170)</f>
        <v/>
      </c>
      <c r="J170" s="180">
        <f>IF(G170="",0,MAX(0,TODAY()-G170))</f>
        <v/>
      </c>
      <c r="K170" s="180">
        <f>IF(I170&lt;=0,"Current",IF(J170&lt;=30,"0-30 Days",IF(J170&lt;=60,"31-60 Days",IF(J170&lt;=90,"61-90 Days","90+ Days"))))</f>
        <v/>
      </c>
      <c r="L170" s="180">
        <f>IF(I170&lt;=0,"-",IF(J170&lt;=30,"Low",IF(J170&lt;=60,"Low-Medium",IF(J170&lt;=90,"Medium","HIGH RISK"))))</f>
        <v/>
      </c>
      <c r="M170" s="180" t="inlineStr"/>
      <c r="N170" s="180" t="inlineStr">
        <is>
          <t>Pending</t>
        </is>
      </c>
    </row>
    <row r="171">
      <c r="A171" s="198" t="n">
        <v>170</v>
      </c>
      <c r="B171" s="198" t="inlineStr">
        <is>
          <t>Mujahid</t>
        </is>
      </c>
      <c r="C171" s="199" t="inlineStr">
        <is>
          <t>2026-05-21</t>
        </is>
      </c>
      <c r="D171" s="200" t="inlineStr">
        <is>
          <t>C-SLG/0159/26-27</t>
        </is>
      </c>
      <c r="E171" s="200" t="inlineStr">
        <is>
          <t>SRI RAJKRUPA STATIONERS</t>
        </is>
      </c>
      <c r="F171" s="201" t="n">
        <v>51464</v>
      </c>
      <c r="G171" s="199" t="inlineStr">
        <is>
          <t>2026-06-15</t>
        </is>
      </c>
      <c r="H171" s="202" t="n">
        <v>0</v>
      </c>
      <c r="I171" s="200">
        <f>MAX(0,F171-H171)</f>
        <v/>
      </c>
      <c r="J171" s="200">
        <f>IF(G171="",0,MAX(0,TODAY()-G171))</f>
        <v/>
      </c>
      <c r="K171" s="200">
        <f>IF(I171&lt;=0,"Current",IF(J171&lt;=30,"0-30 Days",IF(J171&lt;=60,"31-60 Days",IF(J171&lt;=90,"61-90 Days","90+ Days"))))</f>
        <v/>
      </c>
      <c r="L171" s="200">
        <f>IF(I171&lt;=0,"-",IF(J171&lt;=30,"Low",IF(J171&lt;=60,"Low-Medium",IF(J171&lt;=90,"Medium","HIGH RISK"))))</f>
        <v/>
      </c>
      <c r="M171" s="200" t="inlineStr"/>
      <c r="N171" s="200" t="inlineStr">
        <is>
          <t>Pending</t>
        </is>
      </c>
    </row>
    <row r="172">
      <c r="A172" s="178" t="n">
        <v>171</v>
      </c>
      <c r="B172" s="178" t="inlineStr">
        <is>
          <t>Mujahid</t>
        </is>
      </c>
      <c r="C172" s="179" t="inlineStr">
        <is>
          <t>2026-05-02</t>
        </is>
      </c>
      <c r="D172" s="180" t="inlineStr">
        <is>
          <t>Chq Bounce-239</t>
        </is>
      </c>
      <c r="E172" s="180" t="inlineStr">
        <is>
          <t>SRI RAJKRUPA STATIONERS</t>
        </is>
      </c>
      <c r="F172" s="181" t="n">
        <v>27811</v>
      </c>
      <c r="G172" s="179" t="inlineStr">
        <is>
          <t>2026-05-27</t>
        </is>
      </c>
      <c r="H172" s="182" t="n">
        <v>0</v>
      </c>
      <c r="I172" s="180">
        <f>MAX(0,F172-H172)</f>
        <v/>
      </c>
      <c r="J172" s="180">
        <f>IF(G172="",0,MAX(0,TODAY()-G172))</f>
        <v/>
      </c>
      <c r="K172" s="180">
        <f>IF(I172&lt;=0,"Current",IF(J172&lt;=30,"0-30 Days",IF(J172&lt;=60,"31-60 Days",IF(J172&lt;=90,"61-90 Days","90+ Days"))))</f>
        <v/>
      </c>
      <c r="L172" s="180">
        <f>IF(I172&lt;=0,"-",IF(J172&lt;=30,"Low",IF(J172&lt;=60,"Low-Medium",IF(J172&lt;=90,"Medium","HIGH RISK"))))</f>
        <v/>
      </c>
      <c r="M172" s="180" t="inlineStr"/>
      <c r="N172" s="180" t="inlineStr">
        <is>
          <t>Pending</t>
        </is>
      </c>
    </row>
    <row r="173">
      <c r="A173" s="198" t="n">
        <v>172</v>
      </c>
      <c r="B173" s="198" t="inlineStr">
        <is>
          <t>Mujahid</t>
        </is>
      </c>
      <c r="C173" s="199" t="inlineStr">
        <is>
          <t>2026-05-02</t>
        </is>
      </c>
      <c r="D173" s="200" t="inlineStr">
        <is>
          <t>Bounce Charges-2440</t>
        </is>
      </c>
      <c r="E173" s="200" t="inlineStr">
        <is>
          <t>SRI RAJKRUPA STATIONERS</t>
        </is>
      </c>
      <c r="F173" s="201" t="n">
        <v>500</v>
      </c>
      <c r="G173" s="199" t="inlineStr">
        <is>
          <t>2026-05-27</t>
        </is>
      </c>
      <c r="H173" s="202" t="n">
        <v>0</v>
      </c>
      <c r="I173" s="200">
        <f>MAX(0,F173-H173)</f>
        <v/>
      </c>
      <c r="J173" s="200">
        <f>IF(G173="",0,MAX(0,TODAY()-G173))</f>
        <v/>
      </c>
      <c r="K173" s="200">
        <f>IF(I173&lt;=0,"Current",IF(J173&lt;=30,"0-30 Days",IF(J173&lt;=60,"31-60 Days",IF(J173&lt;=90,"61-90 Days","90+ Days"))))</f>
        <v/>
      </c>
      <c r="L173" s="200">
        <f>IF(I173&lt;=0,"-",IF(J173&lt;=30,"Low",IF(J173&lt;=60,"Low-Medium",IF(J173&lt;=90,"Medium","HIGH RISK"))))</f>
        <v/>
      </c>
      <c r="M173" s="200" t="inlineStr"/>
      <c r="N173" s="200" t="inlineStr">
        <is>
          <t>Pending</t>
        </is>
      </c>
    </row>
    <row r="174">
      <c r="A174" s="178" t="n">
        <v>173</v>
      </c>
      <c r="B174" s="178" t="inlineStr">
        <is>
          <t>Mujahid</t>
        </is>
      </c>
      <c r="C174" s="179" t="inlineStr">
        <is>
          <t>2026-05-21</t>
        </is>
      </c>
      <c r="D174" s="180" t="inlineStr">
        <is>
          <t>C-SLG/0158/26-27</t>
        </is>
      </c>
      <c r="E174" s="180" t="inlineStr">
        <is>
          <t>SRI RAJKRUPA STATIONERS</t>
        </is>
      </c>
      <c r="F174" s="181" t="n">
        <v>28902</v>
      </c>
      <c r="G174" s="179" t="inlineStr">
        <is>
          <t>2026-06-15</t>
        </is>
      </c>
      <c r="H174" s="182" t="n">
        <v>0</v>
      </c>
      <c r="I174" s="180">
        <f>MAX(0,F174-H174)</f>
        <v/>
      </c>
      <c r="J174" s="180">
        <f>IF(G174="",0,MAX(0,TODAY()-G174))</f>
        <v/>
      </c>
      <c r="K174" s="180">
        <f>IF(I174&lt;=0,"Current",IF(J174&lt;=30,"0-30 Days",IF(J174&lt;=60,"31-60 Days",IF(J174&lt;=90,"61-90 Days","90+ Days"))))</f>
        <v/>
      </c>
      <c r="L174" s="180">
        <f>IF(I174&lt;=0,"-",IF(J174&lt;=30,"Low",IF(J174&lt;=60,"Low-Medium",IF(J174&lt;=90,"Medium","HIGH RISK"))))</f>
        <v/>
      </c>
      <c r="M174" s="180" t="inlineStr"/>
      <c r="N174" s="180" t="inlineStr">
        <is>
          <t>Pending</t>
        </is>
      </c>
    </row>
    <row r="175">
      <c r="A175" s="198" t="n">
        <v>174</v>
      </c>
      <c r="B175" s="198" t="inlineStr">
        <is>
          <t>Mujahid</t>
        </is>
      </c>
      <c r="C175" s="199" t="inlineStr">
        <is>
          <t>2026-05-21</t>
        </is>
      </c>
      <c r="D175" s="200" t="inlineStr">
        <is>
          <t>C-SLG/0157/26-27</t>
        </is>
      </c>
      <c r="E175" s="200" t="inlineStr">
        <is>
          <t>SRI RAJKRUPA STATIONERS</t>
        </is>
      </c>
      <c r="F175" s="201" t="n">
        <v>82798</v>
      </c>
      <c r="G175" s="199" t="inlineStr">
        <is>
          <t>2026-06-15</t>
        </is>
      </c>
      <c r="H175" s="202" t="n">
        <v>0</v>
      </c>
      <c r="I175" s="200">
        <f>MAX(0,F175-H175)</f>
        <v/>
      </c>
      <c r="J175" s="200">
        <f>IF(G175="",0,MAX(0,TODAY()-G175))</f>
        <v/>
      </c>
      <c r="K175" s="200">
        <f>IF(I175&lt;=0,"Current",IF(J175&lt;=30,"0-30 Days",IF(J175&lt;=60,"31-60 Days",IF(J175&lt;=90,"61-90 Days","90+ Days"))))</f>
        <v/>
      </c>
      <c r="L175" s="200">
        <f>IF(I175&lt;=0,"-",IF(J175&lt;=30,"Low",IF(J175&lt;=60,"Low-Medium",IF(J175&lt;=90,"Medium","HIGH RISK"))))</f>
        <v/>
      </c>
      <c r="M175" s="200" t="inlineStr"/>
      <c r="N175" s="200" t="inlineStr">
        <is>
          <t>Pending</t>
        </is>
      </c>
    </row>
    <row r="176">
      <c r="A176" s="178" t="n">
        <v>175</v>
      </c>
      <c r="B176" s="178" t="inlineStr">
        <is>
          <t>Mujahid</t>
        </is>
      </c>
      <c r="C176" s="179" t="inlineStr">
        <is>
          <t>2026-05-19</t>
        </is>
      </c>
      <c r="D176" s="180" t="inlineStr">
        <is>
          <t>C-SLG/0152/26-27</t>
        </is>
      </c>
      <c r="E176" s="180" t="inlineStr">
        <is>
          <t>SRI RAJKRUPA STATIONERS</t>
        </is>
      </c>
      <c r="F176" s="181" t="n">
        <v>59677</v>
      </c>
      <c r="G176" s="179" t="inlineStr">
        <is>
          <t>2026-06-13</t>
        </is>
      </c>
      <c r="H176" s="182" t="n">
        <v>0</v>
      </c>
      <c r="I176" s="180">
        <f>MAX(0,F176-H176)</f>
        <v/>
      </c>
      <c r="J176" s="180">
        <f>IF(G176="",0,MAX(0,TODAY()-G176))</f>
        <v/>
      </c>
      <c r="K176" s="180">
        <f>IF(I176&lt;=0,"Current",IF(J176&lt;=30,"0-30 Days",IF(J176&lt;=60,"31-60 Days",IF(J176&lt;=90,"61-90 Days","90+ Days"))))</f>
        <v/>
      </c>
      <c r="L176" s="180">
        <f>IF(I176&lt;=0,"-",IF(J176&lt;=30,"Low",IF(J176&lt;=60,"Low-Medium",IF(J176&lt;=90,"Medium","HIGH RISK"))))</f>
        <v/>
      </c>
      <c r="M176" s="180" t="inlineStr"/>
      <c r="N176" s="180" t="inlineStr">
        <is>
          <t>Pending</t>
        </is>
      </c>
    </row>
    <row r="177">
      <c r="A177" s="213" t="n">
        <v>176</v>
      </c>
      <c r="B177" s="213" t="inlineStr">
        <is>
          <t>Praveen</t>
        </is>
      </c>
      <c r="C177" s="214" t="n">
        <v>46095</v>
      </c>
      <c r="D177" s="215" t="inlineStr">
        <is>
          <t>C-SLG/2384/25-26</t>
        </is>
      </c>
      <c r="E177" s="215" t="inlineStr">
        <is>
          <t>AMBIKA STATIONERY</t>
        </is>
      </c>
      <c r="F177" s="216" t="n">
        <v>8075</v>
      </c>
      <c r="G177" s="214" t="n">
        <v>46120</v>
      </c>
      <c r="H177" s="217" t="n">
        <v>0</v>
      </c>
      <c r="I177" s="215">
        <f>MAX(0,F177-H177)</f>
        <v/>
      </c>
      <c r="J177" s="215">
        <f>IF(G177="",0,MAX(0,TODAY()-G177))</f>
        <v/>
      </c>
      <c r="K177" s="215">
        <f>IF(I177&lt;=0,"Current",IF(J177&lt;=30,"0-30 Days",IF(J177&lt;=60,"31-60 Days",IF(J177&lt;=90,"61-90 Days","90+ Days"))))</f>
        <v/>
      </c>
      <c r="L177" s="215">
        <f>IF(I177&lt;=0,"-",IF(J177&lt;=30,"Low",IF(J177&lt;=60,"Low-Medium",IF(J177&lt;=90,"Medium","HIGH RISK"))))</f>
        <v/>
      </c>
      <c r="M177" s="215" t="inlineStr">
        <is>
          <t>Number Busy</t>
        </is>
      </c>
      <c r="N177" s="215" t="inlineStr">
        <is>
          <t>Pending</t>
        </is>
      </c>
    </row>
    <row r="178">
      <c r="A178" s="188" t="n">
        <v>177</v>
      </c>
      <c r="B178" s="188" t="inlineStr">
        <is>
          <t>Praveen</t>
        </is>
      </c>
      <c r="C178" s="189" t="n">
        <v>45996</v>
      </c>
      <c r="D178" s="190" t="inlineStr">
        <is>
          <t>C-SLG/1844/25-26</t>
        </is>
      </c>
      <c r="E178" s="190" t="inlineStr">
        <is>
          <t>BEST ENTERPRISES</t>
        </is>
      </c>
      <c r="F178" s="191" t="n">
        <v>30511</v>
      </c>
      <c r="G178" s="189" t="n">
        <v>46021</v>
      </c>
      <c r="H178" s="192" t="n">
        <v>0</v>
      </c>
      <c r="I178" s="190">
        <f>MAX(0,F178-H178)</f>
        <v/>
      </c>
      <c r="J178" s="190">
        <f>IF(G178="",0,MAX(0,TODAY()-G178))</f>
        <v/>
      </c>
      <c r="K178" s="190">
        <f>IF(I178&lt;=0,"Current",IF(J178&lt;=30,"0-30 Days",IF(J178&lt;=60,"31-60 Days",IF(J178&lt;=90,"61-90 Days","90+ Days"))))</f>
        <v/>
      </c>
      <c r="L178" s="190">
        <f>IF(I178&lt;=0,"-",IF(J178&lt;=30,"Low",IF(J178&lt;=60,"Low-Medium",IF(J178&lt;=90,"Medium","HIGH RISK"))))</f>
        <v/>
      </c>
      <c r="M178" s="190" t="inlineStr">
        <is>
          <t>Customer Out of Station - Month end he will Pay</t>
        </is>
      </c>
      <c r="N178" s="190" t="inlineStr">
        <is>
          <t>Pending</t>
        </is>
      </c>
    </row>
    <row r="179">
      <c r="A179" s="213" t="n">
        <v>178</v>
      </c>
      <c r="B179" s="213" t="inlineStr">
        <is>
          <t>Praveen</t>
        </is>
      </c>
      <c r="C179" s="214" t="n">
        <v>46105</v>
      </c>
      <c r="D179" s="215" t="inlineStr">
        <is>
          <t>C-SLG/2429/25-26</t>
        </is>
      </c>
      <c r="E179" s="215" t="inlineStr">
        <is>
          <t>Bhavani Stationery and Gift</t>
        </is>
      </c>
      <c r="F179" s="216" t="n">
        <v>1186</v>
      </c>
      <c r="G179" s="214" t="n">
        <v>46130</v>
      </c>
      <c r="H179" s="217" t="n">
        <v>0</v>
      </c>
      <c r="I179" s="215">
        <f>MAX(0,F179-H179)</f>
        <v/>
      </c>
      <c r="J179" s="215">
        <f>IF(G179="",0,MAX(0,TODAY()-G179))</f>
        <v/>
      </c>
      <c r="K179" s="215">
        <f>IF(I179&lt;=0,"Current",IF(J179&lt;=30,"0-30 Days",IF(J179&lt;=60,"31-60 Days",IF(J179&lt;=90,"61-90 Days","90+ Days"))))</f>
        <v/>
      </c>
      <c r="L179" s="215">
        <f>IF(I179&lt;=0,"-",IF(J179&lt;=30,"Low",IF(J179&lt;=60,"Low-Medium",IF(J179&lt;=90,"Medium","HIGH RISK"))))</f>
        <v/>
      </c>
      <c r="M179" s="215" t="inlineStr"/>
      <c r="N179" s="215" t="inlineStr">
        <is>
          <t>Pending</t>
        </is>
      </c>
    </row>
    <row r="180">
      <c r="A180" s="193" t="n">
        <v>179</v>
      </c>
      <c r="B180" s="193" t="inlineStr">
        <is>
          <t>Praveen</t>
        </is>
      </c>
      <c r="C180" s="194" t="n">
        <v>46156</v>
      </c>
      <c r="D180" s="195" t="inlineStr">
        <is>
          <t>C-SLG/0125/26-27</t>
        </is>
      </c>
      <c r="E180" s="195" t="inlineStr">
        <is>
          <t>Bhavani Stationery and Gift</t>
        </is>
      </c>
      <c r="F180" s="196" t="n">
        <v>2941</v>
      </c>
      <c r="G180" s="194" t="n">
        <v>46181</v>
      </c>
      <c r="H180" s="197" t="n">
        <v>0</v>
      </c>
      <c r="I180" s="195">
        <f>MAX(0,F180-H180)</f>
        <v/>
      </c>
      <c r="J180" s="195">
        <f>IF(G180="",0,MAX(0,TODAY()-G180))</f>
        <v/>
      </c>
      <c r="K180" s="195">
        <f>IF(I180&lt;=0,"Current",IF(J180&lt;=30,"0-30 Days",IF(J180&lt;=60,"31-60 Days",IF(J180&lt;=90,"61-90 Days","90+ Days"))))</f>
        <v/>
      </c>
      <c r="L180" s="195">
        <f>IF(I180&lt;=0,"-",IF(J180&lt;=30,"Low",IF(J180&lt;=60,"Low-Medium",IF(J180&lt;=90,"Medium","HIGH RISK"))))</f>
        <v/>
      </c>
      <c r="M180" s="195" t="inlineStr"/>
      <c r="N180" s="195" t="inlineStr">
        <is>
          <t>Pending</t>
        </is>
      </c>
    </row>
    <row r="181">
      <c r="A181" s="213" t="n">
        <v>180</v>
      </c>
      <c r="B181" s="213" t="inlineStr">
        <is>
          <t>Praveen</t>
        </is>
      </c>
      <c r="C181" s="214" t="n">
        <v>46105</v>
      </c>
      <c r="D181" s="215" t="inlineStr">
        <is>
          <t>C-SLG/2427/25-26</t>
        </is>
      </c>
      <c r="E181" s="215" t="inlineStr">
        <is>
          <t>Dachapally Book Centre</t>
        </is>
      </c>
      <c r="F181" s="216" t="n">
        <v>5152</v>
      </c>
      <c r="G181" s="214" t="n">
        <v>46130</v>
      </c>
      <c r="H181" s="217" t="n">
        <v>0</v>
      </c>
      <c r="I181" s="215">
        <f>MAX(0,F181-H181)</f>
        <v/>
      </c>
      <c r="J181" s="215">
        <f>IF(G181="",0,MAX(0,TODAY()-G181))</f>
        <v/>
      </c>
      <c r="K181" s="215">
        <f>IF(I181&lt;=0,"Current",IF(J181&lt;=30,"0-30 Days",IF(J181&lt;=60,"31-60 Days",IF(J181&lt;=90,"61-90 Days","90+ Days"))))</f>
        <v/>
      </c>
      <c r="L181" s="215">
        <f>IF(I181&lt;=0,"-",IF(J181&lt;=30,"Low",IF(J181&lt;=60,"Low-Medium",IF(J181&lt;=90,"Medium","HIGH RISK"))))</f>
        <v/>
      </c>
      <c r="M181" s="215" t="inlineStr">
        <is>
          <t>No Number available - Send DSO</t>
        </is>
      </c>
      <c r="N181" s="215" t="inlineStr">
        <is>
          <t>Pending</t>
        </is>
      </c>
    </row>
    <row r="182">
      <c r="A182" s="188" t="n">
        <v>181</v>
      </c>
      <c r="B182" s="188" t="inlineStr">
        <is>
          <t>Praveen</t>
        </is>
      </c>
      <c r="C182" s="189" t="n">
        <v>45975</v>
      </c>
      <c r="D182" s="190" t="inlineStr">
        <is>
          <t>C-SLG/1655/25-26</t>
        </is>
      </c>
      <c r="E182" s="190" t="inlineStr">
        <is>
          <t>Deccan Book Depot and Stationery</t>
        </is>
      </c>
      <c r="F182" s="191" t="n">
        <v>2900</v>
      </c>
      <c r="G182" s="189" t="n">
        <v>46000</v>
      </c>
      <c r="H182" s="192" t="n">
        <v>0</v>
      </c>
      <c r="I182" s="190">
        <f>MAX(0,F182-H182)</f>
        <v/>
      </c>
      <c r="J182" s="190">
        <f>IF(G182="",0,MAX(0,TODAY()-G182))</f>
        <v/>
      </c>
      <c r="K182" s="190">
        <f>IF(I182&lt;=0,"Current",IF(J182&lt;=30,"0-30 Days",IF(J182&lt;=60,"31-60 Days",IF(J182&lt;=90,"61-90 Days","90+ Days"))))</f>
        <v/>
      </c>
      <c r="L182" s="190">
        <f>IF(I182&lt;=0,"-",IF(J182&lt;=30,"Low",IF(J182&lt;=60,"Low-Medium",IF(J182&lt;=90,"Medium","HIGH RISK"))))</f>
        <v/>
      </c>
      <c r="M182" s="190" t="inlineStr">
        <is>
          <t>Paid Online</t>
        </is>
      </c>
      <c r="N182" s="190" t="inlineStr">
        <is>
          <t>Pending</t>
        </is>
      </c>
    </row>
    <row r="183">
      <c r="A183" s="208" t="n">
        <v>182</v>
      </c>
      <c r="B183" s="208" t="inlineStr">
        <is>
          <t>Praveen</t>
        </is>
      </c>
      <c r="C183" s="209" t="n">
        <v>46069</v>
      </c>
      <c r="D183" s="210" t="inlineStr">
        <is>
          <t>C-SLG/2235/25-26</t>
        </is>
      </c>
      <c r="E183" s="210" t="inlineStr">
        <is>
          <t>Deccan Book Depot and Stationery</t>
        </is>
      </c>
      <c r="F183" s="211" t="n">
        <v>2044</v>
      </c>
      <c r="G183" s="209" t="n">
        <v>46094</v>
      </c>
      <c r="H183" s="212" t="n">
        <v>0</v>
      </c>
      <c r="I183" s="210">
        <f>MAX(0,F183-H183)</f>
        <v/>
      </c>
      <c r="J183" s="210">
        <f>IF(G183="",0,MAX(0,TODAY()-G183))</f>
        <v/>
      </c>
      <c r="K183" s="210">
        <f>IF(I183&lt;=0,"Current",IF(J183&lt;=30,"0-30 Days",IF(J183&lt;=60,"31-60 Days",IF(J183&lt;=90,"61-90 Days","90+ Days"))))</f>
        <v/>
      </c>
      <c r="L183" s="210">
        <f>IF(I183&lt;=0,"-",IF(J183&lt;=30,"Low",IF(J183&lt;=60,"Low-Medium",IF(J183&lt;=90,"Medium","HIGH RISK"))))</f>
        <v/>
      </c>
      <c r="M183" s="210" t="inlineStr">
        <is>
          <t>Send DSO with Sign Copies</t>
        </is>
      </c>
      <c r="N183" s="210" t="inlineStr">
        <is>
          <t>Pending</t>
        </is>
      </c>
    </row>
    <row r="184">
      <c r="A184" s="218" t="n">
        <v>183</v>
      </c>
      <c r="B184" s="218" t="inlineStr">
        <is>
          <t>Praveen</t>
        </is>
      </c>
      <c r="C184" s="219" t="n">
        <v>46088</v>
      </c>
      <c r="D184" s="220" t="inlineStr">
        <is>
          <t>C-SLG/2344/25-26</t>
        </is>
      </c>
      <c r="E184" s="220" t="inlineStr">
        <is>
          <t>Dilip Super Market (Manikonda)</t>
        </is>
      </c>
      <c r="F184" s="221" t="n">
        <v>2472</v>
      </c>
      <c r="G184" s="219" t="n">
        <v>46113</v>
      </c>
      <c r="H184" s="222" t="n">
        <v>0</v>
      </c>
      <c r="I184" s="220">
        <f>MAX(0,F184-H184)</f>
        <v/>
      </c>
      <c r="J184" s="220">
        <f>IF(G184="",0,MAX(0,TODAY()-G184))</f>
        <v/>
      </c>
      <c r="K184" s="220">
        <f>IF(I184&lt;=0,"Current",IF(J184&lt;=30,"0-30 Days",IF(J184&lt;=60,"31-60 Days",IF(J184&lt;=90,"61-90 Days","90+ Days"))))</f>
        <v/>
      </c>
      <c r="L184" s="220">
        <f>IF(I184&lt;=0,"-",IF(J184&lt;=30,"Low",IF(J184&lt;=60,"Low-Medium",IF(J184&lt;=90,"Medium","HIGH RISK"))))</f>
        <v/>
      </c>
      <c r="M184" s="220" t="inlineStr">
        <is>
          <t>He will inform to his Sir | Next month send DSO for Cash - Customer Out of Station</t>
        </is>
      </c>
      <c r="N184" s="220" t="inlineStr">
        <is>
          <t>Pending</t>
        </is>
      </c>
    </row>
    <row r="185">
      <c r="A185" s="213" t="n">
        <v>184</v>
      </c>
      <c r="B185" s="213" t="inlineStr">
        <is>
          <t>Praveen</t>
        </is>
      </c>
      <c r="C185" s="214" t="n">
        <v>46105</v>
      </c>
      <c r="D185" s="215" t="inlineStr">
        <is>
          <t>C-SLG/2432/25-25</t>
        </is>
      </c>
      <c r="E185" s="215" t="inlineStr">
        <is>
          <t>Ever Green Book Centre</t>
        </is>
      </c>
      <c r="F185" s="216" t="n">
        <v>381</v>
      </c>
      <c r="G185" s="214" t="n">
        <v>46130</v>
      </c>
      <c r="H185" s="217" t="n">
        <v>0</v>
      </c>
      <c r="I185" s="215">
        <f>MAX(0,F185-H185)</f>
        <v/>
      </c>
      <c r="J185" s="215">
        <f>IF(G185="",0,MAX(0,TODAY()-G185))</f>
        <v/>
      </c>
      <c r="K185" s="215">
        <f>IF(I185&lt;=0,"Current",IF(J185&lt;=30,"0-30 Days",IF(J185&lt;=60,"31-60 Days",IF(J185&lt;=90,"61-90 Days","90+ Days"))))</f>
        <v/>
      </c>
      <c r="L185" s="215">
        <f>IF(I185&lt;=0,"-",IF(J185&lt;=30,"Low",IF(J185&lt;=60,"Low-Medium",IF(J185&lt;=90,"Medium","HIGH RISK"))))</f>
        <v/>
      </c>
      <c r="M185" s="215" t="inlineStr">
        <is>
          <t>Number Busy</t>
        </is>
      </c>
      <c r="N185" s="215" t="inlineStr">
        <is>
          <t>Pending</t>
        </is>
      </c>
    </row>
    <row r="186">
      <c r="A186" s="178" t="n">
        <v>185</v>
      </c>
      <c r="B186" s="178" t="inlineStr">
        <is>
          <t>Praveen</t>
        </is>
      </c>
      <c r="C186" s="179" t="n">
        <v>46123</v>
      </c>
      <c r="D186" s="180" t="inlineStr">
        <is>
          <t>C-SLG/0029/26-27</t>
        </is>
      </c>
      <c r="E186" s="180" t="inlineStr">
        <is>
          <t>Ever Green Book Centre</t>
        </is>
      </c>
      <c r="F186" s="181" t="n">
        <v>8874</v>
      </c>
      <c r="G186" s="179" t="n">
        <v>46148</v>
      </c>
      <c r="H186" s="182" t="n">
        <v>0</v>
      </c>
      <c r="I186" s="180">
        <f>MAX(0,F186-H186)</f>
        <v/>
      </c>
      <c r="J186" s="180">
        <f>IF(G186="",0,MAX(0,TODAY()-G186))</f>
        <v/>
      </c>
      <c r="K186" s="180">
        <f>IF(I186&lt;=0,"Current",IF(J186&lt;=30,"0-30 Days",IF(J186&lt;=60,"31-60 Days",IF(J186&lt;=90,"61-90 Days","90+ Days"))))</f>
        <v/>
      </c>
      <c r="L186" s="180">
        <f>IF(I186&lt;=0,"-",IF(J186&lt;=30,"Low",IF(J186&lt;=60,"Low-Medium",IF(J186&lt;=90,"Medium","HIGH RISK"))))</f>
        <v/>
      </c>
      <c r="M186" s="180" t="inlineStr">
        <is>
          <t>Number Busy</t>
        </is>
      </c>
      <c r="N186" s="180" t="inlineStr">
        <is>
          <t>Pending</t>
        </is>
      </c>
    </row>
    <row r="187">
      <c r="A187" s="213" t="n">
        <v>186</v>
      </c>
      <c r="B187" s="213" t="inlineStr">
        <is>
          <t>Praveen</t>
        </is>
      </c>
      <c r="C187" s="214" t="n">
        <v>46104</v>
      </c>
      <c r="D187" s="215" t="inlineStr">
        <is>
          <t>C-SLG/2419/25-26</t>
        </is>
      </c>
      <c r="E187" s="215" t="inlineStr">
        <is>
          <t>GLOBAL STATIONERY</t>
        </is>
      </c>
      <c r="F187" s="216" t="n">
        <v>2</v>
      </c>
      <c r="G187" s="214" t="n">
        <v>46129</v>
      </c>
      <c r="H187" s="217" t="n">
        <v>0</v>
      </c>
      <c r="I187" s="215">
        <f>MAX(0,F187-H187)</f>
        <v/>
      </c>
      <c r="J187" s="215">
        <f>IF(G187="",0,MAX(0,TODAY()-G187))</f>
        <v/>
      </c>
      <c r="K187" s="215">
        <f>IF(I187&lt;=0,"Current",IF(J187&lt;=30,"0-30 Days",IF(J187&lt;=60,"31-60 Days",IF(J187&lt;=90,"61-90 Days","90+ Days"))))</f>
        <v/>
      </c>
      <c r="L187" s="215">
        <f>IF(I187&lt;=0,"-",IF(J187&lt;=30,"Low",IF(J187&lt;=60,"Low-Medium",IF(J187&lt;=90,"Medium","HIGH RISK"))))</f>
        <v/>
      </c>
      <c r="M187" s="215" t="inlineStr"/>
      <c r="N187" s="215" t="inlineStr">
        <is>
          <t>Pending</t>
        </is>
      </c>
    </row>
    <row r="188">
      <c r="A188" s="218" t="n">
        <v>187</v>
      </c>
      <c r="B188" s="218" t="inlineStr">
        <is>
          <t>Praveen</t>
        </is>
      </c>
      <c r="C188" s="219" t="n">
        <v>46095</v>
      </c>
      <c r="D188" s="220" t="inlineStr">
        <is>
          <t>C-SLG/2385/25-26</t>
        </is>
      </c>
      <c r="E188" s="220" t="inlineStr">
        <is>
          <t>GS Enterprises</t>
        </is>
      </c>
      <c r="F188" s="221" t="n">
        <v>2561</v>
      </c>
      <c r="G188" s="219" t="n">
        <v>46120</v>
      </c>
      <c r="H188" s="222" t="n">
        <v>0</v>
      </c>
      <c r="I188" s="220">
        <f>MAX(0,F188-H188)</f>
        <v/>
      </c>
      <c r="J188" s="220">
        <f>IF(G188="",0,MAX(0,TODAY()-G188))</f>
        <v/>
      </c>
      <c r="K188" s="220">
        <f>IF(I188&lt;=0,"Current",IF(J188&lt;=30,"0-30 Days",IF(J188&lt;=60,"31-60 Days",IF(J188&lt;=90,"61-90 Days","90+ Days"))))</f>
        <v/>
      </c>
      <c r="L188" s="220">
        <f>IF(I188&lt;=0,"-",IF(J188&lt;=30,"Low",IF(J188&lt;=60,"Low-Medium",IF(J188&lt;=90,"Medium","HIGH RISK"))))</f>
        <v/>
      </c>
      <c r="M188" s="220" t="inlineStr">
        <is>
          <t>Number Not Avilable</t>
        </is>
      </c>
      <c r="N188" s="220" t="inlineStr">
        <is>
          <t>Pending</t>
        </is>
      </c>
    </row>
    <row r="189">
      <c r="A189" s="213" t="n">
        <v>188</v>
      </c>
      <c r="B189" s="213" t="inlineStr">
        <is>
          <t>Praveen</t>
        </is>
      </c>
      <c r="C189" s="214" t="n">
        <v>46090</v>
      </c>
      <c r="D189" s="215" t="inlineStr">
        <is>
          <t>C-SLG/2351/25-26</t>
        </is>
      </c>
      <c r="E189" s="215" t="inlineStr">
        <is>
          <t>Hasti Stationery Mart (Madhapur)</t>
        </is>
      </c>
      <c r="F189" s="216" t="n">
        <v>4181</v>
      </c>
      <c r="G189" s="214" t="n">
        <v>46115</v>
      </c>
      <c r="H189" s="217" t="n">
        <v>0</v>
      </c>
      <c r="I189" s="215">
        <f>MAX(0,F189-H189)</f>
        <v/>
      </c>
      <c r="J189" s="215">
        <f>IF(G189="",0,MAX(0,TODAY()-G189))</f>
        <v/>
      </c>
      <c r="K189" s="215">
        <f>IF(I189&lt;=0,"Current",IF(J189&lt;=30,"0-30 Days",IF(J189&lt;=60,"31-60 Days",IF(J189&lt;=90,"61-90 Days","90+ Days"))))</f>
        <v/>
      </c>
      <c r="L189" s="215">
        <f>IF(I189&lt;=0,"-",IF(J189&lt;=30,"Low",IF(J189&lt;=60,"Low-Medium",IF(J189&lt;=90,"Medium","HIGH RISK"))))</f>
        <v/>
      </c>
      <c r="M189" s="215" t="inlineStr">
        <is>
          <t>Send DSO for Cash Collection</t>
        </is>
      </c>
      <c r="N189" s="215" t="inlineStr">
        <is>
          <t>Pending</t>
        </is>
      </c>
    </row>
    <row r="190">
      <c r="A190" s="218" t="n">
        <v>189</v>
      </c>
      <c r="B190" s="218" t="inlineStr">
        <is>
          <t>Praveen</t>
        </is>
      </c>
      <c r="C190" s="219" t="n">
        <v>46107</v>
      </c>
      <c r="D190" s="220" t="inlineStr">
        <is>
          <t>C-SLG/2443/25-26</t>
        </is>
      </c>
      <c r="E190" s="220" t="inlineStr">
        <is>
          <t>Hasti Stationery Mart (Madhapur)</t>
        </is>
      </c>
      <c r="F190" s="221" t="n">
        <v>947</v>
      </c>
      <c r="G190" s="219" t="n">
        <v>46132</v>
      </c>
      <c r="H190" s="222" t="n">
        <v>0</v>
      </c>
      <c r="I190" s="220">
        <f>MAX(0,F190-H190)</f>
        <v/>
      </c>
      <c r="J190" s="220">
        <f>IF(G190="",0,MAX(0,TODAY()-G190))</f>
        <v/>
      </c>
      <c r="K190" s="220">
        <f>IF(I190&lt;=0,"Current",IF(J190&lt;=30,"0-30 Days",IF(J190&lt;=60,"31-60 Days",IF(J190&lt;=90,"61-90 Days","90+ Days"))))</f>
        <v/>
      </c>
      <c r="L190" s="220">
        <f>IF(I190&lt;=0,"-",IF(J190&lt;=30,"Low",IF(J190&lt;=60,"Low-Medium",IF(J190&lt;=90,"Medium","HIGH RISK"))))</f>
        <v/>
      </c>
      <c r="M190" s="220" t="inlineStr">
        <is>
          <t>Send DSO for Cash Collection</t>
        </is>
      </c>
      <c r="N190" s="220" t="inlineStr">
        <is>
          <t>Pending</t>
        </is>
      </c>
    </row>
    <row r="191">
      <c r="A191" s="183" t="n">
        <v>190</v>
      </c>
      <c r="B191" s="183" t="inlineStr">
        <is>
          <t>Praveen</t>
        </is>
      </c>
      <c r="C191" s="184" t="n">
        <v>45489</v>
      </c>
      <c r="D191" s="185" t="inlineStr">
        <is>
          <t>C-SLG/631/24-25</t>
        </is>
      </c>
      <c r="E191" s="185" t="inlineStr">
        <is>
          <t>Hyderabad Communications</t>
        </is>
      </c>
      <c r="F191" s="186" t="n">
        <v>34687</v>
      </c>
      <c r="G191" s="184" t="n">
        <v>45514</v>
      </c>
      <c r="H191" s="187" t="n">
        <v>0</v>
      </c>
      <c r="I191" s="185">
        <f>MAX(0,F191-H191)</f>
        <v/>
      </c>
      <c r="J191" s="185">
        <f>IF(G191="",0,MAX(0,TODAY()-G191))</f>
        <v/>
      </c>
      <c r="K191" s="185">
        <f>IF(I191&lt;=0,"Current",IF(J191&lt;=30,"0-30 Days",IF(J191&lt;=60,"31-60 Days",IF(J191&lt;=90,"61-90 Days","90+ Days"))))</f>
        <v/>
      </c>
      <c r="L191" s="185">
        <f>IF(I191&lt;=0,"-",IF(J191&lt;=30,"Low",IF(J191&lt;=60,"Low-Medium",IF(J191&lt;=90,"Medium","HIGH RISK"))))</f>
        <v/>
      </c>
      <c r="M191" s="185" t="inlineStr"/>
      <c r="N191" s="185" t="inlineStr">
        <is>
          <t>Pending</t>
        </is>
      </c>
    </row>
    <row r="192">
      <c r="A192" s="188" t="n">
        <v>191</v>
      </c>
      <c r="B192" s="188" t="inlineStr">
        <is>
          <t>Praveen</t>
        </is>
      </c>
      <c r="C192" s="189" t="n">
        <v>45510</v>
      </c>
      <c r="D192" s="190" t="inlineStr">
        <is>
          <t>C-SLG/800/24-25</t>
        </is>
      </c>
      <c r="E192" s="190" t="inlineStr">
        <is>
          <t>Hyderabad Communications</t>
        </is>
      </c>
      <c r="F192" s="191" t="n">
        <v>596</v>
      </c>
      <c r="G192" s="189" t="n">
        <v>45535</v>
      </c>
      <c r="H192" s="192" t="n">
        <v>0</v>
      </c>
      <c r="I192" s="190">
        <f>MAX(0,F192-H192)</f>
        <v/>
      </c>
      <c r="J192" s="190">
        <f>IF(G192="",0,MAX(0,TODAY()-G192))</f>
        <v/>
      </c>
      <c r="K192" s="190">
        <f>IF(I192&lt;=0,"Current",IF(J192&lt;=30,"0-30 Days",IF(J192&lt;=60,"31-60 Days",IF(J192&lt;=90,"61-90 Days","90+ Days"))))</f>
        <v/>
      </c>
      <c r="L192" s="190">
        <f>IF(I192&lt;=0,"-",IF(J192&lt;=30,"Low",IF(J192&lt;=60,"Low-Medium",IF(J192&lt;=90,"Medium","HIGH RISK"))))</f>
        <v/>
      </c>
      <c r="M192" s="190" t="inlineStr"/>
      <c r="N192" s="190" t="inlineStr">
        <is>
          <t>Pending</t>
        </is>
      </c>
    </row>
    <row r="193">
      <c r="A193" s="183" t="n">
        <v>192</v>
      </c>
      <c r="B193" s="183" t="inlineStr">
        <is>
          <t>Praveen</t>
        </is>
      </c>
      <c r="C193" s="184" t="n">
        <v>45533</v>
      </c>
      <c r="D193" s="185" t="inlineStr">
        <is>
          <t>C-SLG/979/24-25</t>
        </is>
      </c>
      <c r="E193" s="185" t="inlineStr">
        <is>
          <t>Hyderabad Communications</t>
        </is>
      </c>
      <c r="F193" s="186" t="n">
        <v>24001</v>
      </c>
      <c r="G193" s="184" t="n">
        <v>45558</v>
      </c>
      <c r="H193" s="187" t="n">
        <v>0</v>
      </c>
      <c r="I193" s="185">
        <f>MAX(0,F193-H193)</f>
        <v/>
      </c>
      <c r="J193" s="185">
        <f>IF(G193="",0,MAX(0,TODAY()-G193))</f>
        <v/>
      </c>
      <c r="K193" s="185">
        <f>IF(I193&lt;=0,"Current",IF(J193&lt;=30,"0-30 Days",IF(J193&lt;=60,"31-60 Days",IF(J193&lt;=90,"61-90 Days","90+ Days"))))</f>
        <v/>
      </c>
      <c r="L193" s="185">
        <f>IF(I193&lt;=0,"-",IF(J193&lt;=30,"Low",IF(J193&lt;=60,"Low-Medium",IF(J193&lt;=90,"Medium","HIGH RISK"))))</f>
        <v/>
      </c>
      <c r="M193" s="185" t="inlineStr"/>
      <c r="N193" s="185" t="inlineStr">
        <is>
          <t>Pending</t>
        </is>
      </c>
    </row>
    <row r="194">
      <c r="A194" s="178" t="n">
        <v>193</v>
      </c>
      <c r="B194" s="178" t="inlineStr">
        <is>
          <t>Praveen</t>
        </is>
      </c>
      <c r="C194" s="179" t="n">
        <v>46120</v>
      </c>
      <c r="D194" s="180" t="inlineStr">
        <is>
          <t>C-SLG/0018/26-27</t>
        </is>
      </c>
      <c r="E194" s="180" t="inlineStr">
        <is>
          <t>JAGDISH BOOK CENTRE</t>
        </is>
      </c>
      <c r="F194" s="181" t="n">
        <v>5566</v>
      </c>
      <c r="G194" s="179" t="n">
        <v>46145</v>
      </c>
      <c r="H194" s="182" t="n">
        <v>0</v>
      </c>
      <c r="I194" s="180">
        <f>MAX(0,F194-H194)</f>
        <v/>
      </c>
      <c r="J194" s="180">
        <f>IF(G194="",0,MAX(0,TODAY()-G194))</f>
        <v/>
      </c>
      <c r="K194" s="180">
        <f>IF(I194&lt;=0,"Current",IF(J194&lt;=30,"0-30 Days",IF(J194&lt;=60,"31-60 Days",IF(J194&lt;=90,"61-90 Days","90+ Days"))))</f>
        <v/>
      </c>
      <c r="L194" s="180">
        <f>IF(I194&lt;=0,"-",IF(J194&lt;=30,"Low",IF(J194&lt;=60,"Low-Medium",IF(J194&lt;=90,"Medium","HIGH RISK"))))</f>
        <v/>
      </c>
      <c r="M194" s="180" t="inlineStr"/>
      <c r="N194" s="180" t="inlineStr">
        <is>
          <t>Pending</t>
        </is>
      </c>
    </row>
    <row r="195">
      <c r="A195" s="198" t="n">
        <v>194</v>
      </c>
      <c r="B195" s="198" t="inlineStr">
        <is>
          <t>Praveen</t>
        </is>
      </c>
      <c r="C195" s="199" t="n">
        <v>46129</v>
      </c>
      <c r="D195" s="200" t="inlineStr">
        <is>
          <t>C-SLG/0049/26-27</t>
        </is>
      </c>
      <c r="E195" s="200" t="inlineStr">
        <is>
          <t>Jaya Stationery &amp; Engg Co</t>
        </is>
      </c>
      <c r="F195" s="201" t="n">
        <v>4427</v>
      </c>
      <c r="G195" s="199" t="n">
        <v>46154</v>
      </c>
      <c r="H195" s="202" t="n">
        <v>0</v>
      </c>
      <c r="I195" s="200">
        <f>MAX(0,F195-H195)</f>
        <v/>
      </c>
      <c r="J195" s="200">
        <f>IF(G195="",0,MAX(0,TODAY()-G195))</f>
        <v/>
      </c>
      <c r="K195" s="200">
        <f>IF(I195&lt;=0,"Current",IF(J195&lt;=30,"0-30 Days",IF(J195&lt;=60,"31-60 Days",IF(J195&lt;=90,"61-90 Days","90+ Days"))))</f>
        <v/>
      </c>
      <c r="L195" s="200">
        <f>IF(I195&lt;=0,"-",IF(J195&lt;=30,"Low",IF(J195&lt;=60,"Low-Medium",IF(J195&lt;=90,"Medium","HIGH RISK"))))</f>
        <v/>
      </c>
      <c r="M195" s="200" t="inlineStr"/>
      <c r="N195" s="200" t="inlineStr">
        <is>
          <t>Pending</t>
        </is>
      </c>
    </row>
    <row r="196">
      <c r="A196" s="193" t="n">
        <v>195</v>
      </c>
      <c r="B196" s="193" t="inlineStr">
        <is>
          <t>Praveen</t>
        </is>
      </c>
      <c r="C196" s="194" t="n">
        <v>46149</v>
      </c>
      <c r="D196" s="195" t="inlineStr">
        <is>
          <t>C-SLG/0099/26-27</t>
        </is>
      </c>
      <c r="E196" s="195" t="inlineStr">
        <is>
          <t>Jaya Stationery &amp; Engg Co</t>
        </is>
      </c>
      <c r="F196" s="196" t="n">
        <v>2945</v>
      </c>
      <c r="G196" s="194" t="n">
        <v>46174</v>
      </c>
      <c r="H196" s="197" t="n">
        <v>0</v>
      </c>
      <c r="I196" s="195">
        <f>MAX(0,F196-H196)</f>
        <v/>
      </c>
      <c r="J196" s="195">
        <f>IF(G196="",0,MAX(0,TODAY()-G196))</f>
        <v/>
      </c>
      <c r="K196" s="195">
        <f>IF(I196&lt;=0,"Current",IF(J196&lt;=30,"0-30 Days",IF(J196&lt;=60,"31-60 Days",IF(J196&lt;=90,"61-90 Days","90+ Days"))))</f>
        <v/>
      </c>
      <c r="L196" s="195">
        <f>IF(I196&lt;=0,"-",IF(J196&lt;=30,"Low",IF(J196&lt;=60,"Low-Medium",IF(J196&lt;=90,"Medium","HIGH RISK"))))</f>
        <v/>
      </c>
      <c r="M196" s="195" t="inlineStr"/>
      <c r="N196" s="195" t="inlineStr">
        <is>
          <t>Pending</t>
        </is>
      </c>
    </row>
    <row r="197">
      <c r="A197" s="183" t="n">
        <v>196</v>
      </c>
      <c r="B197" s="183" t="inlineStr">
        <is>
          <t>Praveen</t>
        </is>
      </c>
      <c r="C197" s="184" t="n">
        <v>45915</v>
      </c>
      <c r="D197" s="185" t="inlineStr">
        <is>
          <t>C-SLG/1203/25-26</t>
        </is>
      </c>
      <c r="E197" s="185" t="inlineStr">
        <is>
          <t>Kaanuka Collection</t>
        </is>
      </c>
      <c r="F197" s="186" t="n">
        <v>1771</v>
      </c>
      <c r="G197" s="184" t="n">
        <v>45940</v>
      </c>
      <c r="H197" s="187" t="n">
        <v>0</v>
      </c>
      <c r="I197" s="185">
        <f>MAX(0,F197-H197)</f>
        <v/>
      </c>
      <c r="J197" s="185">
        <f>IF(G197="",0,MAX(0,TODAY()-G197))</f>
        <v/>
      </c>
      <c r="K197" s="185">
        <f>IF(I197&lt;=0,"Current",IF(J197&lt;=30,"0-30 Days",IF(J197&lt;=60,"31-60 Days",IF(J197&lt;=90,"61-90 Days","90+ Days"))))</f>
        <v/>
      </c>
      <c r="L197" s="185">
        <f>IF(I197&lt;=0,"-",IF(J197&lt;=30,"Low",IF(J197&lt;=60,"Low-Medium",IF(J197&lt;=90,"Medium","HIGH RISK"))))</f>
        <v/>
      </c>
      <c r="M197" s="185" t="inlineStr">
        <is>
          <t>Credit Note</t>
        </is>
      </c>
      <c r="N197" s="185" t="inlineStr">
        <is>
          <t>Pending</t>
        </is>
      </c>
    </row>
    <row r="198">
      <c r="A198" s="193" t="n">
        <v>197</v>
      </c>
      <c r="B198" s="193" t="inlineStr">
        <is>
          <t>Praveen</t>
        </is>
      </c>
      <c r="C198" s="194" t="n">
        <v>46158</v>
      </c>
      <c r="D198" s="195" t="inlineStr">
        <is>
          <t>C-SLG/0141/26-27</t>
        </is>
      </c>
      <c r="E198" s="195" t="inlineStr">
        <is>
          <t>Kaanuka Collection</t>
        </is>
      </c>
      <c r="F198" s="196" t="n">
        <v>7266</v>
      </c>
      <c r="G198" s="194" t="n">
        <v>46183</v>
      </c>
      <c r="H198" s="197" t="n">
        <v>0</v>
      </c>
      <c r="I198" s="195">
        <f>MAX(0,F198-H198)</f>
        <v/>
      </c>
      <c r="J198" s="195">
        <f>IF(G198="",0,MAX(0,TODAY()-G198))</f>
        <v/>
      </c>
      <c r="K198" s="195">
        <f>IF(I198&lt;=0,"Current",IF(J198&lt;=30,"0-30 Days",IF(J198&lt;=60,"31-60 Days",IF(J198&lt;=90,"61-90 Days","90+ Days"))))</f>
        <v/>
      </c>
      <c r="L198" s="195">
        <f>IF(I198&lt;=0,"-",IF(J198&lt;=30,"Low",IF(J198&lt;=60,"Low-Medium",IF(J198&lt;=90,"Medium","HIGH RISK"))))</f>
        <v/>
      </c>
      <c r="M198" s="195" t="inlineStr"/>
      <c r="N198" s="195" t="inlineStr">
        <is>
          <t>Pending</t>
        </is>
      </c>
    </row>
    <row r="199">
      <c r="A199" s="193" t="n">
        <v>198</v>
      </c>
      <c r="B199" s="193" t="inlineStr">
        <is>
          <t>Praveen</t>
        </is>
      </c>
      <c r="C199" s="194" t="n">
        <v>46158</v>
      </c>
      <c r="D199" s="195" t="inlineStr">
        <is>
          <t>C-SLG/0142/26-27</t>
        </is>
      </c>
      <c r="E199" s="195" t="inlineStr">
        <is>
          <t>Kaanuka Collection</t>
        </is>
      </c>
      <c r="F199" s="196" t="n">
        <v>1244</v>
      </c>
      <c r="G199" s="194" t="n">
        <v>46183</v>
      </c>
      <c r="H199" s="197" t="n">
        <v>0</v>
      </c>
      <c r="I199" s="195">
        <f>MAX(0,F199-H199)</f>
        <v/>
      </c>
      <c r="J199" s="195">
        <f>IF(G199="",0,MAX(0,TODAY()-G199))</f>
        <v/>
      </c>
      <c r="K199" s="195">
        <f>IF(I199&lt;=0,"Current",IF(J199&lt;=30,"0-30 Days",IF(J199&lt;=60,"31-60 Days",IF(J199&lt;=90,"61-90 Days","90+ Days"))))</f>
        <v/>
      </c>
      <c r="L199" s="195">
        <f>IF(I199&lt;=0,"-",IF(J199&lt;=30,"Low",IF(J199&lt;=60,"Low-Medium",IF(J199&lt;=90,"Medium","HIGH RISK"))))</f>
        <v/>
      </c>
      <c r="M199" s="195" t="inlineStr"/>
      <c r="N199" s="195" t="inlineStr">
        <is>
          <t>Pending</t>
        </is>
      </c>
    </row>
    <row r="200">
      <c r="A200" s="193" t="n">
        <v>199</v>
      </c>
      <c r="B200" s="193" t="inlineStr">
        <is>
          <t>Praveen</t>
        </is>
      </c>
      <c r="C200" s="194" t="n">
        <v>46158</v>
      </c>
      <c r="D200" s="195" t="inlineStr">
        <is>
          <t>C-SLG/0143/26-27</t>
        </is>
      </c>
      <c r="E200" s="195" t="inlineStr">
        <is>
          <t>Kaanuka Collection</t>
        </is>
      </c>
      <c r="F200" s="196" t="n">
        <v>830</v>
      </c>
      <c r="G200" s="194" t="n">
        <v>46183</v>
      </c>
      <c r="H200" s="197" t="n">
        <v>0</v>
      </c>
      <c r="I200" s="195">
        <f>MAX(0,F200-H200)</f>
        <v/>
      </c>
      <c r="J200" s="195">
        <f>IF(G200="",0,MAX(0,TODAY()-G200))</f>
        <v/>
      </c>
      <c r="K200" s="195">
        <f>IF(I200&lt;=0,"Current",IF(J200&lt;=30,"0-30 Days",IF(J200&lt;=60,"31-60 Days",IF(J200&lt;=90,"61-90 Days","90+ Days"))))</f>
        <v/>
      </c>
      <c r="L200" s="195">
        <f>IF(I200&lt;=0,"-",IF(J200&lt;=30,"Low",IF(J200&lt;=60,"Low-Medium",IF(J200&lt;=90,"Medium","HIGH RISK"))))</f>
        <v/>
      </c>
      <c r="M200" s="195" t="inlineStr"/>
      <c r="N200" s="195" t="inlineStr">
        <is>
          <t>Pending</t>
        </is>
      </c>
    </row>
    <row r="201">
      <c r="A201" s="183" t="n">
        <v>200</v>
      </c>
      <c r="B201" s="183" t="inlineStr">
        <is>
          <t>Praveen</t>
        </is>
      </c>
      <c r="C201" s="184" t="n">
        <v>45985</v>
      </c>
      <c r="D201" s="185" t="inlineStr">
        <is>
          <t>C-SLG/1754/25-26</t>
        </is>
      </c>
      <c r="E201" s="185" t="inlineStr">
        <is>
          <t>KITSONS-GACHIBOWLI</t>
        </is>
      </c>
      <c r="F201" s="186" t="n">
        <v>180</v>
      </c>
      <c r="G201" s="184" t="n">
        <v>46010</v>
      </c>
      <c r="H201" s="187" t="n">
        <v>0</v>
      </c>
      <c r="I201" s="185">
        <f>MAX(0,F201-H201)</f>
        <v/>
      </c>
      <c r="J201" s="185">
        <f>IF(G201="",0,MAX(0,TODAY()-G201))</f>
        <v/>
      </c>
      <c r="K201" s="185">
        <f>IF(I201&lt;=0,"Current",IF(J201&lt;=30,"0-30 Days",IF(J201&lt;=60,"31-60 Days",IF(J201&lt;=90,"61-90 Days","90+ Days"))))</f>
        <v/>
      </c>
      <c r="L201" s="185">
        <f>IF(I201&lt;=0,"-",IF(J201&lt;=30,"Low",IF(J201&lt;=60,"Low-Medium",IF(J201&lt;=90,"Medium","HIGH RISK"))))</f>
        <v/>
      </c>
      <c r="M201" s="185" t="inlineStr"/>
      <c r="N201" s="185" t="inlineStr">
        <is>
          <t>Pending</t>
        </is>
      </c>
    </row>
    <row r="202">
      <c r="A202" s="218" t="n">
        <v>201</v>
      </c>
      <c r="B202" s="218" t="inlineStr">
        <is>
          <t>Praveen</t>
        </is>
      </c>
      <c r="C202" s="219" t="n">
        <v>46092</v>
      </c>
      <c r="D202" s="220" t="inlineStr">
        <is>
          <t>C-SLG/2369/25-26</t>
        </is>
      </c>
      <c r="E202" s="220" t="inlineStr">
        <is>
          <t>KITSONS-GACHIBOWLI</t>
        </is>
      </c>
      <c r="F202" s="221" t="n">
        <v>22195</v>
      </c>
      <c r="G202" s="219" t="n">
        <v>46117</v>
      </c>
      <c r="H202" s="222" t="n">
        <v>0</v>
      </c>
      <c r="I202" s="220">
        <f>MAX(0,F202-H202)</f>
        <v/>
      </c>
      <c r="J202" s="220">
        <f>IF(G202="",0,MAX(0,TODAY()-G202))</f>
        <v/>
      </c>
      <c r="K202" s="220">
        <f>IF(I202&lt;=0,"Current",IF(J202&lt;=30,"0-30 Days",IF(J202&lt;=60,"31-60 Days",IF(J202&lt;=90,"61-90 Days","90+ Days"))))</f>
        <v/>
      </c>
      <c r="L202" s="220">
        <f>IF(I202&lt;=0,"-",IF(J202&lt;=30,"Low",IF(J202&lt;=60,"Low-Medium",IF(J202&lt;=90,"Medium","HIGH RISK"))))</f>
        <v/>
      </c>
      <c r="M202" s="220" t="inlineStr"/>
      <c r="N202" s="220" t="inlineStr">
        <is>
          <t>Pending</t>
        </is>
      </c>
    </row>
    <row r="203">
      <c r="A203" s="213" t="n">
        <v>202</v>
      </c>
      <c r="B203" s="213" t="inlineStr">
        <is>
          <t>Praveen</t>
        </is>
      </c>
      <c r="C203" s="214" t="n">
        <v>46098</v>
      </c>
      <c r="D203" s="215" t="inlineStr">
        <is>
          <t>C-SLG/2398/25-26</t>
        </is>
      </c>
      <c r="E203" s="215" t="inlineStr">
        <is>
          <t>KITSONS-GACHIBOWLI</t>
        </is>
      </c>
      <c r="F203" s="216" t="n">
        <v>15116</v>
      </c>
      <c r="G203" s="214" t="n">
        <v>46123</v>
      </c>
      <c r="H203" s="217" t="n">
        <v>0</v>
      </c>
      <c r="I203" s="215">
        <f>MAX(0,F203-H203)</f>
        <v/>
      </c>
      <c r="J203" s="215">
        <f>IF(G203="",0,MAX(0,TODAY()-G203))</f>
        <v/>
      </c>
      <c r="K203" s="215">
        <f>IF(I203&lt;=0,"Current",IF(J203&lt;=30,"0-30 Days",IF(J203&lt;=60,"31-60 Days",IF(J203&lt;=90,"61-90 Days","90+ Days"))))</f>
        <v/>
      </c>
      <c r="L203" s="215">
        <f>IF(I203&lt;=0,"-",IF(J203&lt;=30,"Low",IF(J203&lt;=60,"Low-Medium",IF(J203&lt;=90,"Medium","HIGH RISK"))))</f>
        <v/>
      </c>
      <c r="M203" s="215" t="inlineStr"/>
      <c r="N203" s="215" t="inlineStr">
        <is>
          <t>Pending</t>
        </is>
      </c>
    </row>
    <row r="204">
      <c r="A204" s="188" t="n">
        <v>203</v>
      </c>
      <c r="B204" s="188" t="inlineStr">
        <is>
          <t>Praveen</t>
        </is>
      </c>
      <c r="C204" s="189" t="n">
        <v>46010</v>
      </c>
      <c r="D204" s="190" t="inlineStr">
        <is>
          <t>Bounce Charges-204</t>
        </is>
      </c>
      <c r="E204" s="190" t="inlineStr">
        <is>
          <t>KRANTI BOOK HOUSE</t>
        </is>
      </c>
      <c r="F204" s="191" t="n">
        <v>500</v>
      </c>
      <c r="G204" s="189" t="n">
        <v>46035</v>
      </c>
      <c r="H204" s="192" t="n">
        <v>0</v>
      </c>
      <c r="I204" s="190">
        <f>MAX(0,F204-H204)</f>
        <v/>
      </c>
      <c r="J204" s="190">
        <f>IF(G204="",0,MAX(0,TODAY()-G204))</f>
        <v/>
      </c>
      <c r="K204" s="190">
        <f>IF(I204&lt;=0,"Current",IF(J204&lt;=30,"0-30 Days",IF(J204&lt;=60,"31-60 Days",IF(J204&lt;=90,"61-90 Days","90+ Days"))))</f>
        <v/>
      </c>
      <c r="L204" s="190">
        <f>IF(I204&lt;=0,"-",IF(J204&lt;=30,"Low",IF(J204&lt;=60,"Low-Medium",IF(J204&lt;=90,"Medium","HIGH RISK"))))</f>
        <v/>
      </c>
      <c r="M204" s="190" t="inlineStr"/>
      <c r="N204" s="190" t="inlineStr">
        <is>
          <t>Pending</t>
        </is>
      </c>
    </row>
    <row r="205">
      <c r="A205" s="213" t="n">
        <v>204</v>
      </c>
      <c r="B205" s="213" t="inlineStr">
        <is>
          <t>Praveen</t>
        </is>
      </c>
      <c r="C205" s="214" t="n">
        <v>46098</v>
      </c>
      <c r="D205" s="215" t="inlineStr">
        <is>
          <t>C-SLG/2402/25-26</t>
        </is>
      </c>
      <c r="E205" s="215" t="inlineStr">
        <is>
          <t>Life Stationery (Bnj Hills)</t>
        </is>
      </c>
      <c r="F205" s="216" t="n">
        <v>2440</v>
      </c>
      <c r="G205" s="214" t="n">
        <v>46123</v>
      </c>
      <c r="H205" s="217" t="n">
        <v>0</v>
      </c>
      <c r="I205" s="215">
        <f>MAX(0,F205-H205)</f>
        <v/>
      </c>
      <c r="J205" s="215">
        <f>IF(G205="",0,MAX(0,TODAY()-G205))</f>
        <v/>
      </c>
      <c r="K205" s="215">
        <f>IF(I205&lt;=0,"Current",IF(J205&lt;=30,"0-30 Days",IF(J205&lt;=60,"31-60 Days",IF(J205&lt;=90,"61-90 Days","90+ Days"))))</f>
        <v/>
      </c>
      <c r="L205" s="215">
        <f>IF(I205&lt;=0,"-",IF(J205&lt;=30,"Low",IF(J205&lt;=60,"Low-Medium",IF(J205&lt;=90,"Medium","HIGH RISK"))))</f>
        <v/>
      </c>
      <c r="M205" s="215" t="inlineStr">
        <is>
          <t>Not Responding</t>
        </is>
      </c>
      <c r="N205" s="215" t="inlineStr">
        <is>
          <t>Pending</t>
        </is>
      </c>
    </row>
    <row r="206">
      <c r="A206" s="218" t="n">
        <v>205</v>
      </c>
      <c r="B206" s="218" t="inlineStr">
        <is>
          <t>Praveen</t>
        </is>
      </c>
      <c r="C206" s="219" t="n">
        <v>46112</v>
      </c>
      <c r="D206" s="220" t="inlineStr">
        <is>
          <t>C-SLG/2494/25-26</t>
        </is>
      </c>
      <c r="E206" s="220" t="inlineStr">
        <is>
          <t>Mahalaxmi  Enterprises</t>
        </is>
      </c>
      <c r="F206" s="221" t="n">
        <v>13321</v>
      </c>
      <c r="G206" s="219" t="n">
        <v>46137</v>
      </c>
      <c r="H206" s="222" t="n">
        <v>0</v>
      </c>
      <c r="I206" s="220">
        <f>MAX(0,F206-H206)</f>
        <v/>
      </c>
      <c r="J206" s="220">
        <f>IF(G206="",0,MAX(0,TODAY()-G206))</f>
        <v/>
      </c>
      <c r="K206" s="220">
        <f>IF(I206&lt;=0,"Current",IF(J206&lt;=30,"0-30 Days",IF(J206&lt;=60,"31-60 Days",IF(J206&lt;=90,"61-90 Days","90+ Days"))))</f>
        <v/>
      </c>
      <c r="L206" s="220">
        <f>IF(I206&lt;=0,"-",IF(J206&lt;=30,"Low",IF(J206&lt;=60,"Low-Medium",IF(J206&lt;=90,"Medium","HIGH RISK"))))</f>
        <v/>
      </c>
      <c r="M206" s="220" t="inlineStr"/>
      <c r="N206" s="220" t="inlineStr">
        <is>
          <t>Pending</t>
        </is>
      </c>
    </row>
    <row r="207">
      <c r="A207" s="213" t="n">
        <v>206</v>
      </c>
      <c r="B207" s="213" t="inlineStr">
        <is>
          <t>Praveen</t>
        </is>
      </c>
      <c r="C207" s="214" t="n">
        <v>46107</v>
      </c>
      <c r="D207" s="215" t="inlineStr">
        <is>
          <t>C-SLG/2440/25-26</t>
        </is>
      </c>
      <c r="E207" s="215" t="inlineStr">
        <is>
          <t>MARUTHI ENTERPRISES</t>
        </is>
      </c>
      <c r="F207" s="216" t="n">
        <v>8855</v>
      </c>
      <c r="G207" s="214" t="n">
        <v>46132</v>
      </c>
      <c r="H207" s="217" t="n">
        <v>0</v>
      </c>
      <c r="I207" s="215">
        <f>MAX(0,F207-H207)</f>
        <v/>
      </c>
      <c r="J207" s="215">
        <f>IF(G207="",0,MAX(0,TODAY()-G207))</f>
        <v/>
      </c>
      <c r="K207" s="215">
        <f>IF(I207&lt;=0,"Current",IF(J207&lt;=30,"0-30 Days",IF(J207&lt;=60,"31-60 Days",IF(J207&lt;=90,"61-90 Days","90+ Days"))))</f>
        <v/>
      </c>
      <c r="L207" s="215">
        <f>IF(I207&lt;=0,"-",IF(J207&lt;=30,"Low",IF(J207&lt;=60,"Low-Medium",IF(J207&lt;=90,"Medium","HIGH RISK"))))</f>
        <v/>
      </c>
      <c r="M207" s="215" t="inlineStr">
        <is>
          <t>This Saturday - Send DSO for cheque collection | Send DSO on Saturday for Payment Collection</t>
        </is>
      </c>
      <c r="N207" s="215" t="inlineStr">
        <is>
          <t>Pending</t>
        </is>
      </c>
    </row>
    <row r="208">
      <c r="A208" s="218" t="n">
        <v>207</v>
      </c>
      <c r="B208" s="218" t="inlineStr">
        <is>
          <t>Praveen</t>
        </is>
      </c>
      <c r="C208" s="219" t="n">
        <v>46099</v>
      </c>
      <c r="D208" s="220" t="inlineStr">
        <is>
          <t>C-SLG/2409/25-26</t>
        </is>
      </c>
      <c r="E208" s="220" t="inlineStr">
        <is>
          <t>MASTER SAAB STATIONARY</t>
        </is>
      </c>
      <c r="F208" s="221" t="n">
        <v>4079</v>
      </c>
      <c r="G208" s="219" t="n">
        <v>46124</v>
      </c>
      <c r="H208" s="222" t="n">
        <v>0</v>
      </c>
      <c r="I208" s="220">
        <f>MAX(0,F208-H208)</f>
        <v/>
      </c>
      <c r="J208" s="220">
        <f>IF(G208="",0,MAX(0,TODAY()-G208))</f>
        <v/>
      </c>
      <c r="K208" s="220">
        <f>IF(I208&lt;=0,"Current",IF(J208&lt;=30,"0-30 Days",IF(J208&lt;=60,"31-60 Days",IF(J208&lt;=90,"61-90 Days","90+ Days"))))</f>
        <v/>
      </c>
      <c r="L208" s="220">
        <f>IF(I208&lt;=0,"-",IF(J208&lt;=30,"Low",IF(J208&lt;=60,"Low-Medium",IF(J208&lt;=90,"Medium","HIGH RISK"))))</f>
        <v/>
      </c>
      <c r="M208" s="220" t="inlineStr"/>
      <c r="N208" s="220" t="inlineStr">
        <is>
          <t>Pending</t>
        </is>
      </c>
    </row>
    <row r="209">
      <c r="A209" s="183" t="n">
        <v>208</v>
      </c>
      <c r="B209" s="183" t="inlineStr">
        <is>
          <t>Praveen</t>
        </is>
      </c>
      <c r="C209" s="184" t="n">
        <v>45968</v>
      </c>
      <c r="D209" s="185" t="inlineStr">
        <is>
          <t>C-SLG/1619/25-26</t>
        </is>
      </c>
      <c r="E209" s="185" t="inlineStr">
        <is>
          <t>Nagesh Stationery &amp; Xerox</t>
        </is>
      </c>
      <c r="F209" s="186" t="n">
        <v>1680</v>
      </c>
      <c r="G209" s="184" t="n">
        <v>45993</v>
      </c>
      <c r="H209" s="187" t="n">
        <v>0</v>
      </c>
      <c r="I209" s="185">
        <f>MAX(0,F209-H209)</f>
        <v/>
      </c>
      <c r="J209" s="185">
        <f>IF(G209="",0,MAX(0,TODAY()-G209))</f>
        <v/>
      </c>
      <c r="K209" s="185">
        <f>IF(I209&lt;=0,"Current",IF(J209&lt;=30,"0-30 Days",IF(J209&lt;=60,"31-60 Days",IF(J209&lt;=90,"61-90 Days","90+ Days"))))</f>
        <v/>
      </c>
      <c r="L209" s="185">
        <f>IF(I209&lt;=0,"-",IF(J209&lt;=30,"Low",IF(J209&lt;=60,"Low-Medium",IF(J209&lt;=90,"Medium","HIGH RISK"))))</f>
        <v/>
      </c>
      <c r="M209" s="185" t="inlineStr">
        <is>
          <t>Customer Out of Station | Friday/Saturday - Stock Return</t>
        </is>
      </c>
      <c r="N209" s="185" t="inlineStr">
        <is>
          <t>Pending</t>
        </is>
      </c>
    </row>
    <row r="210">
      <c r="A210" s="218" t="n">
        <v>209</v>
      </c>
      <c r="B210" s="218" t="inlineStr">
        <is>
          <t>Praveen</t>
        </is>
      </c>
      <c r="C210" s="219" t="n">
        <v>46097</v>
      </c>
      <c r="D210" s="220" t="inlineStr">
        <is>
          <t>C-SLG/2389/25-26</t>
        </is>
      </c>
      <c r="E210" s="220" t="inlineStr">
        <is>
          <t>NavDurga Stationery</t>
        </is>
      </c>
      <c r="F210" s="221" t="n">
        <v>6289</v>
      </c>
      <c r="G210" s="219" t="n">
        <v>46122</v>
      </c>
      <c r="H210" s="222" t="n">
        <v>0</v>
      </c>
      <c r="I210" s="220">
        <f>MAX(0,F210-H210)</f>
        <v/>
      </c>
      <c r="J210" s="220">
        <f>IF(G210="",0,MAX(0,TODAY()-G210))</f>
        <v/>
      </c>
      <c r="K210" s="220">
        <f>IF(I210&lt;=0,"Current",IF(J210&lt;=30,"0-30 Days",IF(J210&lt;=60,"31-60 Days",IF(J210&lt;=90,"61-90 Days","90+ Days"))))</f>
        <v/>
      </c>
      <c r="L210" s="220">
        <f>IF(I210&lt;=0,"-",IF(J210&lt;=30,"Low",IF(J210&lt;=60,"Low-Medium",IF(J210&lt;=90,"Medium","HIGH RISK"))))</f>
        <v/>
      </c>
      <c r="M210" s="220" t="inlineStr">
        <is>
          <t>Customer is saying NO outstanding - Send DSO</t>
        </is>
      </c>
      <c r="N210" s="220" t="inlineStr">
        <is>
          <t>Pending</t>
        </is>
      </c>
    </row>
    <row r="211">
      <c r="A211" s="213" t="n">
        <v>210</v>
      </c>
      <c r="B211" s="213" t="inlineStr">
        <is>
          <t>Praveen</t>
        </is>
      </c>
      <c r="C211" s="214" t="n">
        <v>46084</v>
      </c>
      <c r="D211" s="215" t="inlineStr">
        <is>
          <t>C-SLG/2311/25-26</t>
        </is>
      </c>
      <c r="E211" s="215" t="inlineStr">
        <is>
          <t>New Vidya Book Point  (Alkapur)</t>
        </is>
      </c>
      <c r="F211" s="216" t="n">
        <v>9268</v>
      </c>
      <c r="G211" s="214" t="n">
        <v>46109</v>
      </c>
      <c r="H211" s="217" t="n">
        <v>0</v>
      </c>
      <c r="I211" s="215">
        <f>MAX(0,F211-H211)</f>
        <v/>
      </c>
      <c r="J211" s="215">
        <f>IF(G211="",0,MAX(0,TODAY()-G211))</f>
        <v/>
      </c>
      <c r="K211" s="215">
        <f>IF(I211&lt;=0,"Current",IF(J211&lt;=30,"0-30 Days",IF(J211&lt;=60,"31-60 Days",IF(J211&lt;=90,"61-90 Days","90+ Days"))))</f>
        <v/>
      </c>
      <c r="L211" s="215">
        <f>IF(I211&lt;=0,"-",IF(J211&lt;=30,"Low",IF(J211&lt;=60,"Low-Medium",IF(J211&lt;=90,"Medium","HIGH RISK"))))</f>
        <v/>
      </c>
      <c r="M211" s="215" t="inlineStr"/>
      <c r="N211" s="215" t="inlineStr">
        <is>
          <t>Pending</t>
        </is>
      </c>
    </row>
    <row r="212">
      <c r="A212" s="218" t="n">
        <v>211</v>
      </c>
      <c r="B212" s="218" t="inlineStr">
        <is>
          <t>Praveen</t>
        </is>
      </c>
      <c r="C212" s="219" t="n">
        <v>46111</v>
      </c>
      <c r="D212" s="220" t="inlineStr">
        <is>
          <t>C-SLG/2480/25-26</t>
        </is>
      </c>
      <c r="E212" s="220" t="inlineStr">
        <is>
          <t>New Vidya Book Point  (Alkapur)</t>
        </is>
      </c>
      <c r="F212" s="221" t="n">
        <v>7960</v>
      </c>
      <c r="G212" s="219" t="n">
        <v>46136</v>
      </c>
      <c r="H212" s="222" t="n">
        <v>0</v>
      </c>
      <c r="I212" s="220">
        <f>MAX(0,F212-H212)</f>
        <v/>
      </c>
      <c r="J212" s="220">
        <f>IF(G212="",0,MAX(0,TODAY()-G212))</f>
        <v/>
      </c>
      <c r="K212" s="220">
        <f>IF(I212&lt;=0,"Current",IF(J212&lt;=30,"0-30 Days",IF(J212&lt;=60,"31-60 Days",IF(J212&lt;=90,"61-90 Days","90+ Days"))))</f>
        <v/>
      </c>
      <c r="L212" s="220">
        <f>IF(I212&lt;=0,"-",IF(J212&lt;=30,"Low",IF(J212&lt;=60,"Low-Medium",IF(J212&lt;=90,"Medium","HIGH RISK"))))</f>
        <v/>
      </c>
      <c r="M212" s="220" t="inlineStr"/>
      <c r="N212" s="220" t="inlineStr">
        <is>
          <t>Pending</t>
        </is>
      </c>
    </row>
    <row r="213">
      <c r="A213" s="183" t="n">
        <v>212</v>
      </c>
      <c r="B213" s="183" t="inlineStr">
        <is>
          <t>Praveen</t>
        </is>
      </c>
      <c r="C213" s="184" t="n">
        <v>46051</v>
      </c>
      <c r="D213" s="185" t="inlineStr">
        <is>
          <t>C-SLG/2142/25-26</t>
        </is>
      </c>
      <c r="E213" s="185" t="inlineStr">
        <is>
          <t>Popular Book House</t>
        </is>
      </c>
      <c r="F213" s="186" t="n">
        <v>720</v>
      </c>
      <c r="G213" s="184" t="n">
        <v>46076</v>
      </c>
      <c r="H213" s="187" t="n">
        <v>0</v>
      </c>
      <c r="I213" s="185">
        <f>MAX(0,F213-H213)</f>
        <v/>
      </c>
      <c r="J213" s="185">
        <f>IF(G213="",0,MAX(0,TODAY()-G213))</f>
        <v/>
      </c>
      <c r="K213" s="185">
        <f>IF(I213&lt;=0,"Current",IF(J213&lt;=30,"0-30 Days",IF(J213&lt;=60,"31-60 Days",IF(J213&lt;=90,"61-90 Days","90+ Days"))))</f>
        <v/>
      </c>
      <c r="L213" s="185">
        <f>IF(I213&lt;=0,"-",IF(J213&lt;=30,"Low",IF(J213&lt;=60,"Low-Medium",IF(J213&lt;=90,"Medium","HIGH RISK"))))</f>
        <v/>
      </c>
      <c r="M213" s="185" t="inlineStr"/>
      <c r="N213" s="185" t="inlineStr">
        <is>
          <t>Pending</t>
        </is>
      </c>
    </row>
    <row r="214">
      <c r="A214" s="218" t="n">
        <v>213</v>
      </c>
      <c r="B214" s="218" t="inlineStr">
        <is>
          <t>Praveen</t>
        </is>
      </c>
      <c r="C214" s="219" t="n">
        <v>46088</v>
      </c>
      <c r="D214" s="220" t="inlineStr">
        <is>
          <t>C-SLG/2348/25-26</t>
        </is>
      </c>
      <c r="E214" s="220" t="inlineStr">
        <is>
          <t>Popular Book House</t>
        </is>
      </c>
      <c r="F214" s="221" t="n">
        <v>15106</v>
      </c>
      <c r="G214" s="219" t="n">
        <v>46113</v>
      </c>
      <c r="H214" s="222" t="n">
        <v>0</v>
      </c>
      <c r="I214" s="220">
        <f>MAX(0,F214-H214)</f>
        <v/>
      </c>
      <c r="J214" s="220">
        <f>IF(G214="",0,MAX(0,TODAY()-G214))</f>
        <v/>
      </c>
      <c r="K214" s="220">
        <f>IF(I214&lt;=0,"Current",IF(J214&lt;=30,"0-30 Days",IF(J214&lt;=60,"31-60 Days",IF(J214&lt;=90,"61-90 Days","90+ Days"))))</f>
        <v/>
      </c>
      <c r="L214" s="220">
        <f>IF(I214&lt;=0,"-",IF(J214&lt;=30,"Low",IF(J214&lt;=60,"Low-Medium",IF(J214&lt;=90,"Medium","HIGH RISK"))))</f>
        <v/>
      </c>
      <c r="M214" s="220" t="inlineStr">
        <is>
          <t>Send DSO with Signed Copies</t>
        </is>
      </c>
      <c r="N214" s="220" t="inlineStr">
        <is>
          <t>Pending</t>
        </is>
      </c>
    </row>
    <row r="215">
      <c r="A215" s="183" t="n">
        <v>214</v>
      </c>
      <c r="B215" s="183" t="inlineStr">
        <is>
          <t>Praveen</t>
        </is>
      </c>
      <c r="C215" s="184" t="n">
        <v>45909</v>
      </c>
      <c r="D215" s="185" t="inlineStr">
        <is>
          <t>C-SLG/1122/25-26</t>
        </is>
      </c>
      <c r="E215" s="185" t="inlineStr">
        <is>
          <t>RADIANT BOOK HOUSE</t>
        </is>
      </c>
      <c r="F215" s="186" t="n">
        <v>7800</v>
      </c>
      <c r="G215" s="184" t="n">
        <v>45934</v>
      </c>
      <c r="H215" s="187" t="n">
        <v>0</v>
      </c>
      <c r="I215" s="185">
        <f>MAX(0,F215-H215)</f>
        <v/>
      </c>
      <c r="J215" s="185">
        <f>IF(G215="",0,MAX(0,TODAY()-G215))</f>
        <v/>
      </c>
      <c r="K215" s="185">
        <f>IF(I215&lt;=0,"Current",IF(J215&lt;=30,"0-30 Days",IF(J215&lt;=60,"31-60 Days",IF(J215&lt;=90,"61-90 Days","90+ Days"))))</f>
        <v/>
      </c>
      <c r="L215" s="185">
        <f>IF(I215&lt;=0,"-",IF(J215&lt;=30,"Low",IF(J215&lt;=60,"Low-Medium",IF(J215&lt;=90,"Medium","HIGH RISK"))))</f>
        <v/>
      </c>
      <c r="M215" s="185" t="inlineStr">
        <is>
          <t>Not Responding</t>
        </is>
      </c>
      <c r="N215" s="185" t="inlineStr">
        <is>
          <t>Pending</t>
        </is>
      </c>
    </row>
    <row r="216">
      <c r="A216" s="203" t="n">
        <v>215</v>
      </c>
      <c r="B216" s="203" t="inlineStr">
        <is>
          <t>Praveen</t>
        </is>
      </c>
      <c r="C216" s="204" t="n">
        <v>46065</v>
      </c>
      <c r="D216" s="205" t="inlineStr">
        <is>
          <t>C-SLG/2222/25-26</t>
        </is>
      </c>
      <c r="E216" s="205" t="inlineStr">
        <is>
          <t>R.B.Novelty</t>
        </is>
      </c>
      <c r="F216" s="206" t="n">
        <v>31317</v>
      </c>
      <c r="G216" s="204" t="n">
        <v>46090</v>
      </c>
      <c r="H216" s="207" t="n">
        <v>0</v>
      </c>
      <c r="I216" s="205">
        <f>MAX(0,F216-H216)</f>
        <v/>
      </c>
      <c r="J216" s="205">
        <f>IF(G216="",0,MAX(0,TODAY()-G216))</f>
        <v/>
      </c>
      <c r="K216" s="205">
        <f>IF(I216&lt;=0,"Current",IF(J216&lt;=30,"0-30 Days",IF(J216&lt;=60,"31-60 Days",IF(J216&lt;=90,"61-90 Days","90+ Days"))))</f>
        <v/>
      </c>
      <c r="L216" s="205">
        <f>IF(I216&lt;=0,"-",IF(J216&lt;=30,"Low",IF(J216&lt;=60,"Low-Medium",IF(J216&lt;=90,"Medium","HIGH RISK"))))</f>
        <v/>
      </c>
      <c r="M216" s="205" t="inlineStr">
        <is>
          <t>Paid 30,441 by Cheque</t>
        </is>
      </c>
      <c r="N216" s="205" t="inlineStr">
        <is>
          <t>Pending</t>
        </is>
      </c>
    </row>
    <row r="217">
      <c r="A217" s="183" t="n">
        <v>216</v>
      </c>
      <c r="B217" s="183" t="inlineStr">
        <is>
          <t>Praveen</t>
        </is>
      </c>
      <c r="C217" s="184" t="n">
        <v>45989</v>
      </c>
      <c r="D217" s="185" t="inlineStr">
        <is>
          <t>C-SLG/1791/25-26</t>
        </is>
      </c>
      <c r="E217" s="185" t="inlineStr">
        <is>
          <t>Reliable Book Centre</t>
        </is>
      </c>
      <c r="F217" s="186" t="n">
        <v>9440</v>
      </c>
      <c r="G217" s="184" t="n">
        <v>46014</v>
      </c>
      <c r="H217" s="187" t="n">
        <v>0</v>
      </c>
      <c r="I217" s="185">
        <f>MAX(0,F217-H217)</f>
        <v/>
      </c>
      <c r="J217" s="185">
        <f>IF(G217="",0,MAX(0,TODAY()-G217))</f>
        <v/>
      </c>
      <c r="K217" s="185">
        <f>IF(I217&lt;=0,"Current",IF(J217&lt;=30,"0-30 Days",IF(J217&lt;=60,"31-60 Days",IF(J217&lt;=90,"61-90 Days","90+ Days"))))</f>
        <v/>
      </c>
      <c r="L217" s="185">
        <f>IF(I217&lt;=0,"-",IF(J217&lt;=30,"Low",IF(J217&lt;=60,"Low-Medium",IF(J217&lt;=90,"Medium","HIGH RISK"))))</f>
        <v/>
      </c>
      <c r="M217" s="185" t="inlineStr">
        <is>
          <t>Sent DSO</t>
        </is>
      </c>
      <c r="N217" s="185" t="inlineStr">
        <is>
          <t>Pending</t>
        </is>
      </c>
    </row>
    <row r="218">
      <c r="A218" s="188" t="n">
        <v>217</v>
      </c>
      <c r="B218" s="188" t="inlineStr">
        <is>
          <t>Praveen</t>
        </is>
      </c>
      <c r="C218" s="189" t="n">
        <v>46021</v>
      </c>
      <c r="D218" s="190" t="inlineStr">
        <is>
          <t>C-SLG/2005/25-26</t>
        </is>
      </c>
      <c r="E218" s="190" t="inlineStr">
        <is>
          <t>Reliable Book Centre</t>
        </is>
      </c>
      <c r="F218" s="191" t="n">
        <v>643</v>
      </c>
      <c r="G218" s="189" t="n">
        <v>46046</v>
      </c>
      <c r="H218" s="192" t="n">
        <v>0</v>
      </c>
      <c r="I218" s="190">
        <f>MAX(0,F218-H218)</f>
        <v/>
      </c>
      <c r="J218" s="190">
        <f>IF(G218="",0,MAX(0,TODAY()-G218))</f>
        <v/>
      </c>
      <c r="K218" s="190">
        <f>IF(I218&lt;=0,"Current",IF(J218&lt;=30,"0-30 Days",IF(J218&lt;=60,"31-60 Days",IF(J218&lt;=90,"61-90 Days","90+ Days"))))</f>
        <v/>
      </c>
      <c r="L218" s="190">
        <f>IF(I218&lt;=0,"-",IF(J218&lt;=30,"Low",IF(J218&lt;=60,"Low-Medium",IF(J218&lt;=90,"Medium","HIGH RISK"))))</f>
        <v/>
      </c>
      <c r="M218" s="190" t="inlineStr">
        <is>
          <t>Sent DSO</t>
        </is>
      </c>
      <c r="N218" s="190" t="inlineStr">
        <is>
          <t>Pending</t>
        </is>
      </c>
    </row>
    <row r="219">
      <c r="A219" s="183" t="n">
        <v>218</v>
      </c>
      <c r="B219" s="183" t="inlineStr">
        <is>
          <t>Praveen</t>
        </is>
      </c>
      <c r="C219" s="184" t="n">
        <v>46046</v>
      </c>
      <c r="D219" s="185" t="inlineStr">
        <is>
          <t>C-SLG/2102/25-26</t>
        </is>
      </c>
      <c r="E219" s="185" t="inlineStr">
        <is>
          <t>RR HOSIPATALITY SERVICES</t>
        </is>
      </c>
      <c r="F219" s="186" t="n">
        <v>49017</v>
      </c>
      <c r="G219" s="184" t="n">
        <v>46071</v>
      </c>
      <c r="H219" s="187" t="n">
        <v>49017</v>
      </c>
      <c r="I219" s="185">
        <f>MAX(0,F219-H219)</f>
        <v/>
      </c>
      <c r="J219" s="185">
        <f>IF(G219="",0,MAX(0,TODAY()-G219))</f>
        <v/>
      </c>
      <c r="K219" s="185">
        <f>IF(I219&lt;=0,"Current",IF(J219&lt;=30,"0-30 Days",IF(J219&lt;=60,"31-60 Days",IF(J219&lt;=90,"61-90 Days","90+ Days"))))</f>
        <v/>
      </c>
      <c r="L219" s="185">
        <f>IF(I219&lt;=0,"-",IF(J219&lt;=30,"Low",IF(J219&lt;=60,"Low-Medium",IF(J219&lt;=90,"Medium","HIGH RISK"))))</f>
        <v/>
      </c>
      <c r="M219" s="185" t="inlineStr">
        <is>
          <t>Stock Returned to Nujeed</t>
        </is>
      </c>
      <c r="N219" s="185" t="inlineStr">
        <is>
          <t>Pending</t>
        </is>
      </c>
    </row>
    <row r="220">
      <c r="A220" s="218" t="n">
        <v>219</v>
      </c>
      <c r="B220" s="218" t="inlineStr">
        <is>
          <t>Praveen</t>
        </is>
      </c>
      <c r="C220" s="219" t="n">
        <v>46083</v>
      </c>
      <c r="D220" s="220" t="inlineStr">
        <is>
          <t>C-SLG/2298/25-26</t>
        </is>
      </c>
      <c r="E220" s="220" t="inlineStr">
        <is>
          <t>Sai Vaishnavi Book Agency</t>
        </is>
      </c>
      <c r="F220" s="221" t="n">
        <v>14106</v>
      </c>
      <c r="G220" s="219" t="n">
        <v>46108</v>
      </c>
      <c r="H220" s="222" t="n">
        <v>0</v>
      </c>
      <c r="I220" s="220">
        <f>MAX(0,F220-H220)</f>
        <v/>
      </c>
      <c r="J220" s="220">
        <f>IF(G220="",0,MAX(0,TODAY()-G220))</f>
        <v/>
      </c>
      <c r="K220" s="220">
        <f>IF(I220&lt;=0,"Current",IF(J220&lt;=30,"0-30 Days",IF(J220&lt;=60,"31-60 Days",IF(J220&lt;=90,"61-90 Days","90+ Days"))))</f>
        <v/>
      </c>
      <c r="L220" s="220">
        <f>IF(I220&lt;=0,"-",IF(J220&lt;=30,"Low",IF(J220&lt;=60,"Low-Medium",IF(J220&lt;=90,"Medium","HIGH RISK"))))</f>
        <v/>
      </c>
      <c r="M220" s="220" t="inlineStr">
        <is>
          <t>Sent Scanner on Whatsapp</t>
        </is>
      </c>
      <c r="N220" s="220" t="inlineStr">
        <is>
          <t>Pending</t>
        </is>
      </c>
    </row>
    <row r="221">
      <c r="A221" s="208" t="n">
        <v>220</v>
      </c>
      <c r="B221" s="208" t="inlineStr">
        <is>
          <t>Praveen</t>
        </is>
      </c>
      <c r="C221" s="209" t="n">
        <v>46076</v>
      </c>
      <c r="D221" s="210" t="inlineStr">
        <is>
          <t>C-SLG/2269/25-26</t>
        </is>
      </c>
      <c r="E221" s="210" t="inlineStr">
        <is>
          <t>Shiva Book Stall</t>
        </is>
      </c>
      <c r="F221" s="211" t="n">
        <v>9399</v>
      </c>
      <c r="G221" s="209" t="n">
        <v>46101</v>
      </c>
      <c r="H221" s="212" t="n">
        <v>0</v>
      </c>
      <c r="I221" s="210">
        <f>MAX(0,F221-H221)</f>
        <v/>
      </c>
      <c r="J221" s="210">
        <f>IF(G221="",0,MAX(0,TODAY()-G221))</f>
        <v/>
      </c>
      <c r="K221" s="210">
        <f>IF(I221&lt;=0,"Current",IF(J221&lt;=30,"0-30 Days",IF(J221&lt;=60,"31-60 Days",IF(J221&lt;=90,"61-90 Days","90+ Days"))))</f>
        <v/>
      </c>
      <c r="L221" s="210">
        <f>IF(I221&lt;=0,"-",IF(J221&lt;=30,"Low",IF(J221&lt;=60,"Low-Medium",IF(J221&lt;=90,"Medium","HIGH RISK"))))</f>
        <v/>
      </c>
      <c r="M221" s="210" t="inlineStr">
        <is>
          <t>Some Issue - Send DSO | Stock Return</t>
        </is>
      </c>
      <c r="N221" s="210" t="inlineStr">
        <is>
          <t>Pending</t>
        </is>
      </c>
    </row>
    <row r="222">
      <c r="A222" s="178" t="n">
        <v>221</v>
      </c>
      <c r="B222" s="178" t="inlineStr">
        <is>
          <t>Praveen</t>
        </is>
      </c>
      <c r="C222" s="179" t="n">
        <v>46133</v>
      </c>
      <c r="D222" s="180" t="inlineStr">
        <is>
          <t>C-SLG/0061/26-27</t>
        </is>
      </c>
      <c r="E222" s="180" t="inlineStr">
        <is>
          <t>SHRI SHARADA  BOOK DISTRIBUTERS</t>
        </is>
      </c>
      <c r="F222" s="181" t="n">
        <v>670</v>
      </c>
      <c r="G222" s="179" t="n">
        <v>46158</v>
      </c>
      <c r="H222" s="182" t="n">
        <v>0</v>
      </c>
      <c r="I222" s="180">
        <f>MAX(0,F222-H222)</f>
        <v/>
      </c>
      <c r="J222" s="180">
        <f>IF(G222="",0,MAX(0,TODAY()-G222))</f>
        <v/>
      </c>
      <c r="K222" s="180">
        <f>IF(I222&lt;=0,"Current",IF(J222&lt;=30,"0-30 Days",IF(J222&lt;=60,"31-60 Days",IF(J222&lt;=90,"61-90 Days","90+ Days"))))</f>
        <v/>
      </c>
      <c r="L222" s="180">
        <f>IF(I222&lt;=0,"-",IF(J222&lt;=30,"Low",IF(J222&lt;=60,"Low-Medium",IF(J222&lt;=90,"Medium","HIGH RISK"))))</f>
        <v/>
      </c>
      <c r="M222" s="180" t="inlineStr"/>
      <c r="N222" s="180" t="inlineStr">
        <is>
          <t>Pending</t>
        </is>
      </c>
    </row>
    <row r="223">
      <c r="A223" s="208" t="n">
        <v>222</v>
      </c>
      <c r="B223" s="208" t="inlineStr">
        <is>
          <t>Praveen</t>
        </is>
      </c>
      <c r="C223" s="209" t="n">
        <v>46057</v>
      </c>
      <c r="D223" s="210" t="inlineStr">
        <is>
          <t>C-SLG/2179/25-26</t>
        </is>
      </c>
      <c r="E223" s="210" t="inlineStr">
        <is>
          <t>SIDDHARTHA STATIONERY &amp; ELECRTRICAL</t>
        </is>
      </c>
      <c r="F223" s="211" t="n">
        <v>5370</v>
      </c>
      <c r="G223" s="209" t="n">
        <v>46082</v>
      </c>
      <c r="H223" s="212" t="n">
        <v>0</v>
      </c>
      <c r="I223" s="210">
        <f>MAX(0,F223-H223)</f>
        <v/>
      </c>
      <c r="J223" s="210">
        <f>IF(G223="",0,MAX(0,TODAY()-G223))</f>
        <v/>
      </c>
      <c r="K223" s="210">
        <f>IF(I223&lt;=0,"Current",IF(J223&lt;=30,"0-30 Days",IF(J223&lt;=60,"31-60 Days",IF(J223&lt;=90,"61-90 Days","90+ Days"))))</f>
        <v/>
      </c>
      <c r="L223" s="210">
        <f>IF(I223&lt;=0,"-",IF(J223&lt;=30,"Low",IF(J223&lt;=60,"Low-Medium",IF(J223&lt;=90,"Medium","HIGH RISK"))))</f>
        <v/>
      </c>
      <c r="M223" s="210" t="inlineStr">
        <is>
          <t>Number Busy</t>
        </is>
      </c>
      <c r="N223" s="210" t="inlineStr">
        <is>
          <t>Pending</t>
        </is>
      </c>
    </row>
    <row r="224">
      <c r="A224" s="188" t="n">
        <v>223</v>
      </c>
      <c r="B224" s="188" t="inlineStr">
        <is>
          <t>Praveen</t>
        </is>
      </c>
      <c r="C224" s="189" t="n">
        <v>45968</v>
      </c>
      <c r="D224" s="190" t="inlineStr">
        <is>
          <t>C-SLG/1620/25-26</t>
        </is>
      </c>
      <c r="E224" s="190" t="inlineStr">
        <is>
          <t>SREE VENKATESHWARA PUBLISHERS</t>
        </is>
      </c>
      <c r="F224" s="191" t="n">
        <v>5248</v>
      </c>
      <c r="G224" s="189" t="n">
        <v>45993</v>
      </c>
      <c r="H224" s="192" t="n">
        <v>0</v>
      </c>
      <c r="I224" s="190">
        <f>MAX(0,F224-H224)</f>
        <v/>
      </c>
      <c r="J224" s="190">
        <f>IF(G224="",0,MAX(0,TODAY()-G224))</f>
        <v/>
      </c>
      <c r="K224" s="190">
        <f>IF(I224&lt;=0,"Current",IF(J224&lt;=30,"0-30 Days",IF(J224&lt;=60,"31-60 Days",IF(J224&lt;=90,"61-90 Days","90+ Days"))))</f>
        <v/>
      </c>
      <c r="L224" s="190">
        <f>IF(I224&lt;=0,"-",IF(J224&lt;=30,"Low",IF(J224&lt;=60,"Low-Medium",IF(J224&lt;=90,"Medium","HIGH RISK"))))</f>
        <v/>
      </c>
      <c r="M224" s="190" t="inlineStr">
        <is>
          <t>After 10d Collect Payment</t>
        </is>
      </c>
      <c r="N224" s="190" t="inlineStr">
        <is>
          <t>Pending</t>
        </is>
      </c>
    </row>
    <row r="225">
      <c r="A225" s="183" t="n">
        <v>224</v>
      </c>
      <c r="B225" s="183" t="inlineStr">
        <is>
          <t>Praveen</t>
        </is>
      </c>
      <c r="C225" s="184" t="n">
        <v>45981</v>
      </c>
      <c r="D225" s="185" t="inlineStr">
        <is>
          <t>C-SLG/1718/25-26</t>
        </is>
      </c>
      <c r="E225" s="185" t="inlineStr">
        <is>
          <t>SREE VENKATESHWARA PUBLISHERS</t>
        </is>
      </c>
      <c r="F225" s="186" t="n">
        <v>1170</v>
      </c>
      <c r="G225" s="184" t="n">
        <v>46006</v>
      </c>
      <c r="H225" s="187" t="n">
        <v>0</v>
      </c>
      <c r="I225" s="185">
        <f>MAX(0,F225-H225)</f>
        <v/>
      </c>
      <c r="J225" s="185">
        <f>IF(G225="",0,MAX(0,TODAY()-G225))</f>
        <v/>
      </c>
      <c r="K225" s="185">
        <f>IF(I225&lt;=0,"Current",IF(J225&lt;=30,"0-30 Days",IF(J225&lt;=60,"31-60 Days",IF(J225&lt;=90,"61-90 Days","90+ Days"))))</f>
        <v/>
      </c>
      <c r="L225" s="185">
        <f>IF(I225&lt;=0,"-",IF(J225&lt;=30,"Low",IF(J225&lt;=60,"Low-Medium",IF(J225&lt;=90,"Medium","HIGH RISK"))))</f>
        <v/>
      </c>
      <c r="M225" s="185" t="inlineStr">
        <is>
          <t>After 10d Collect Payment</t>
        </is>
      </c>
      <c r="N225" s="185" t="inlineStr">
        <is>
          <t>Pending</t>
        </is>
      </c>
    </row>
    <row r="226">
      <c r="A226" s="188" t="n">
        <v>225</v>
      </c>
      <c r="B226" s="188" t="inlineStr">
        <is>
          <t>Praveen</t>
        </is>
      </c>
      <c r="C226" s="189" t="n">
        <v>45987</v>
      </c>
      <c r="D226" s="190" t="inlineStr">
        <is>
          <t>C-SLG/1773/25-26</t>
        </is>
      </c>
      <c r="E226" s="190" t="inlineStr">
        <is>
          <t>SREE VENKATESHWARA PUBLISHERS</t>
        </is>
      </c>
      <c r="F226" s="191" t="n">
        <v>6342</v>
      </c>
      <c r="G226" s="189" t="n">
        <v>46012</v>
      </c>
      <c r="H226" s="192" t="n">
        <v>0</v>
      </c>
      <c r="I226" s="190">
        <f>MAX(0,F226-H226)</f>
        <v/>
      </c>
      <c r="J226" s="190">
        <f>IF(G226="",0,MAX(0,TODAY()-G226))</f>
        <v/>
      </c>
      <c r="K226" s="190">
        <f>IF(I226&lt;=0,"Current",IF(J226&lt;=30,"0-30 Days",IF(J226&lt;=60,"31-60 Days",IF(J226&lt;=90,"61-90 Days","90+ Days"))))</f>
        <v/>
      </c>
      <c r="L226" s="190">
        <f>IF(I226&lt;=0,"-",IF(J226&lt;=30,"Low",IF(J226&lt;=60,"Low-Medium",IF(J226&lt;=90,"Medium","HIGH RISK"))))</f>
        <v/>
      </c>
      <c r="M226" s="190" t="inlineStr">
        <is>
          <t>After 10d Collect Payment</t>
        </is>
      </c>
      <c r="N226" s="190" t="inlineStr">
        <is>
          <t>Pending</t>
        </is>
      </c>
    </row>
    <row r="227">
      <c r="A227" s="183" t="n">
        <v>226</v>
      </c>
      <c r="B227" s="183" t="inlineStr">
        <is>
          <t>Praveen</t>
        </is>
      </c>
      <c r="C227" s="184" t="n">
        <v>46049</v>
      </c>
      <c r="D227" s="185" t="inlineStr">
        <is>
          <t>C-SLG/2108/25-26</t>
        </is>
      </c>
      <c r="E227" s="185" t="inlineStr">
        <is>
          <t>SREE VENKATESHWARA PUBLISHERS</t>
        </is>
      </c>
      <c r="F227" s="186" t="n">
        <v>47824</v>
      </c>
      <c r="G227" s="184" t="n">
        <v>46074</v>
      </c>
      <c r="H227" s="187" t="n">
        <v>0</v>
      </c>
      <c r="I227" s="185">
        <f>MAX(0,F227-H227)</f>
        <v/>
      </c>
      <c r="J227" s="185">
        <f>IF(G227="",0,MAX(0,TODAY()-G227))</f>
        <v/>
      </c>
      <c r="K227" s="185">
        <f>IF(I227&lt;=0,"Current",IF(J227&lt;=30,"0-30 Days",IF(J227&lt;=60,"31-60 Days",IF(J227&lt;=90,"61-90 Days","90+ Days"))))</f>
        <v/>
      </c>
      <c r="L227" s="185">
        <f>IF(I227&lt;=0,"-",IF(J227&lt;=30,"Low",IF(J227&lt;=60,"Low-Medium",IF(J227&lt;=90,"Medium","HIGH RISK"))))</f>
        <v/>
      </c>
      <c r="M227" s="185" t="inlineStr">
        <is>
          <t>After 10d Collect Payment</t>
        </is>
      </c>
      <c r="N227" s="185" t="inlineStr">
        <is>
          <t>Pending</t>
        </is>
      </c>
    </row>
    <row r="228">
      <c r="A228" s="188" t="n">
        <v>227</v>
      </c>
      <c r="B228" s="188" t="inlineStr">
        <is>
          <t>Praveen</t>
        </is>
      </c>
      <c r="C228" s="189" t="n">
        <v>46052</v>
      </c>
      <c r="D228" s="190" t="inlineStr">
        <is>
          <t>C-SLG/2148/25-26</t>
        </is>
      </c>
      <c r="E228" s="190" t="inlineStr">
        <is>
          <t>SRI RAKHI BOOK CENTER</t>
        </is>
      </c>
      <c r="F228" s="191" t="n">
        <v>25760</v>
      </c>
      <c r="G228" s="189" t="n">
        <v>46077</v>
      </c>
      <c r="H228" s="192" t="n">
        <v>0</v>
      </c>
      <c r="I228" s="190">
        <f>MAX(0,F228-H228)</f>
        <v/>
      </c>
      <c r="J228" s="190">
        <f>IF(G228="",0,MAX(0,TODAY()-G228))</f>
        <v/>
      </c>
      <c r="K228" s="190">
        <f>IF(I228&lt;=0,"Current",IF(J228&lt;=30,"0-30 Days",IF(J228&lt;=60,"31-60 Days",IF(J228&lt;=90,"61-90 Days","90+ Days"))))</f>
        <v/>
      </c>
      <c r="L228" s="190">
        <f>IF(I228&lt;=0,"-",IF(J228&lt;=30,"Low",IF(J228&lt;=60,"Low-Medium",IF(J228&lt;=90,"Medium","HIGH RISK"))))</f>
        <v/>
      </c>
      <c r="M228" s="190" t="inlineStr">
        <is>
          <t>Send DSO for Stock Return Collection</t>
        </is>
      </c>
      <c r="N228" s="190" t="inlineStr">
        <is>
          <t>Pending</t>
        </is>
      </c>
    </row>
    <row r="229">
      <c r="A229" s="183" t="n">
        <v>228</v>
      </c>
      <c r="B229" s="183" t="inlineStr">
        <is>
          <t>Praveen</t>
        </is>
      </c>
      <c r="C229" s="184" t="n">
        <v>46007</v>
      </c>
      <c r="D229" s="185" t="inlineStr">
        <is>
          <t>C-SLG/1902/25-26</t>
        </is>
      </c>
      <c r="E229" s="185" t="inlineStr">
        <is>
          <t>Sri Shyam Enterprises</t>
        </is>
      </c>
      <c r="F229" s="186" t="n">
        <v>100</v>
      </c>
      <c r="G229" s="184" t="n">
        <v>46032</v>
      </c>
      <c r="H229" s="187" t="n">
        <v>0</v>
      </c>
      <c r="I229" s="185">
        <f>MAX(0,F229-H229)</f>
        <v/>
      </c>
      <c r="J229" s="185">
        <f>IF(G229="",0,MAX(0,TODAY()-G229))</f>
        <v/>
      </c>
      <c r="K229" s="185">
        <f>IF(I229&lt;=0,"Current",IF(J229&lt;=30,"0-30 Days",IF(J229&lt;=60,"31-60 Days",IF(J229&lt;=90,"61-90 Days","90+ Days"))))</f>
        <v/>
      </c>
      <c r="L229" s="185">
        <f>IF(I229&lt;=0,"-",IF(J229&lt;=30,"Low",IF(J229&lt;=60,"Low-Medium",IF(J229&lt;=90,"Medium","HIGH RISK"))))</f>
        <v/>
      </c>
      <c r="M229" s="185" t="inlineStr"/>
      <c r="N229" s="185" t="inlineStr">
        <is>
          <t>Pending</t>
        </is>
      </c>
    </row>
    <row r="230">
      <c r="A230" s="178" t="n">
        <v>229</v>
      </c>
      <c r="B230" s="178" t="inlineStr">
        <is>
          <t>Praveen</t>
        </is>
      </c>
      <c r="C230" s="179" t="n">
        <v>46129</v>
      </c>
      <c r="D230" s="180" t="inlineStr">
        <is>
          <t>C-SLG/0050/26-27</t>
        </is>
      </c>
      <c r="E230" s="180" t="inlineStr">
        <is>
          <t>SRI VENKTESHWARA BOOK HOUSE</t>
        </is>
      </c>
      <c r="F230" s="181" t="n">
        <v>5517</v>
      </c>
      <c r="G230" s="179" t="n">
        <v>46154</v>
      </c>
      <c r="H230" s="182" t="n">
        <v>0</v>
      </c>
      <c r="I230" s="180">
        <f>MAX(0,F230-H230)</f>
        <v/>
      </c>
      <c r="J230" s="180">
        <f>IF(G230="",0,MAX(0,TODAY()-G230))</f>
        <v/>
      </c>
      <c r="K230" s="180">
        <f>IF(I230&lt;=0,"Current",IF(J230&lt;=30,"0-30 Days",IF(J230&lt;=60,"31-60 Days",IF(J230&lt;=90,"61-90 Days","90+ Days"))))</f>
        <v/>
      </c>
      <c r="L230" s="180">
        <f>IF(I230&lt;=0,"-",IF(J230&lt;=30,"Low",IF(J230&lt;=60,"Low-Medium",IF(J230&lt;=90,"Medium","HIGH RISK"))))</f>
        <v/>
      </c>
      <c r="M230" s="180" t="inlineStr"/>
      <c r="N230" s="180" t="inlineStr">
        <is>
          <t>Pending</t>
        </is>
      </c>
    </row>
    <row r="231">
      <c r="A231" s="213" t="n">
        <v>230</v>
      </c>
      <c r="B231" s="213" t="inlineStr">
        <is>
          <t>Praveen</t>
        </is>
      </c>
      <c r="C231" s="214" t="n">
        <v>46105</v>
      </c>
      <c r="D231" s="215" t="inlineStr">
        <is>
          <t>C-SLG/2425/25-26</t>
        </is>
      </c>
      <c r="E231" s="215" t="inlineStr">
        <is>
          <t>SRI VIDYA SARASWATI COLLECTION</t>
        </is>
      </c>
      <c r="F231" s="216" t="n">
        <v>12031</v>
      </c>
      <c r="G231" s="214" t="n">
        <v>46130</v>
      </c>
      <c r="H231" s="217" t="n">
        <v>0</v>
      </c>
      <c r="I231" s="215">
        <f>MAX(0,F231-H231)</f>
        <v/>
      </c>
      <c r="J231" s="215">
        <f>IF(G231="",0,MAX(0,TODAY()-G231))</f>
        <v/>
      </c>
      <c r="K231" s="215">
        <f>IF(I231&lt;=0,"Current",IF(J231&lt;=30,"0-30 Days",IF(J231&lt;=60,"31-60 Days",IF(J231&lt;=90,"61-90 Days","90+ Days"))))</f>
        <v/>
      </c>
      <c r="L231" s="215">
        <f>IF(I231&lt;=0,"-",IF(J231&lt;=30,"Low",IF(J231&lt;=60,"Low-Medium",IF(J231&lt;=90,"Medium","HIGH RISK"))))</f>
        <v/>
      </c>
      <c r="M231" s="215" t="inlineStr">
        <is>
          <t>Not Called</t>
        </is>
      </c>
      <c r="N231" s="215" t="inlineStr">
        <is>
          <t>Pending</t>
        </is>
      </c>
    </row>
    <row r="232">
      <c r="A232" s="178" t="n">
        <v>231</v>
      </c>
      <c r="B232" s="178" t="inlineStr">
        <is>
          <t>Praveen</t>
        </is>
      </c>
      <c r="C232" s="179" t="n">
        <v>46122</v>
      </c>
      <c r="D232" s="180" t="inlineStr">
        <is>
          <t>C-SLG/0027/26-27</t>
        </is>
      </c>
      <c r="E232" s="180" t="inlineStr">
        <is>
          <t>SRI VIDYA SARASWATI COLLECTION</t>
        </is>
      </c>
      <c r="F232" s="181" t="n">
        <v>6100</v>
      </c>
      <c r="G232" s="179" t="n">
        <v>46147</v>
      </c>
      <c r="H232" s="182" t="n">
        <v>0</v>
      </c>
      <c r="I232" s="180">
        <f>MAX(0,F232-H232)</f>
        <v/>
      </c>
      <c r="J232" s="180">
        <f>IF(G232="",0,MAX(0,TODAY()-G232))</f>
        <v/>
      </c>
      <c r="K232" s="180">
        <f>IF(I232&lt;=0,"Current",IF(J232&lt;=30,"0-30 Days",IF(J232&lt;=60,"31-60 Days",IF(J232&lt;=90,"61-90 Days","90+ Days"))))</f>
        <v/>
      </c>
      <c r="L232" s="180">
        <f>IF(I232&lt;=0,"-",IF(J232&lt;=30,"Low",IF(J232&lt;=60,"Low-Medium",IF(J232&lt;=90,"Medium","HIGH RISK"))))</f>
        <v/>
      </c>
      <c r="M232" s="180" t="inlineStr">
        <is>
          <t>Not Called</t>
        </is>
      </c>
      <c r="N232" s="180" t="inlineStr">
        <is>
          <t>Pending</t>
        </is>
      </c>
    </row>
    <row r="233">
      <c r="A233" s="198" t="n">
        <v>232</v>
      </c>
      <c r="B233" s="198" t="inlineStr">
        <is>
          <t>Praveen</t>
        </is>
      </c>
      <c r="C233" s="199" t="n">
        <v>46137</v>
      </c>
      <c r="D233" s="200" t="inlineStr">
        <is>
          <t>C-SLG/0070/26-27</t>
        </is>
      </c>
      <c r="E233" s="200" t="inlineStr">
        <is>
          <t>SRI VIDYA SARASWATI COLLECTION</t>
        </is>
      </c>
      <c r="F233" s="201" t="n">
        <v>3812</v>
      </c>
      <c r="G233" s="199" t="n">
        <v>46162</v>
      </c>
      <c r="H233" s="202" t="n">
        <v>0</v>
      </c>
      <c r="I233" s="200">
        <f>MAX(0,F233-H233)</f>
        <v/>
      </c>
      <c r="J233" s="200">
        <f>IF(G233="",0,MAX(0,TODAY()-G233))</f>
        <v/>
      </c>
      <c r="K233" s="200">
        <f>IF(I233&lt;=0,"Current",IF(J233&lt;=30,"0-30 Days",IF(J233&lt;=60,"31-60 Days",IF(J233&lt;=90,"61-90 Days","90+ Days"))))</f>
        <v/>
      </c>
      <c r="L233" s="200">
        <f>IF(I233&lt;=0,"-",IF(J233&lt;=30,"Low",IF(J233&lt;=60,"Low-Medium",IF(J233&lt;=90,"Medium","HIGH RISK"))))</f>
        <v/>
      </c>
      <c r="M233" s="200" t="inlineStr"/>
      <c r="N233" s="200" t="inlineStr">
        <is>
          <t>Pending</t>
        </is>
      </c>
    </row>
    <row r="234">
      <c r="A234" s="203" t="n">
        <v>233</v>
      </c>
      <c r="B234" s="203" t="inlineStr">
        <is>
          <t>Praveen</t>
        </is>
      </c>
      <c r="C234" s="204" t="n">
        <v>46059</v>
      </c>
      <c r="D234" s="205" t="inlineStr">
        <is>
          <t>C-SLG/2197/25-26</t>
        </is>
      </c>
      <c r="E234" s="205" t="inlineStr">
        <is>
          <t>Stationey Xerox</t>
        </is>
      </c>
      <c r="F234" s="206" t="n">
        <v>19279</v>
      </c>
      <c r="G234" s="204" t="n">
        <v>46084</v>
      </c>
      <c r="H234" s="207" t="n">
        <v>0</v>
      </c>
      <c r="I234" s="205">
        <f>MAX(0,F234-H234)</f>
        <v/>
      </c>
      <c r="J234" s="205">
        <f>IF(G234="",0,MAX(0,TODAY()-G234))</f>
        <v/>
      </c>
      <c r="K234" s="205">
        <f>IF(I234&lt;=0,"Current",IF(J234&lt;=30,"0-30 Days",IF(J234&lt;=60,"31-60 Days",IF(J234&lt;=90,"61-90 Days","90+ Days"))))</f>
        <v/>
      </c>
      <c r="L234" s="205">
        <f>IF(I234&lt;=0,"-",IF(J234&lt;=30,"Low",IF(J234&lt;=60,"Low-Medium",IF(J234&lt;=90,"Medium","HIGH RISK"))))</f>
        <v/>
      </c>
      <c r="M234" s="205" t="inlineStr">
        <is>
          <t>Not responding</t>
        </is>
      </c>
      <c r="N234" s="205" t="inlineStr">
        <is>
          <t>Pending</t>
        </is>
      </c>
    </row>
    <row r="235">
      <c r="A235" s="213" t="n">
        <v>234</v>
      </c>
      <c r="B235" s="213" t="inlineStr">
        <is>
          <t>Praveen</t>
        </is>
      </c>
      <c r="C235" s="214" t="n">
        <v>46105</v>
      </c>
      <c r="D235" s="215" t="inlineStr">
        <is>
          <t>C-SLG/2430/25-26</t>
        </is>
      </c>
      <c r="E235" s="215" t="inlineStr">
        <is>
          <t>THE DECCAN PEN STORE</t>
        </is>
      </c>
      <c r="F235" s="216" t="n">
        <v>3988</v>
      </c>
      <c r="G235" s="214" t="n">
        <v>46130</v>
      </c>
      <c r="H235" s="217" t="n">
        <v>0</v>
      </c>
      <c r="I235" s="215">
        <f>MAX(0,F235-H235)</f>
        <v/>
      </c>
      <c r="J235" s="215">
        <f>IF(G235="",0,MAX(0,TODAY()-G235))</f>
        <v/>
      </c>
      <c r="K235" s="215">
        <f>IF(I235&lt;=0,"Current",IF(J235&lt;=30,"0-30 Days",IF(J235&lt;=60,"31-60 Days",IF(J235&lt;=90,"61-90 Days","90+ Days"))))</f>
        <v/>
      </c>
      <c r="L235" s="215">
        <f>IF(I235&lt;=0,"-",IF(J235&lt;=30,"Low",IF(J235&lt;=60,"Low-Medium",IF(J235&lt;=90,"Medium","HIGH RISK"))))</f>
        <v/>
      </c>
      <c r="M235" s="215" t="inlineStr">
        <is>
          <t>Not responding</t>
        </is>
      </c>
      <c r="N235" s="215" t="inlineStr">
        <is>
          <t>Pending</t>
        </is>
      </c>
    </row>
    <row r="236">
      <c r="A236" s="178" t="n">
        <v>235</v>
      </c>
      <c r="B236" s="178" t="inlineStr">
        <is>
          <t>Praveen</t>
        </is>
      </c>
      <c r="C236" s="179" t="n">
        <v>46121</v>
      </c>
      <c r="D236" s="180" t="inlineStr">
        <is>
          <t>C-SLG/002/26-27</t>
        </is>
      </c>
      <c r="E236" s="180" t="inlineStr">
        <is>
          <t>THE DECCAN PEN STORE</t>
        </is>
      </c>
      <c r="F236" s="181" t="n">
        <v>2021</v>
      </c>
      <c r="G236" s="179" t="n">
        <v>46146</v>
      </c>
      <c r="H236" s="182" t="n">
        <v>0</v>
      </c>
      <c r="I236" s="180">
        <f>MAX(0,F236-H236)</f>
        <v/>
      </c>
      <c r="J236" s="180">
        <f>IF(G236="",0,MAX(0,TODAY()-G236))</f>
        <v/>
      </c>
      <c r="K236" s="180">
        <f>IF(I236&lt;=0,"Current",IF(J236&lt;=30,"0-30 Days",IF(J236&lt;=60,"31-60 Days",IF(J236&lt;=90,"61-90 Days","90+ Days"))))</f>
        <v/>
      </c>
      <c r="L236" s="180">
        <f>IF(I236&lt;=0,"-",IF(J236&lt;=30,"Low",IF(J236&lt;=60,"Low-Medium",IF(J236&lt;=90,"Medium","HIGH RISK"))))</f>
        <v/>
      </c>
      <c r="M236" s="180" t="inlineStr">
        <is>
          <t>Not responding</t>
        </is>
      </c>
      <c r="N236" s="180" t="inlineStr">
        <is>
          <t>Pending</t>
        </is>
      </c>
    </row>
    <row r="237">
      <c r="A237" s="213" t="n">
        <v>236</v>
      </c>
      <c r="B237" s="213" t="inlineStr">
        <is>
          <t>Praveen</t>
        </is>
      </c>
      <c r="C237" s="214" t="n">
        <v>46107</v>
      </c>
      <c r="D237" s="215" t="inlineStr">
        <is>
          <t>C-SLG/2445/25-26</t>
        </is>
      </c>
      <c r="E237" s="215" t="inlineStr">
        <is>
          <t>TRIBHUVAN BOOKS &amp; STATIONERY</t>
        </is>
      </c>
      <c r="F237" s="216" t="n">
        <v>28248</v>
      </c>
      <c r="G237" s="214" t="n">
        <v>46132</v>
      </c>
      <c r="H237" s="217" t="n">
        <v>0</v>
      </c>
      <c r="I237" s="215">
        <f>MAX(0,F237-H237)</f>
        <v/>
      </c>
      <c r="J237" s="215">
        <f>IF(G237="",0,MAX(0,TODAY()-G237))</f>
        <v/>
      </c>
      <c r="K237" s="215">
        <f>IF(I237&lt;=0,"Current",IF(J237&lt;=30,"0-30 Days",IF(J237&lt;=60,"31-60 Days",IF(J237&lt;=90,"61-90 Days","90+ Days"))))</f>
        <v/>
      </c>
      <c r="L237" s="215">
        <f>IF(I237&lt;=0,"-",IF(J237&lt;=30,"Low",IF(J237&lt;=60,"Low-Medium",IF(J237&lt;=90,"Medium","HIGH RISK"))))</f>
        <v/>
      </c>
      <c r="M237" s="215" t="inlineStr">
        <is>
          <t>Send DSO with Bill</t>
        </is>
      </c>
      <c r="N237" s="215" t="inlineStr">
        <is>
          <t>Pending</t>
        </is>
      </c>
    </row>
    <row r="238">
      <c r="A238" s="178" t="n">
        <v>237</v>
      </c>
      <c r="B238" s="178" t="inlineStr">
        <is>
          <t>Praveen</t>
        </is>
      </c>
      <c r="C238" s="179" t="n">
        <v>46130</v>
      </c>
      <c r="D238" s="180" t="inlineStr">
        <is>
          <t>C-SLG/0055/26-27</t>
        </is>
      </c>
      <c r="E238" s="180" t="inlineStr">
        <is>
          <t>T.V Gupta</t>
        </is>
      </c>
      <c r="F238" s="181" t="n">
        <v>3176</v>
      </c>
      <c r="G238" s="179" t="n">
        <v>46155</v>
      </c>
      <c r="H238" s="182" t="n">
        <v>0</v>
      </c>
      <c r="I238" s="180">
        <f>MAX(0,F238-H238)</f>
        <v/>
      </c>
      <c r="J238" s="180">
        <f>IF(G238="",0,MAX(0,TODAY()-G238))</f>
        <v/>
      </c>
      <c r="K238" s="180">
        <f>IF(I238&lt;=0,"Current",IF(J238&lt;=30,"0-30 Days",IF(J238&lt;=60,"31-60 Days",IF(J238&lt;=90,"61-90 Days","90+ Days"))))</f>
        <v/>
      </c>
      <c r="L238" s="180">
        <f>IF(I238&lt;=0,"-",IF(J238&lt;=30,"Low",IF(J238&lt;=60,"Low-Medium",IF(J238&lt;=90,"Medium","HIGH RISK"))))</f>
        <v/>
      </c>
      <c r="M238" s="180" t="inlineStr"/>
      <c r="N238" s="180" t="inlineStr">
        <is>
          <t>Pending</t>
        </is>
      </c>
    </row>
    <row r="239">
      <c r="A239" s="198" t="n">
        <v>238</v>
      </c>
      <c r="B239" s="198" t="inlineStr">
        <is>
          <t>Praveen</t>
        </is>
      </c>
      <c r="C239" s="199" t="n">
        <v>46134</v>
      </c>
      <c r="D239" s="200" t="inlineStr">
        <is>
          <t>C-SLG/0063/26-27</t>
        </is>
      </c>
      <c r="E239" s="200" t="inlineStr">
        <is>
          <t>United Paper &amp; Stationery</t>
        </is>
      </c>
      <c r="F239" s="201" t="n">
        <v>458</v>
      </c>
      <c r="G239" s="199" t="n">
        <v>46159</v>
      </c>
      <c r="H239" s="202" t="n">
        <v>0</v>
      </c>
      <c r="I239" s="200">
        <f>MAX(0,F239-H239)</f>
        <v/>
      </c>
      <c r="J239" s="200">
        <f>IF(G239="",0,MAX(0,TODAY()-G239))</f>
        <v/>
      </c>
      <c r="K239" s="200">
        <f>IF(I239&lt;=0,"Current",IF(J239&lt;=30,"0-30 Days",IF(J239&lt;=60,"31-60 Days",IF(J239&lt;=90,"61-90 Days","90+ Days"))))</f>
        <v/>
      </c>
      <c r="L239" s="200">
        <f>IF(I239&lt;=0,"-",IF(J239&lt;=30,"Low",IF(J239&lt;=60,"Low-Medium",IF(J239&lt;=90,"Medium","HIGH RISK"))))</f>
        <v/>
      </c>
      <c r="M239" s="200" t="inlineStr"/>
      <c r="N239" s="200" t="inlineStr">
        <is>
          <t>Pending</t>
        </is>
      </c>
    </row>
    <row r="240">
      <c r="A240" s="188" t="n">
        <v>239</v>
      </c>
      <c r="B240" s="188" t="inlineStr">
        <is>
          <t>Praveen</t>
        </is>
      </c>
      <c r="C240" s="189" t="n">
        <v>45965</v>
      </c>
      <c r="D240" s="190" t="inlineStr">
        <is>
          <t>C-SLG/1597/25-26</t>
        </is>
      </c>
      <c r="E240" s="190" t="inlineStr">
        <is>
          <t>Universal Book Shop</t>
        </is>
      </c>
      <c r="F240" s="191" t="n">
        <v>9357</v>
      </c>
      <c r="G240" s="189" t="n">
        <v>45990</v>
      </c>
      <c r="H240" s="192" t="n">
        <v>0</v>
      </c>
      <c r="I240" s="190">
        <f>MAX(0,F240-H240)</f>
        <v/>
      </c>
      <c r="J240" s="190">
        <f>IF(G240="",0,MAX(0,TODAY()-G240))</f>
        <v/>
      </c>
      <c r="K240" s="190">
        <f>IF(I240&lt;=0,"Current",IF(J240&lt;=30,"0-30 Days",IF(J240&lt;=60,"31-60 Days",IF(J240&lt;=90,"61-90 Days","90+ Days"))))</f>
        <v/>
      </c>
      <c r="L240" s="190">
        <f>IF(I240&lt;=0,"-",IF(J240&lt;=30,"Low",IF(J240&lt;=60,"Low-Medium",IF(J240&lt;=90,"Medium","HIGH RISK"))))</f>
        <v/>
      </c>
      <c r="M240" s="190" t="inlineStr">
        <is>
          <t>He will Pay in 2 days</t>
        </is>
      </c>
      <c r="N240" s="190" t="inlineStr">
        <is>
          <t>Pending</t>
        </is>
      </c>
    </row>
    <row r="241">
      <c r="A241" s="183" t="n">
        <v>240</v>
      </c>
      <c r="B241" s="183" t="inlineStr">
        <is>
          <t>Praveen</t>
        </is>
      </c>
      <c r="C241" s="184" t="n">
        <v>46021</v>
      </c>
      <c r="D241" s="185" t="inlineStr">
        <is>
          <t>C-SLG/2013/25-26</t>
        </is>
      </c>
      <c r="E241" s="185" t="inlineStr">
        <is>
          <t>Universal Book Shop</t>
        </is>
      </c>
      <c r="F241" s="186" t="n">
        <v>643</v>
      </c>
      <c r="G241" s="184" t="n">
        <v>46046</v>
      </c>
      <c r="H241" s="187" t="n">
        <v>0</v>
      </c>
      <c r="I241" s="185">
        <f>MAX(0,F241-H241)</f>
        <v/>
      </c>
      <c r="J241" s="185">
        <f>IF(G241="",0,MAX(0,TODAY()-G241))</f>
        <v/>
      </c>
      <c r="K241" s="185">
        <f>IF(I241&lt;=0,"Current",IF(J241&lt;=30,"0-30 Days",IF(J241&lt;=60,"31-60 Days",IF(J241&lt;=90,"61-90 Days","90+ Days"))))</f>
        <v/>
      </c>
      <c r="L241" s="185">
        <f>IF(I241&lt;=0,"-",IF(J241&lt;=30,"Low",IF(J241&lt;=60,"Low-Medium",IF(J241&lt;=90,"Medium","HIGH RISK"))))</f>
        <v/>
      </c>
      <c r="M241" s="185" t="inlineStr"/>
      <c r="N241" s="185" t="inlineStr">
        <is>
          <t>Pending</t>
        </is>
      </c>
    </row>
    <row r="242">
      <c r="A242" s="218" t="n">
        <v>241</v>
      </c>
      <c r="B242" s="218" t="inlineStr">
        <is>
          <t>Praveen</t>
        </is>
      </c>
      <c r="C242" s="219" t="n">
        <v>46099</v>
      </c>
      <c r="D242" s="220" t="inlineStr">
        <is>
          <t>C-SLG/2408/25-26</t>
        </is>
      </c>
      <c r="E242" s="220" t="inlineStr">
        <is>
          <t>Vidya Book Poin't</t>
        </is>
      </c>
      <c r="F242" s="221" t="n">
        <v>12623</v>
      </c>
      <c r="G242" s="219" t="n">
        <v>46124</v>
      </c>
      <c r="H242" s="222" t="n">
        <v>0</v>
      </c>
      <c r="I242" s="220">
        <f>MAX(0,F242-H242)</f>
        <v/>
      </c>
      <c r="J242" s="220">
        <f>IF(G242="",0,MAX(0,TODAY()-G242))</f>
        <v/>
      </c>
      <c r="K242" s="220">
        <f>IF(I242&lt;=0,"Current",IF(J242&lt;=30,"0-30 Days",IF(J242&lt;=60,"31-60 Days",IF(J242&lt;=90,"61-90 Days","90+ Days"))))</f>
        <v/>
      </c>
      <c r="L242" s="220">
        <f>IF(I242&lt;=0,"-",IF(J242&lt;=30,"Low",IF(J242&lt;=60,"Low-Medium",IF(J242&lt;=90,"Medium","HIGH RISK"))))</f>
        <v/>
      </c>
      <c r="M242" s="220" t="inlineStr"/>
      <c r="N242" s="220" t="inlineStr">
        <is>
          <t>Pending</t>
        </is>
      </c>
    </row>
    <row r="243">
      <c r="A243" s="208" t="n">
        <v>242</v>
      </c>
      <c r="B243" s="208" t="inlineStr">
        <is>
          <t>Praveen</t>
        </is>
      </c>
      <c r="C243" s="209" t="n">
        <v>46059</v>
      </c>
      <c r="D243" s="210" t="inlineStr">
        <is>
          <t>C-SLG/2187/25-26</t>
        </is>
      </c>
      <c r="E243" s="210" t="inlineStr">
        <is>
          <t>Vidya Book Point(Vijaynagar Colony)</t>
        </is>
      </c>
      <c r="F243" s="211" t="n">
        <v>9634</v>
      </c>
      <c r="G243" s="209" t="n">
        <v>46084</v>
      </c>
      <c r="H243" s="212" t="n">
        <v>0</v>
      </c>
      <c r="I243" s="210">
        <f>MAX(0,F243-H243)</f>
        <v/>
      </c>
      <c r="J243" s="210">
        <f>IF(G243="",0,MAX(0,TODAY()-G243))</f>
        <v/>
      </c>
      <c r="K243" s="210">
        <f>IF(I243&lt;=0,"Current",IF(J243&lt;=30,"0-30 Days",IF(J243&lt;=60,"31-60 Days",IF(J243&lt;=90,"61-90 Days","90+ Days"))))</f>
        <v/>
      </c>
      <c r="L243" s="210">
        <f>IF(I243&lt;=0,"-",IF(J243&lt;=30,"Low",IF(J243&lt;=60,"Low-Medium",IF(J243&lt;=90,"Medium","HIGH RISK"))))</f>
        <v/>
      </c>
      <c r="M243" s="210" t="inlineStr">
        <is>
          <t>Send DSO with Bills</t>
        </is>
      </c>
      <c r="N243" s="210" t="inlineStr">
        <is>
          <t>Pending</t>
        </is>
      </c>
    </row>
    <row r="244">
      <c r="A244" s="218" t="n">
        <v>243</v>
      </c>
      <c r="B244" s="218" t="inlineStr">
        <is>
          <t>Praveen</t>
        </is>
      </c>
      <c r="C244" s="219" t="n">
        <v>46088</v>
      </c>
      <c r="D244" s="220" t="inlineStr">
        <is>
          <t>C-SLG/2345/25-26</t>
        </is>
      </c>
      <c r="E244" s="220" t="inlineStr">
        <is>
          <t>Vidya Book Point(Vijaynagar Colony)</t>
        </is>
      </c>
      <c r="F244" s="221" t="n">
        <v>4466</v>
      </c>
      <c r="G244" s="219" t="n">
        <v>46113</v>
      </c>
      <c r="H244" s="222" t="n">
        <v>0</v>
      </c>
      <c r="I244" s="220">
        <f>MAX(0,F244-H244)</f>
        <v/>
      </c>
      <c r="J244" s="220">
        <f>IF(G244="",0,MAX(0,TODAY()-G244))</f>
        <v/>
      </c>
      <c r="K244" s="220">
        <f>IF(I244&lt;=0,"Current",IF(J244&lt;=30,"0-30 Days",IF(J244&lt;=60,"31-60 Days",IF(J244&lt;=90,"61-90 Days","90+ Days"))))</f>
        <v/>
      </c>
      <c r="L244" s="220">
        <f>IF(I244&lt;=0,"-",IF(J244&lt;=30,"Low",IF(J244&lt;=60,"Low-Medium",IF(J244&lt;=90,"Medium","HIGH RISK"))))</f>
        <v/>
      </c>
      <c r="M244" s="220" t="inlineStr">
        <is>
          <t>Send DSO with Bills</t>
        </is>
      </c>
      <c r="N244" s="220" t="inlineStr">
        <is>
          <t>Pending</t>
        </is>
      </c>
    </row>
    <row r="245">
      <c r="A245" s="213" t="n">
        <v>244</v>
      </c>
      <c r="B245" s="213" t="inlineStr">
        <is>
          <t>Praveen</t>
        </is>
      </c>
      <c r="C245" s="214" t="n">
        <v>46084</v>
      </c>
      <c r="D245" s="215" t="inlineStr">
        <is>
          <t>C-SLG/2313/25-26</t>
        </is>
      </c>
      <c r="E245" s="215" t="inlineStr">
        <is>
          <t>VIDYA COLLECTION</t>
        </is>
      </c>
      <c r="F245" s="216" t="n">
        <v>6372</v>
      </c>
      <c r="G245" s="214" t="n">
        <v>46109</v>
      </c>
      <c r="H245" s="217" t="n">
        <v>0</v>
      </c>
      <c r="I245" s="215">
        <f>MAX(0,F245-H245)</f>
        <v/>
      </c>
      <c r="J245" s="215">
        <f>IF(G245="",0,MAX(0,TODAY()-G245))</f>
        <v/>
      </c>
      <c r="K245" s="215">
        <f>IF(I245&lt;=0,"Current",IF(J245&lt;=30,"0-30 Days",IF(J245&lt;=60,"31-60 Days",IF(J245&lt;=90,"61-90 Days","90+ Days"))))</f>
        <v/>
      </c>
      <c r="L245" s="215">
        <f>IF(I245&lt;=0,"-",IF(J245&lt;=30,"Low",IF(J245&lt;=60,"Low-Medium",IF(J245&lt;=90,"Medium","HIGH RISK"))))</f>
        <v/>
      </c>
      <c r="M245" s="215" t="inlineStr"/>
      <c r="N245" s="215" t="inlineStr">
        <is>
          <t>Pending</t>
        </is>
      </c>
    </row>
    <row r="246">
      <c r="A246" s="203" t="n">
        <v>245</v>
      </c>
      <c r="B246" s="203" t="inlineStr">
        <is>
          <t>Praveen</t>
        </is>
      </c>
      <c r="C246" s="204" t="n">
        <v>46070</v>
      </c>
      <c r="D246" s="205" t="inlineStr">
        <is>
          <t>C-SLG/2246/25-26</t>
        </is>
      </c>
      <c r="E246" s="205" t="inlineStr">
        <is>
          <t>Vidya Collection (New)</t>
        </is>
      </c>
      <c r="F246" s="206" t="n">
        <v>9276</v>
      </c>
      <c r="G246" s="204" t="n">
        <v>46095</v>
      </c>
      <c r="H246" s="207" t="n">
        <v>0</v>
      </c>
      <c r="I246" s="205">
        <f>MAX(0,F246-H246)</f>
        <v/>
      </c>
      <c r="J246" s="205">
        <f>IF(G246="",0,MAX(0,TODAY()-G246))</f>
        <v/>
      </c>
      <c r="K246" s="205">
        <f>IF(I246&lt;=0,"Current",IF(J246&lt;=30,"0-30 Days",IF(J246&lt;=60,"31-60 Days",IF(J246&lt;=90,"61-90 Days","90+ Days"))))</f>
        <v/>
      </c>
      <c r="L246" s="205">
        <f>IF(I246&lt;=0,"-",IF(J246&lt;=30,"Low",IF(J246&lt;=60,"Low-Medium",IF(J246&lt;=90,"Medium","HIGH RISK"))))</f>
        <v/>
      </c>
      <c r="M246" s="205" t="inlineStr"/>
      <c r="N246" s="205" t="inlineStr">
        <is>
          <t>Pending</t>
        </is>
      </c>
    </row>
    <row r="247">
      <c r="A247" s="208" t="n">
        <v>246</v>
      </c>
      <c r="B247" s="208" t="inlineStr">
        <is>
          <t>Praveen</t>
        </is>
      </c>
      <c r="C247" s="209" t="n">
        <v>46071</v>
      </c>
      <c r="D247" s="210" t="inlineStr">
        <is>
          <t>C-SLG/2254/25-26</t>
        </is>
      </c>
      <c r="E247" s="210" t="inlineStr">
        <is>
          <t>Vidya Collection (New)</t>
        </is>
      </c>
      <c r="F247" s="211" t="n">
        <v>1274</v>
      </c>
      <c r="G247" s="209" t="n">
        <v>46096</v>
      </c>
      <c r="H247" s="212" t="n">
        <v>0</v>
      </c>
      <c r="I247" s="210">
        <f>MAX(0,F247-H247)</f>
        <v/>
      </c>
      <c r="J247" s="210">
        <f>IF(G247="",0,MAX(0,TODAY()-G247))</f>
        <v/>
      </c>
      <c r="K247" s="210">
        <f>IF(I247&lt;=0,"Current",IF(J247&lt;=30,"0-30 Days",IF(J247&lt;=60,"31-60 Days",IF(J247&lt;=90,"61-90 Days","90+ Days"))))</f>
        <v/>
      </c>
      <c r="L247" s="210">
        <f>IF(I247&lt;=0,"-",IF(J247&lt;=30,"Low",IF(J247&lt;=60,"Low-Medium",IF(J247&lt;=90,"Medium","HIGH RISK"))))</f>
        <v/>
      </c>
      <c r="M247" s="210" t="inlineStr"/>
      <c r="N247" s="210" t="inlineStr">
        <is>
          <t>Pending</t>
        </is>
      </c>
    </row>
    <row r="248">
      <c r="A248" s="218" t="n">
        <v>247</v>
      </c>
      <c r="B248" s="218" t="inlineStr">
        <is>
          <t>Praveen</t>
        </is>
      </c>
      <c r="C248" s="219" t="n">
        <v>46084</v>
      </c>
      <c r="D248" s="220" t="inlineStr">
        <is>
          <t>C-SLG/2312/25-26</t>
        </is>
      </c>
      <c r="E248" s="220" t="inlineStr">
        <is>
          <t>Vidya Collection (New)</t>
        </is>
      </c>
      <c r="F248" s="221" t="n">
        <v>6712</v>
      </c>
      <c r="G248" s="219" t="n">
        <v>46109</v>
      </c>
      <c r="H248" s="222" t="n">
        <v>0</v>
      </c>
      <c r="I248" s="220">
        <f>MAX(0,F248-H248)</f>
        <v/>
      </c>
      <c r="J248" s="220">
        <f>IF(G248="",0,MAX(0,TODAY()-G248))</f>
        <v/>
      </c>
      <c r="K248" s="220">
        <f>IF(I248&lt;=0,"Current",IF(J248&lt;=30,"0-30 Days",IF(J248&lt;=60,"31-60 Days",IF(J248&lt;=90,"61-90 Days","90+ Days"))))</f>
        <v/>
      </c>
      <c r="L248" s="220">
        <f>IF(I248&lt;=0,"-",IF(J248&lt;=30,"Low",IF(J248&lt;=60,"Low-Medium",IF(J248&lt;=90,"Medium","HIGH RISK"))))</f>
        <v/>
      </c>
      <c r="M248" s="220" t="inlineStr"/>
      <c r="N248" s="220" t="inlineStr">
        <is>
          <t>Pending</t>
        </is>
      </c>
    </row>
    <row r="249">
      <c r="A249" s="183" t="n">
        <v>248</v>
      </c>
      <c r="B249" s="183" t="inlineStr">
        <is>
          <t>Praveen</t>
        </is>
      </c>
      <c r="C249" s="184" t="n">
        <v>46010</v>
      </c>
      <c r="D249" s="185" t="inlineStr">
        <is>
          <t>Bounce Charges-204</t>
        </is>
      </c>
      <c r="E249" s="185" t="inlineStr">
        <is>
          <t>VIJAYALAKSHMI ENTERPRISES</t>
        </is>
      </c>
      <c r="F249" s="186" t="n">
        <v>500</v>
      </c>
      <c r="G249" s="184" t="n">
        <v>46010</v>
      </c>
      <c r="H249" s="187" t="n">
        <v>0</v>
      </c>
      <c r="I249" s="185">
        <f>MAX(0,F249-H249)</f>
        <v/>
      </c>
      <c r="J249" s="185">
        <f>IF(G249="",0,MAX(0,TODAY()-G249))</f>
        <v/>
      </c>
      <c r="K249" s="185">
        <f>IF(I249&lt;=0,"Current",IF(J249&lt;=30,"0-30 Days",IF(J249&lt;=60,"31-60 Days",IF(J249&lt;=90,"61-90 Days","90+ Days"))))</f>
        <v/>
      </c>
      <c r="L249" s="185">
        <f>IF(I249&lt;=0,"-",IF(J249&lt;=30,"Low",IF(J249&lt;=60,"Low-Medium",IF(J249&lt;=90,"Medium","HIGH RISK"))))</f>
        <v/>
      </c>
      <c r="M249" s="185" t="inlineStr"/>
      <c r="N249" s="185" t="inlineStr">
        <is>
          <t>Pending</t>
        </is>
      </c>
    </row>
    <row r="250">
      <c r="A250" s="218" t="n">
        <v>249</v>
      </c>
      <c r="B250" s="218" t="inlineStr">
        <is>
          <t>Praveen</t>
        </is>
      </c>
      <c r="C250" s="219" t="n">
        <v>46098</v>
      </c>
      <c r="D250" s="220" t="inlineStr">
        <is>
          <t>C-SLG/2397/25-26</t>
        </is>
      </c>
      <c r="E250" s="220" t="inlineStr">
        <is>
          <t>WITTYSHOP INDIA</t>
        </is>
      </c>
      <c r="F250" s="221" t="n">
        <v>15868</v>
      </c>
      <c r="G250" s="219" t="n">
        <v>46123</v>
      </c>
      <c r="H250" s="222" t="n">
        <v>0</v>
      </c>
      <c r="I250" s="220">
        <f>MAX(0,F250-H250)</f>
        <v/>
      </c>
      <c r="J250" s="220">
        <f>IF(G250="",0,MAX(0,TODAY()-G250))</f>
        <v/>
      </c>
      <c r="K250" s="220">
        <f>IF(I250&lt;=0,"Current",IF(J250&lt;=30,"0-30 Days",IF(J250&lt;=60,"31-60 Days",IF(J250&lt;=90,"61-90 Days","90+ Days"))))</f>
        <v/>
      </c>
      <c r="L250" s="220">
        <f>IF(I250&lt;=0,"-",IF(J250&lt;=30,"Low",IF(J250&lt;=60,"Low-Medium",IF(J250&lt;=90,"Medium","HIGH RISK"))))</f>
        <v/>
      </c>
      <c r="M250" s="220" t="inlineStr"/>
      <c r="N250" s="220" t="inlineStr">
        <is>
          <t>Pending</t>
        </is>
      </c>
    </row>
    <row r="251">
      <c r="A251" s="183" t="n">
        <v>250</v>
      </c>
      <c r="B251" s="183" t="inlineStr">
        <is>
          <t>Praveen</t>
        </is>
      </c>
      <c r="C251" s="184" t="n">
        <v>46002</v>
      </c>
      <c r="D251" s="185" t="inlineStr">
        <is>
          <t>C-SLG/1879/25-26</t>
        </is>
      </c>
      <c r="E251" s="185" t="inlineStr">
        <is>
          <t>YADA LAXMAIAH BOOK SELLERS &amp; STATIONERY</t>
        </is>
      </c>
      <c r="F251" s="186" t="n">
        <v>5197</v>
      </c>
      <c r="G251" s="184" t="n">
        <v>46027</v>
      </c>
      <c r="H251" s="187" t="n">
        <v>0</v>
      </c>
      <c r="I251" s="185">
        <f>MAX(0,F251-H251)</f>
        <v/>
      </c>
      <c r="J251" s="185">
        <f>IF(G251="",0,MAX(0,TODAY()-G251))</f>
        <v/>
      </c>
      <c r="K251" s="185">
        <f>IF(I251&lt;=0,"Current",IF(J251&lt;=30,"0-30 Days",IF(J251&lt;=60,"31-60 Days",IF(J251&lt;=90,"61-90 Days","90+ Days"))))</f>
        <v/>
      </c>
      <c r="L251" s="185">
        <f>IF(I251&lt;=0,"-",IF(J251&lt;=30,"Low",IF(J251&lt;=60,"Low-Medium",IF(J251&lt;=90,"Medium","HIGH RISK"))))</f>
        <v/>
      </c>
      <c r="M251" s="185" t="inlineStr">
        <is>
          <t>Number Busy</t>
        </is>
      </c>
      <c r="N251" s="185" t="inlineStr">
        <is>
          <t>Pending</t>
        </is>
      </c>
    </row>
    <row r="252">
      <c r="A252" s="178" t="n">
        <v>251</v>
      </c>
      <c r="B252" s="178" t="inlineStr">
        <is>
          <t>Praveen</t>
        </is>
      </c>
      <c r="C252" s="179" t="inlineStr">
        <is>
          <t>2026-05-19</t>
        </is>
      </c>
      <c r="D252" s="180" t="inlineStr">
        <is>
          <t>C-SLG/0145/26-27</t>
        </is>
      </c>
      <c r="E252" s="180" t="inlineStr">
        <is>
          <t>CENTRAL WATCH CO.</t>
        </is>
      </c>
      <c r="F252" s="181" t="n">
        <v>6940</v>
      </c>
      <c r="G252" s="179" t="inlineStr">
        <is>
          <t>2026-06-13</t>
        </is>
      </c>
      <c r="H252" s="182" t="n">
        <v>0</v>
      </c>
      <c r="I252" s="180">
        <f>MAX(0,F252-H252)</f>
        <v/>
      </c>
      <c r="J252" s="180">
        <f>IF(G252="",0,MAX(0,TODAY()-G252))</f>
        <v/>
      </c>
      <c r="K252" s="180">
        <f>IF(I252&lt;=0,"Current",IF(J252&lt;=30,"0-30 Days",IF(J252&lt;=60,"31-60 Days",IF(J252&lt;=90,"61-90 Days","90+ Days"))))</f>
        <v/>
      </c>
      <c r="L252" s="180">
        <f>IF(I252&lt;=0,"-",IF(J252&lt;=30,"Low",IF(J252&lt;=60,"Low-Medium",IF(J252&lt;=90,"Medium","HIGH RISK"))))</f>
        <v/>
      </c>
      <c r="M252" s="180" t="inlineStr"/>
      <c r="N252" s="180" t="inlineStr">
        <is>
          <t>Pending</t>
        </is>
      </c>
    </row>
    <row r="253">
      <c r="A253" s="198" t="n">
        <v>252</v>
      </c>
      <c r="B253" s="198" t="inlineStr">
        <is>
          <t>Praveen</t>
        </is>
      </c>
      <c r="C253" s="199" t="inlineStr">
        <is>
          <t>2026-04-29</t>
        </is>
      </c>
      <c r="D253" s="200" t="inlineStr">
        <is>
          <t>C-SLG/0078/26-27</t>
        </is>
      </c>
      <c r="E253" s="200" t="inlineStr">
        <is>
          <t>Sarita Agencies</t>
        </is>
      </c>
      <c r="F253" s="201" t="n">
        <v>1779</v>
      </c>
      <c r="G253" s="199" t="inlineStr">
        <is>
          <t>2026-05-24</t>
        </is>
      </c>
      <c r="H253" s="202" t="n">
        <v>0</v>
      </c>
      <c r="I253" s="200">
        <f>MAX(0,F253-H253)</f>
        <v/>
      </c>
      <c r="J253" s="200">
        <f>IF(G253="",0,MAX(0,TODAY()-G253))</f>
        <v/>
      </c>
      <c r="K253" s="200">
        <f>IF(I253&lt;=0,"Current",IF(J253&lt;=30,"0-30 Days",IF(J253&lt;=60,"31-60 Days",IF(J253&lt;=90,"61-90 Days","90+ Days"))))</f>
        <v/>
      </c>
      <c r="L253" s="200">
        <f>IF(I253&lt;=0,"-",IF(J253&lt;=30,"Low",IF(J253&lt;=60,"Low-Medium",IF(J253&lt;=90,"Medium","HIGH RISK"))))</f>
        <v/>
      </c>
      <c r="M253" s="200" t="inlineStr"/>
      <c r="N253" s="200" t="inlineStr">
        <is>
          <t>Pending</t>
        </is>
      </c>
    </row>
    <row r="254">
      <c r="A254" s="178" t="n">
        <v>253</v>
      </c>
      <c r="B254" s="178" t="inlineStr">
        <is>
          <t>Praveen</t>
        </is>
      </c>
      <c r="C254" s="179" t="inlineStr">
        <is>
          <t>2026-04-29</t>
        </is>
      </c>
      <c r="D254" s="180" t="inlineStr">
        <is>
          <t>C-SLG/0074/26-27</t>
        </is>
      </c>
      <c r="E254" s="180" t="inlineStr">
        <is>
          <t>Sharadha Book Point</t>
        </is>
      </c>
      <c r="F254" s="181" t="n">
        <v>16319</v>
      </c>
      <c r="G254" s="179" t="inlineStr">
        <is>
          <t>2026-05-24</t>
        </is>
      </c>
      <c r="H254" s="182" t="n">
        <v>0</v>
      </c>
      <c r="I254" s="180">
        <f>MAX(0,F254-H254)</f>
        <v/>
      </c>
      <c r="J254" s="180">
        <f>IF(G254="",0,MAX(0,TODAY()-G254))</f>
        <v/>
      </c>
      <c r="K254" s="180">
        <f>IF(I254&lt;=0,"Current",IF(J254&lt;=30,"0-30 Days",IF(J254&lt;=60,"31-60 Days",IF(J254&lt;=90,"61-90 Days","90+ Days"))))</f>
        <v/>
      </c>
      <c r="L254" s="180">
        <f>IF(I254&lt;=0,"-",IF(J254&lt;=30,"Low",IF(J254&lt;=60,"Low-Medium",IF(J254&lt;=90,"Medium","HIGH RISK"))))</f>
        <v/>
      </c>
      <c r="M254" s="180" t="inlineStr"/>
      <c r="N254" s="180" t="inlineStr">
        <is>
          <t>Pending</t>
        </is>
      </c>
    </row>
    <row r="255">
      <c r="A255" s="198" t="n">
        <v>254</v>
      </c>
      <c r="B255" s="198" t="inlineStr">
        <is>
          <t>Praveen</t>
        </is>
      </c>
      <c r="C255" s="199" t="inlineStr">
        <is>
          <t>2026-04-29</t>
        </is>
      </c>
      <c r="D255" s="200" t="inlineStr">
        <is>
          <t>C-SLG/0073/26-27</t>
        </is>
      </c>
      <c r="E255" s="200" t="inlineStr">
        <is>
          <t>SV. AUGUST 15TH</t>
        </is>
      </c>
      <c r="F255" s="201" t="n">
        <v>16478</v>
      </c>
      <c r="G255" s="199" t="inlineStr">
        <is>
          <t>2026-05-24</t>
        </is>
      </c>
      <c r="H255" s="202" t="n">
        <v>0</v>
      </c>
      <c r="I255" s="200">
        <f>MAX(0,F255-H255)</f>
        <v/>
      </c>
      <c r="J255" s="200">
        <f>IF(G255="",0,MAX(0,TODAY()-G255))</f>
        <v/>
      </c>
      <c r="K255" s="200">
        <f>IF(I255&lt;=0,"Current",IF(J255&lt;=30,"0-30 Days",IF(J255&lt;=60,"31-60 Days",IF(J255&lt;=90,"61-90 Days","90+ Days"))))</f>
        <v/>
      </c>
      <c r="L255" s="200">
        <f>IF(I255&lt;=0,"-",IF(J255&lt;=30,"Low",IF(J255&lt;=60,"Low-Medium",IF(J255&lt;=90,"Medium","HIGH RISK"))))</f>
        <v/>
      </c>
      <c r="M255" s="200" t="inlineStr"/>
      <c r="N255" s="200" t="inlineStr">
        <is>
          <t>Pending</t>
        </is>
      </c>
    </row>
    <row r="256">
      <c r="A256" s="178" t="n">
        <v>255</v>
      </c>
      <c r="B256" s="178" t="inlineStr">
        <is>
          <t>Praveen</t>
        </is>
      </c>
      <c r="C256" s="179" t="inlineStr">
        <is>
          <t>2026-05-13</t>
        </is>
      </c>
      <c r="D256" s="180" t="inlineStr">
        <is>
          <t>C-SLG/0119/26-27</t>
        </is>
      </c>
      <c r="E256" s="180" t="inlineStr">
        <is>
          <t>VENUS WATCH AGENCIES</t>
        </is>
      </c>
      <c r="F256" s="181" t="n">
        <v>18690</v>
      </c>
      <c r="G256" s="179" t="inlineStr">
        <is>
          <t>2026-06-07</t>
        </is>
      </c>
      <c r="H256" s="182" t="n">
        <v>0</v>
      </c>
      <c r="I256" s="180">
        <f>MAX(0,F256-H256)</f>
        <v/>
      </c>
      <c r="J256" s="180">
        <f>IF(G256="",0,MAX(0,TODAY()-G256))</f>
        <v/>
      </c>
      <c r="K256" s="180">
        <f>IF(I256&lt;=0,"Current",IF(J256&lt;=30,"0-30 Days",IF(J256&lt;=60,"31-60 Days",IF(J256&lt;=90,"61-90 Days","90+ Days"))))</f>
        <v/>
      </c>
      <c r="L256" s="180">
        <f>IF(I256&lt;=0,"-",IF(J256&lt;=30,"Low",IF(J256&lt;=60,"Low-Medium",IF(J256&lt;=90,"Medium","HIGH RISK"))))</f>
        <v/>
      </c>
      <c r="M256" s="180" t="inlineStr"/>
      <c r="N256" s="180" t="inlineStr">
        <is>
          <t>Pending</t>
        </is>
      </c>
    </row>
    <row r="257">
      <c r="A257" s="198" t="n">
        <v>256</v>
      </c>
      <c r="B257" s="198" t="inlineStr">
        <is>
          <t>Praveen</t>
        </is>
      </c>
      <c r="C257" s="199" t="inlineStr">
        <is>
          <t>2026-05-21</t>
        </is>
      </c>
      <c r="D257" s="200" t="inlineStr">
        <is>
          <t>C-SLG/0156/26-27</t>
        </is>
      </c>
      <c r="E257" s="200" t="inlineStr">
        <is>
          <t>VENUS WATCH AGENCIES</t>
        </is>
      </c>
      <c r="F257" s="201" t="n">
        <v>6641</v>
      </c>
      <c r="G257" s="199" t="inlineStr">
        <is>
          <t>2026-06-15</t>
        </is>
      </c>
      <c r="H257" s="202" t="n">
        <v>0</v>
      </c>
      <c r="I257" s="200">
        <f>MAX(0,F257-H257)</f>
        <v/>
      </c>
      <c r="J257" s="200">
        <f>IF(G257="",0,MAX(0,TODAY()-G257))</f>
        <v/>
      </c>
      <c r="K257" s="200">
        <f>IF(I257&lt;=0,"Current",IF(J257&lt;=30,"0-30 Days",IF(J257&lt;=60,"31-60 Days",IF(J257&lt;=90,"61-90 Days","90+ Days"))))</f>
        <v/>
      </c>
      <c r="L257" s="200">
        <f>IF(I257&lt;=0,"-",IF(J257&lt;=30,"Low",IF(J257&lt;=60,"Low-Medium",IF(J257&lt;=90,"Medium","HIGH RISK"))))</f>
        <v/>
      </c>
      <c r="M257" s="200" t="inlineStr"/>
      <c r="N257" s="200" t="inlineStr">
        <is>
          <t>Pending</t>
        </is>
      </c>
    </row>
    <row r="258">
      <c r="A258" s="178" t="n">
        <v>257</v>
      </c>
      <c r="B258" s="178" t="inlineStr">
        <is>
          <t>Praveen</t>
        </is>
      </c>
      <c r="C258" s="179" t="inlineStr">
        <is>
          <t>2026-05-19</t>
        </is>
      </c>
      <c r="D258" s="180" t="inlineStr">
        <is>
          <t>C-SLG/0144/26-27</t>
        </is>
      </c>
      <c r="E258" s="180" t="inlineStr">
        <is>
          <t>VENUS WATCH AGENCIES</t>
        </is>
      </c>
      <c r="F258" s="181" t="n">
        <v>1270</v>
      </c>
      <c r="G258" s="179" t="inlineStr">
        <is>
          <t>2026-06-13</t>
        </is>
      </c>
      <c r="H258" s="182" t="n">
        <v>0</v>
      </c>
      <c r="I258" s="180">
        <f>MAX(0,F258-H258)</f>
        <v/>
      </c>
      <c r="J258" s="180">
        <f>IF(G258="",0,MAX(0,TODAY()-G258))</f>
        <v/>
      </c>
      <c r="K258" s="180">
        <f>IF(I258&lt;=0,"Current",IF(J258&lt;=30,"0-30 Days",IF(J258&lt;=60,"31-60 Days",IF(J258&lt;=90,"61-90 Days","90+ Days"))))</f>
        <v/>
      </c>
      <c r="L258" s="180">
        <f>IF(I258&lt;=0,"-",IF(J258&lt;=30,"Low",IF(J258&lt;=60,"Low-Medium",IF(J258&lt;=90,"Medium","HIGH RISK"))))</f>
        <v/>
      </c>
      <c r="M258" s="180" t="inlineStr"/>
      <c r="N258" s="180" t="inlineStr">
        <is>
          <t>Pending</t>
        </is>
      </c>
    </row>
    <row r="259">
      <c r="A259" s="198" t="n">
        <v>258</v>
      </c>
      <c r="B259" s="198" t="inlineStr">
        <is>
          <t>Praveen</t>
        </is>
      </c>
      <c r="C259" s="199" t="inlineStr">
        <is>
          <t>2026-05-21</t>
        </is>
      </c>
      <c r="D259" s="200" t="inlineStr">
        <is>
          <t>C-SLG/0154/26-27</t>
        </is>
      </c>
      <c r="E259" s="200" t="inlineStr">
        <is>
          <t>VENUS WATCH AGENCIES</t>
        </is>
      </c>
      <c r="F259" s="201" t="n">
        <v>3176</v>
      </c>
      <c r="G259" s="199" t="inlineStr">
        <is>
          <t>2026-06-15</t>
        </is>
      </c>
      <c r="H259" s="202" t="n">
        <v>0</v>
      </c>
      <c r="I259" s="200">
        <f>MAX(0,F259-H259)</f>
        <v/>
      </c>
      <c r="J259" s="200">
        <f>IF(G259="",0,MAX(0,TODAY()-G259))</f>
        <v/>
      </c>
      <c r="K259" s="200">
        <f>IF(I259&lt;=0,"Current",IF(J259&lt;=30,"0-30 Days",IF(J259&lt;=60,"31-60 Days",IF(J259&lt;=90,"61-90 Days","90+ Days"))))</f>
        <v/>
      </c>
      <c r="L259" s="200">
        <f>IF(I259&lt;=0,"-",IF(J259&lt;=30,"Low",IF(J259&lt;=60,"Low-Medium",IF(J259&lt;=90,"Medium","HIGH RISK"))))</f>
        <v/>
      </c>
      <c r="M259" s="200" t="inlineStr"/>
      <c r="N259" s="200" t="inlineStr">
        <is>
          <t>Pending</t>
        </is>
      </c>
    </row>
    <row r="260">
      <c r="A260" s="178" t="n">
        <v>259</v>
      </c>
      <c r="B260" s="178" t="inlineStr">
        <is>
          <t>Praveen</t>
        </is>
      </c>
      <c r="C260" s="179" t="inlineStr">
        <is>
          <t>2026-05-19</t>
        </is>
      </c>
      <c r="D260" s="180" t="inlineStr">
        <is>
          <t>C-SLG/0147/26-27</t>
        </is>
      </c>
      <c r="E260" s="180" t="inlineStr">
        <is>
          <t>VENUS WATCH AGENCIES</t>
        </is>
      </c>
      <c r="F260" s="181" t="n">
        <v>16274</v>
      </c>
      <c r="G260" s="179" t="inlineStr">
        <is>
          <t>2026-06-13</t>
        </is>
      </c>
      <c r="H260" s="182" t="n">
        <v>0</v>
      </c>
      <c r="I260" s="180">
        <f>MAX(0,F260-H260)</f>
        <v/>
      </c>
      <c r="J260" s="180">
        <f>IF(G260="",0,MAX(0,TODAY()-G260))</f>
        <v/>
      </c>
      <c r="K260" s="180">
        <f>IF(I260&lt;=0,"Current",IF(J260&lt;=30,"0-30 Days",IF(J260&lt;=60,"31-60 Days",IF(J260&lt;=90,"61-90 Days","90+ Days"))))</f>
        <v/>
      </c>
      <c r="L260" s="180">
        <f>IF(I260&lt;=0,"-",IF(J260&lt;=30,"Low",IF(J260&lt;=60,"Low-Medium",IF(J260&lt;=90,"Medium","HIGH RISK"))))</f>
        <v/>
      </c>
      <c r="M260" s="180" t="inlineStr"/>
      <c r="N260" s="180" t="inlineStr">
        <is>
          <t>Pending</t>
        </is>
      </c>
    </row>
    <row r="261">
      <c r="A261" s="198" t="n">
        <v>260</v>
      </c>
      <c r="B261" s="198" t="inlineStr">
        <is>
          <t>Praveen</t>
        </is>
      </c>
      <c r="C261" s="199" t="n">
        <v>46141</v>
      </c>
      <c r="D261" s="200" t="inlineStr">
        <is>
          <t>C-SLG/0076/26-27</t>
        </is>
      </c>
      <c r="E261" s="200" t="inlineStr">
        <is>
          <t>Lakshmi Bhavani Stationary</t>
        </is>
      </c>
      <c r="F261" s="201" t="n">
        <v>4119</v>
      </c>
      <c r="G261" s="199" t="n">
        <v>46166</v>
      </c>
      <c r="H261" s="202" t="n">
        <v>0</v>
      </c>
      <c r="I261" s="200">
        <f>MAX(0,F261-H261)</f>
        <v/>
      </c>
      <c r="J261" s="200">
        <f>IF(G261="",0,MAX(0,TODAY()-G261))</f>
        <v/>
      </c>
      <c r="K261" s="200">
        <f>IF(I261&lt;=0,"Current",IF(J261&lt;=30,"0-30 Days",IF(J261&lt;=60,"31-60 Days",IF(J261&lt;=90,"61-90 Days","90+ Days"))))</f>
        <v/>
      </c>
      <c r="L261" s="200">
        <f>IF(I261&lt;=0,"-",IF(J261&lt;=30,"Low",IF(J261&lt;=60,"Low-Medium",IF(J261&lt;=90,"Medium","HIGH RISK"))))</f>
        <v/>
      </c>
      <c r="M261" s="200" t="inlineStr"/>
      <c r="N261" s="200" t="inlineStr">
        <is>
          <t>Pending</t>
        </is>
      </c>
    </row>
    <row r="262">
      <c r="A262" s="193" t="n">
        <v>261</v>
      </c>
      <c r="B262" s="193" t="inlineStr">
        <is>
          <t>Praveen</t>
        </is>
      </c>
      <c r="C262" s="194" t="n">
        <v>46151</v>
      </c>
      <c r="D262" s="195" t="inlineStr">
        <is>
          <t>C-SLG/0110/26-27</t>
        </is>
      </c>
      <c r="E262" s="195" t="inlineStr">
        <is>
          <t>POOJA STATIONERY SPORTS &amp; GIFTS</t>
        </is>
      </c>
      <c r="F262" s="196" t="n">
        <v>4427</v>
      </c>
      <c r="G262" s="194" t="n">
        <v>46176</v>
      </c>
      <c r="H262" s="197" t="n">
        <v>0</v>
      </c>
      <c r="I262" s="195">
        <f>MAX(0,F262-H262)</f>
        <v/>
      </c>
      <c r="J262" s="195">
        <f>IF(G262="",0,MAX(0,TODAY()-G262))</f>
        <v/>
      </c>
      <c r="K262" s="195">
        <f>IF(I262&lt;=0,"Current",IF(J262&lt;=30,"0-30 Days",IF(J262&lt;=60,"31-60 Days",IF(J262&lt;=90,"61-90 Days","90+ Days"))))</f>
        <v/>
      </c>
      <c r="L262" s="195">
        <f>IF(I262&lt;=0,"-",IF(J262&lt;=30,"Low",IF(J262&lt;=60,"Low-Medium",IF(J262&lt;=90,"Medium","HIGH RISK"))))</f>
        <v/>
      </c>
      <c r="M262" s="195" t="inlineStr"/>
      <c r="N262" s="195" t="inlineStr">
        <is>
          <t>Pending</t>
        </is>
      </c>
    </row>
    <row r="263">
      <c r="A263" s="198" t="n">
        <v>262</v>
      </c>
      <c r="B263" s="198" t="inlineStr">
        <is>
          <t>Praveen</t>
        </is>
      </c>
      <c r="C263" s="199" t="n">
        <v>46141</v>
      </c>
      <c r="D263" s="200" t="inlineStr">
        <is>
          <t>C-SLG/0075/26-27</t>
        </is>
      </c>
      <c r="E263" s="200" t="inlineStr">
        <is>
          <t>RAJ KUMAR STATIONERY</t>
        </is>
      </c>
      <c r="F263" s="201" t="n">
        <v>1963</v>
      </c>
      <c r="G263" s="199" t="n">
        <v>46166</v>
      </c>
      <c r="H263" s="202" t="n">
        <v>0</v>
      </c>
      <c r="I263" s="200">
        <f>MAX(0,F263-H263)</f>
        <v/>
      </c>
      <c r="J263" s="200">
        <f>IF(G263="",0,MAX(0,TODAY()-G263))</f>
        <v/>
      </c>
      <c r="K263" s="200">
        <f>IF(I263&lt;=0,"Current",IF(J263&lt;=30,"0-30 Days",IF(J263&lt;=60,"31-60 Days",IF(J263&lt;=90,"61-90 Days","90+ Days"))))</f>
        <v/>
      </c>
      <c r="L263" s="200">
        <f>IF(I263&lt;=0,"-",IF(J263&lt;=30,"Low",IF(J263&lt;=60,"Low-Medium",IF(J263&lt;=90,"Medium","HIGH RISK"))))</f>
        <v/>
      </c>
      <c r="M263" s="200" t="inlineStr"/>
      <c r="N263" s="200" t="inlineStr">
        <is>
          <t>Pending</t>
        </is>
      </c>
    </row>
    <row r="264">
      <c r="A264" s="178" t="n">
        <v>263</v>
      </c>
      <c r="B264" s="178" t="inlineStr">
        <is>
          <t>Praveen</t>
        </is>
      </c>
      <c r="C264" s="179" t="n">
        <v>46142</v>
      </c>
      <c r="D264" s="180" t="inlineStr">
        <is>
          <t>C-SLG/0081/26-27</t>
        </is>
      </c>
      <c r="E264" s="180" t="inlineStr">
        <is>
          <t>SM COLLECTIONS(Universal)</t>
        </is>
      </c>
      <c r="F264" s="181" t="n">
        <v>12200</v>
      </c>
      <c r="G264" s="179" t="n">
        <v>46167</v>
      </c>
      <c r="H264" s="182" t="n">
        <v>0</v>
      </c>
      <c r="I264" s="180">
        <f>MAX(0,F264-H264)</f>
        <v/>
      </c>
      <c r="J264" s="180">
        <f>IF(G264="",0,MAX(0,TODAY()-G264))</f>
        <v/>
      </c>
      <c r="K264" s="180">
        <f>IF(I264&lt;=0,"Current",IF(J264&lt;=30,"0-30 Days",IF(J264&lt;=60,"31-60 Days",IF(J264&lt;=90,"61-90 Days","90+ Days"))))</f>
        <v/>
      </c>
      <c r="L264" s="180">
        <f>IF(I264&lt;=0,"-",IF(J264&lt;=30,"Low",IF(J264&lt;=60,"Low-Medium",IF(J264&lt;=90,"Medium","HIGH RISK"))))</f>
        <v/>
      </c>
      <c r="M264" s="180" t="inlineStr"/>
      <c r="N264" s="180" t="inlineStr">
        <is>
          <t>Pending</t>
        </is>
      </c>
    </row>
    <row r="265">
      <c r="A265" s="198" t="n">
        <v>264</v>
      </c>
      <c r="B265" s="198" t="inlineStr">
        <is>
          <t>Vinod</t>
        </is>
      </c>
      <c r="C265" s="199" t="n">
        <v>46125</v>
      </c>
      <c r="D265" s="200" t="inlineStr">
        <is>
          <t>C-SLG/0033/26-27</t>
        </is>
      </c>
      <c r="E265" s="200" t="inlineStr">
        <is>
          <t>Apple Gift Gallery</t>
        </is>
      </c>
      <c r="F265" s="201" t="n">
        <v>5452</v>
      </c>
      <c r="G265" s="199" t="n">
        <v>46150</v>
      </c>
      <c r="H265" s="202" t="n">
        <v>0</v>
      </c>
      <c r="I265" s="200">
        <f>MAX(0,F265-H265)</f>
        <v/>
      </c>
      <c r="J265" s="200">
        <f>IF(G265="",0,MAX(0,TODAY()-G265))</f>
        <v/>
      </c>
      <c r="K265" s="200">
        <f>IF(I265&lt;=0,"Current",IF(J265&lt;=30,"0-30 Days",IF(J265&lt;=60,"31-60 Days",IF(J265&lt;=90,"61-90 Days","90+ Days"))))</f>
        <v/>
      </c>
      <c r="L265" s="200">
        <f>IF(I265&lt;=0,"-",IF(J265&lt;=30,"Low",IF(J265&lt;=60,"Low-Medium",IF(J265&lt;=90,"Medium","HIGH RISK"))))</f>
        <v/>
      </c>
      <c r="M265" s="200" t="inlineStr"/>
      <c r="N265" s="200" t="inlineStr">
        <is>
          <t>Pending</t>
        </is>
      </c>
    </row>
    <row r="266">
      <c r="A266" s="178" t="n">
        <v>265</v>
      </c>
      <c r="B266" s="178" t="inlineStr">
        <is>
          <t>Vinod</t>
        </is>
      </c>
      <c r="C266" s="179" t="n">
        <v>46133</v>
      </c>
      <c r="D266" s="180" t="inlineStr">
        <is>
          <t>C-SLG/0059/26-27</t>
        </is>
      </c>
      <c r="E266" s="180" t="inlineStr">
        <is>
          <t>Ashtar Enteprises</t>
        </is>
      </c>
      <c r="F266" s="181" t="n">
        <v>13436</v>
      </c>
      <c r="G266" s="179" t="n">
        <v>46158</v>
      </c>
      <c r="H266" s="182" t="n">
        <v>0</v>
      </c>
      <c r="I266" s="180">
        <f>MAX(0,F266-H266)</f>
        <v/>
      </c>
      <c r="J266" s="180">
        <f>IF(G266="",0,MAX(0,TODAY()-G266))</f>
        <v/>
      </c>
      <c r="K266" s="180">
        <f>IF(I266&lt;=0,"Current",IF(J266&lt;=30,"0-30 Days",IF(J266&lt;=60,"31-60 Days",IF(J266&lt;=90,"61-90 Days","90+ Days"))))</f>
        <v/>
      </c>
      <c r="L266" s="180">
        <f>IF(I266&lt;=0,"-",IF(J266&lt;=30,"Low",IF(J266&lt;=60,"Low-Medium",IF(J266&lt;=90,"Medium","HIGH RISK"))))</f>
        <v/>
      </c>
      <c r="M266" s="180" t="inlineStr"/>
      <c r="N266" s="180" t="inlineStr">
        <is>
          <t>Pending</t>
        </is>
      </c>
    </row>
    <row r="267">
      <c r="A267" s="213" t="n">
        <v>266</v>
      </c>
      <c r="B267" s="213" t="inlineStr">
        <is>
          <t>Vinod</t>
        </is>
      </c>
      <c r="C267" s="214" t="n">
        <v>46105</v>
      </c>
      <c r="D267" s="215" t="inlineStr">
        <is>
          <t>C-SLG/2435/25-26</t>
        </is>
      </c>
      <c r="E267" s="215" t="inlineStr">
        <is>
          <t>BSR EXIM</t>
        </is>
      </c>
      <c r="F267" s="216" t="n">
        <v>8720</v>
      </c>
      <c r="G267" s="214" t="n">
        <v>46130</v>
      </c>
      <c r="H267" s="217" t="n">
        <v>0</v>
      </c>
      <c r="I267" s="215">
        <f>MAX(0,F267-H267)</f>
        <v/>
      </c>
      <c r="J267" s="215">
        <f>IF(G267="",0,MAX(0,TODAY()-G267))</f>
        <v/>
      </c>
      <c r="K267" s="215">
        <f>IF(I267&lt;=0,"Current",IF(J267&lt;=30,"0-30 Days",IF(J267&lt;=60,"31-60 Days",IF(J267&lt;=90,"61-90 Days","90+ Days"))))</f>
        <v/>
      </c>
      <c r="L267" s="215">
        <f>IF(I267&lt;=0,"-",IF(J267&lt;=30,"Low",IF(J267&lt;=60,"Low-Medium",IF(J267&lt;=90,"Medium","HIGH RISK"))))</f>
        <v/>
      </c>
      <c r="M267" s="215" t="inlineStr"/>
      <c r="N267" s="215" t="inlineStr">
        <is>
          <t>Pending</t>
        </is>
      </c>
    </row>
    <row r="268">
      <c r="A268" s="178" t="n">
        <v>267</v>
      </c>
      <c r="B268" s="178" t="inlineStr">
        <is>
          <t>Vinod</t>
        </is>
      </c>
      <c r="C268" s="179" t="n">
        <v>46135</v>
      </c>
      <c r="D268" s="180" t="inlineStr">
        <is>
          <t>C-SLG/0064/26-27</t>
        </is>
      </c>
      <c r="E268" s="180" t="inlineStr">
        <is>
          <t>Gayathri Book Centre</t>
        </is>
      </c>
      <c r="F268" s="181" t="n">
        <v>2156</v>
      </c>
      <c r="G268" s="179" t="n">
        <v>46160</v>
      </c>
      <c r="H268" s="182" t="n">
        <v>0</v>
      </c>
      <c r="I268" s="180">
        <f>MAX(0,F268-H268)</f>
        <v/>
      </c>
      <c r="J268" s="180">
        <f>IF(G268="",0,MAX(0,TODAY()-G268))</f>
        <v/>
      </c>
      <c r="K268" s="180">
        <f>IF(I268&lt;=0,"Current",IF(J268&lt;=30,"0-30 Days",IF(J268&lt;=60,"31-60 Days",IF(J268&lt;=90,"61-90 Days","90+ Days"))))</f>
        <v/>
      </c>
      <c r="L268" s="180">
        <f>IF(I268&lt;=0,"-",IF(J268&lt;=30,"Low",IF(J268&lt;=60,"Low-Medium",IF(J268&lt;=90,"Medium","HIGH RISK"))))</f>
        <v/>
      </c>
      <c r="M268" s="180" t="inlineStr">
        <is>
          <t>Paid Online - Full Amount</t>
        </is>
      </c>
      <c r="N268" s="180" t="inlineStr">
        <is>
          <t>Pending</t>
        </is>
      </c>
    </row>
    <row r="269">
      <c r="A269" s="193" t="n">
        <v>268</v>
      </c>
      <c r="B269" s="193" t="inlineStr">
        <is>
          <t>Vinod</t>
        </is>
      </c>
      <c r="C269" s="194" t="n">
        <v>46151</v>
      </c>
      <c r="D269" s="195" t="inlineStr">
        <is>
          <t>C-SLG/0109/26-27</t>
        </is>
      </c>
      <c r="E269" s="195" t="inlineStr">
        <is>
          <t>Gayathri Book Centre</t>
        </is>
      </c>
      <c r="F269" s="196" t="n">
        <v>3708</v>
      </c>
      <c r="G269" s="194" t="n">
        <v>46176</v>
      </c>
      <c r="H269" s="197" t="n">
        <v>0</v>
      </c>
      <c r="I269" s="195">
        <f>MAX(0,F269-H269)</f>
        <v/>
      </c>
      <c r="J269" s="195">
        <f>IF(G269="",0,MAX(0,TODAY()-G269))</f>
        <v/>
      </c>
      <c r="K269" s="195">
        <f>IF(I269&lt;=0,"Current",IF(J269&lt;=30,"0-30 Days",IF(J269&lt;=60,"31-60 Days",IF(J269&lt;=90,"61-90 Days","90+ Days"))))</f>
        <v/>
      </c>
      <c r="L269" s="195">
        <f>IF(I269&lt;=0,"-",IF(J269&lt;=30,"Low",IF(J269&lt;=60,"Low-Medium",IF(J269&lt;=90,"Medium","HIGH RISK"))))</f>
        <v/>
      </c>
      <c r="M269" s="195" t="inlineStr"/>
      <c r="N269" s="195" t="inlineStr">
        <is>
          <t>Pending</t>
        </is>
      </c>
    </row>
    <row r="270">
      <c r="A270" s="218" t="n">
        <v>269</v>
      </c>
      <c r="B270" s="218" t="inlineStr">
        <is>
          <t>Vinod</t>
        </is>
      </c>
      <c r="C270" s="219" t="n">
        <v>46109</v>
      </c>
      <c r="D270" s="220" t="inlineStr">
        <is>
          <t>C-SLG/2471/25-26</t>
        </is>
      </c>
      <c r="E270" s="220" t="inlineStr">
        <is>
          <t>Himalaya Book Binding Works &amp; Stationery</t>
        </is>
      </c>
      <c r="F270" s="221" t="n">
        <v>10164</v>
      </c>
      <c r="G270" s="219" t="n">
        <v>46134</v>
      </c>
      <c r="H270" s="222" t="n">
        <v>0</v>
      </c>
      <c r="I270" s="220">
        <f>MAX(0,F270-H270)</f>
        <v/>
      </c>
      <c r="J270" s="220">
        <f>IF(G270="",0,MAX(0,TODAY()-G270))</f>
        <v/>
      </c>
      <c r="K270" s="220">
        <f>IF(I270&lt;=0,"Current",IF(J270&lt;=30,"0-30 Days",IF(J270&lt;=60,"31-60 Days",IF(J270&lt;=90,"61-90 Days","90+ Days"))))</f>
        <v/>
      </c>
      <c r="L270" s="220">
        <f>IF(I270&lt;=0,"-",IF(J270&lt;=30,"Low",IF(J270&lt;=60,"Low-Medium",IF(J270&lt;=90,"Medium","HIGH RISK"))))</f>
        <v/>
      </c>
      <c r="M270" s="220" t="inlineStr">
        <is>
          <t>Ringing Not Responding</t>
        </is>
      </c>
      <c r="N270" s="220" t="inlineStr">
        <is>
          <t>Pending</t>
        </is>
      </c>
    </row>
    <row r="271">
      <c r="A271" s="183" t="n">
        <v>270</v>
      </c>
      <c r="B271" s="183" t="inlineStr">
        <is>
          <t>Vinod</t>
        </is>
      </c>
      <c r="C271" s="184" t="n">
        <v>46051</v>
      </c>
      <c r="D271" s="185" t="inlineStr">
        <is>
          <t>C-SLG/2141/25-26</t>
        </is>
      </c>
      <c r="E271" s="185" t="inlineStr">
        <is>
          <t>ISLAMIA BOOK DEPOT</t>
        </is>
      </c>
      <c r="F271" s="186" t="n">
        <v>8136</v>
      </c>
      <c r="G271" s="184" t="n">
        <v>46076</v>
      </c>
      <c r="H271" s="187" t="n">
        <v>0</v>
      </c>
      <c r="I271" s="185">
        <f>MAX(0,F271-H271)</f>
        <v/>
      </c>
      <c r="J271" s="185">
        <f>IF(G271="",0,MAX(0,TODAY()-G271))</f>
        <v/>
      </c>
      <c r="K271" s="185">
        <f>IF(I271&lt;=0,"Current",IF(J271&lt;=30,"0-30 Days",IF(J271&lt;=60,"31-60 Days",IF(J271&lt;=90,"61-90 Days","90+ Days"))))</f>
        <v/>
      </c>
      <c r="L271" s="185">
        <f>IF(I271&lt;=0,"-",IF(J271&lt;=30,"Low",IF(J271&lt;=60,"Low-Medium",IF(J271&lt;=90,"Medium","HIGH RISK"))))</f>
        <v/>
      </c>
      <c r="M271" s="185" t="inlineStr">
        <is>
          <t>Pay Late (Market Down)</t>
        </is>
      </c>
      <c r="N271" s="185" t="inlineStr">
        <is>
          <t>Pending</t>
        </is>
      </c>
    </row>
    <row r="272">
      <c r="A272" s="188" t="n">
        <v>271</v>
      </c>
      <c r="B272" s="188" t="inlineStr">
        <is>
          <t>Vinod</t>
        </is>
      </c>
      <c r="C272" s="189" t="n">
        <v>46050</v>
      </c>
      <c r="D272" s="190" t="inlineStr">
        <is>
          <t>C-SLG/2123/25-26</t>
        </is>
      </c>
      <c r="E272" s="190" t="inlineStr">
        <is>
          <t>Jyothi Book Center</t>
        </is>
      </c>
      <c r="F272" s="191" t="n">
        <v>3000</v>
      </c>
      <c r="G272" s="189" t="n">
        <v>46075</v>
      </c>
      <c r="H272" s="192" t="n">
        <v>2600</v>
      </c>
      <c r="I272" s="190">
        <f>MAX(0,F272-H272)</f>
        <v/>
      </c>
      <c r="J272" s="190">
        <f>IF(G272="",0,MAX(0,TODAY()-G272))</f>
        <v/>
      </c>
      <c r="K272" s="190">
        <f>IF(I272&lt;=0,"Current",IF(J272&lt;=30,"0-30 Days",IF(J272&lt;=60,"31-60 Days",IF(J272&lt;=90,"61-90 Days","90+ Days"))))</f>
        <v/>
      </c>
      <c r="L272" s="190">
        <f>IF(I272&lt;=0,"-",IF(J272&lt;=30,"Low",IF(J272&lt;=60,"Low-Medium",IF(J272&lt;=90,"Medium","HIGH RISK"))))</f>
        <v/>
      </c>
      <c r="M272" s="190" t="inlineStr">
        <is>
          <t>Paid Online 2,600</t>
        </is>
      </c>
      <c r="N272" s="190" t="inlineStr">
        <is>
          <t>Pending</t>
        </is>
      </c>
    </row>
    <row r="273">
      <c r="A273" s="183" t="n">
        <v>272</v>
      </c>
      <c r="B273" s="183" t="inlineStr">
        <is>
          <t>Vinod</t>
        </is>
      </c>
      <c r="C273" s="184" t="n">
        <v>46027</v>
      </c>
      <c r="D273" s="185" t="inlineStr">
        <is>
          <t>C-SLG/2034/25-26</t>
        </is>
      </c>
      <c r="E273" s="185" t="inlineStr">
        <is>
          <t>KAMAL WATCH COMPANY PRIVATE LIMITED</t>
        </is>
      </c>
      <c r="F273" s="186" t="n">
        <v>13733</v>
      </c>
      <c r="G273" s="184" t="n">
        <v>46027</v>
      </c>
      <c r="H273" s="187" t="n">
        <v>0</v>
      </c>
      <c r="I273" s="185">
        <f>MAX(0,F273-H273)</f>
        <v/>
      </c>
      <c r="J273" s="185">
        <f>IF(G273="",0,MAX(0,TODAY()-G273))</f>
        <v/>
      </c>
      <c r="K273" s="185">
        <f>IF(I273&lt;=0,"Current",IF(J273&lt;=30,"0-30 Days",IF(J273&lt;=60,"31-60 Days",IF(J273&lt;=90,"61-90 Days","90+ Days"))))</f>
        <v/>
      </c>
      <c r="L273" s="185">
        <f>IF(I273&lt;=0,"-",IF(J273&lt;=30,"Low",IF(J273&lt;=60,"Low-Medium",IF(J273&lt;=90,"Medium","HIGH RISK"))))</f>
        <v/>
      </c>
      <c r="M273" s="185" t="inlineStr"/>
      <c r="N273" s="185" t="inlineStr">
        <is>
          <t>Pending</t>
        </is>
      </c>
    </row>
    <row r="274">
      <c r="A274" s="188" t="n">
        <v>273</v>
      </c>
      <c r="B274" s="188" t="inlineStr">
        <is>
          <t>Vinod</t>
        </is>
      </c>
      <c r="C274" s="189" t="n">
        <v>46027</v>
      </c>
      <c r="D274" s="190" t="inlineStr">
        <is>
          <t>C-SLG/2035/25-26</t>
        </is>
      </c>
      <c r="E274" s="190" t="inlineStr">
        <is>
          <t>KAMAL WATCH COMPANY PRIVATE LIMITED</t>
        </is>
      </c>
      <c r="F274" s="191" t="n">
        <v>13733</v>
      </c>
      <c r="G274" s="189" t="n">
        <v>46027</v>
      </c>
      <c r="H274" s="192" t="n">
        <v>0</v>
      </c>
      <c r="I274" s="190">
        <f>MAX(0,F274-H274)</f>
        <v/>
      </c>
      <c r="J274" s="190">
        <f>IF(G274="",0,MAX(0,TODAY()-G274))</f>
        <v/>
      </c>
      <c r="K274" s="190">
        <f>IF(I274&lt;=0,"Current",IF(J274&lt;=30,"0-30 Days",IF(J274&lt;=60,"31-60 Days",IF(J274&lt;=90,"61-90 Days","90+ Days"))))</f>
        <v/>
      </c>
      <c r="L274" s="190">
        <f>IF(I274&lt;=0,"-",IF(J274&lt;=30,"Low",IF(J274&lt;=60,"Low-Medium",IF(J274&lt;=90,"Medium","HIGH RISK"))))</f>
        <v/>
      </c>
      <c r="M274" s="190" t="inlineStr"/>
      <c r="N274" s="190" t="inlineStr">
        <is>
          <t>Pending</t>
        </is>
      </c>
    </row>
    <row r="275">
      <c r="A275" s="213" t="n">
        <v>274</v>
      </c>
      <c r="B275" s="213" t="inlineStr">
        <is>
          <t>Vinod</t>
        </is>
      </c>
      <c r="C275" s="214" t="n">
        <v>46107</v>
      </c>
      <c r="D275" s="215" t="inlineStr">
        <is>
          <t>C-SLG/2454/25-26</t>
        </is>
      </c>
      <c r="E275" s="215" t="inlineStr">
        <is>
          <t>KIRAN ENTERPRISES</t>
        </is>
      </c>
      <c r="F275" s="216" t="n">
        <v>100</v>
      </c>
      <c r="G275" s="214" t="n">
        <v>46132</v>
      </c>
      <c r="H275" s="217" t="n">
        <v>0</v>
      </c>
      <c r="I275" s="215">
        <f>MAX(0,F275-H275)</f>
        <v/>
      </c>
      <c r="J275" s="215">
        <f>IF(G275="",0,MAX(0,TODAY()-G275))</f>
        <v/>
      </c>
      <c r="K275" s="215">
        <f>IF(I275&lt;=0,"Current",IF(J275&lt;=30,"0-30 Days",IF(J275&lt;=60,"31-60 Days",IF(J275&lt;=90,"61-90 Days","90+ Days"))))</f>
        <v/>
      </c>
      <c r="L275" s="215">
        <f>IF(I275&lt;=0,"-",IF(J275&lt;=30,"Low",IF(J275&lt;=60,"Low-Medium",IF(J275&lt;=90,"Medium","HIGH RISK"))))</f>
        <v/>
      </c>
      <c r="M275" s="215" t="inlineStr">
        <is>
          <t>Number Not Avilable</t>
        </is>
      </c>
      <c r="N275" s="215" t="inlineStr">
        <is>
          <t>Pending</t>
        </is>
      </c>
    </row>
    <row r="276">
      <c r="A276" s="178" t="n">
        <v>275</v>
      </c>
      <c r="B276" s="178" t="inlineStr">
        <is>
          <t>Vinod</t>
        </is>
      </c>
      <c r="C276" s="179" t="n">
        <v>46136</v>
      </c>
      <c r="D276" s="180" t="inlineStr">
        <is>
          <t>C-SLG/0067/26-27</t>
        </is>
      </c>
      <c r="E276" s="180" t="inlineStr">
        <is>
          <t>Krishna Stationery ( LB Nagar)</t>
        </is>
      </c>
      <c r="F276" s="181" t="n">
        <v>2544</v>
      </c>
      <c r="G276" s="179" t="n">
        <v>46161</v>
      </c>
      <c r="H276" s="182" t="n">
        <v>0</v>
      </c>
      <c r="I276" s="180">
        <f>MAX(0,F276-H276)</f>
        <v/>
      </c>
      <c r="J276" s="180">
        <f>IF(G276="",0,MAX(0,TODAY()-G276))</f>
        <v/>
      </c>
      <c r="K276" s="180">
        <f>IF(I276&lt;=0,"Current",IF(J276&lt;=30,"0-30 Days",IF(J276&lt;=60,"31-60 Days",IF(J276&lt;=90,"61-90 Days","90+ Days"))))</f>
        <v/>
      </c>
      <c r="L276" s="180">
        <f>IF(I276&lt;=0,"-",IF(J276&lt;=30,"Low",IF(J276&lt;=60,"Low-Medium",IF(J276&lt;=90,"Medium","HIGH RISK"))))</f>
        <v/>
      </c>
      <c r="M276" s="180" t="inlineStr"/>
      <c r="N276" s="180" t="inlineStr">
        <is>
          <t>Pending</t>
        </is>
      </c>
    </row>
    <row r="277">
      <c r="A277" s="198" t="n">
        <v>276</v>
      </c>
      <c r="B277" s="198" t="inlineStr">
        <is>
          <t>Vinod</t>
        </is>
      </c>
      <c r="C277" s="199" t="n">
        <v>46127</v>
      </c>
      <c r="D277" s="200" t="inlineStr">
        <is>
          <t>C-SLG/0043/26-27</t>
        </is>
      </c>
      <c r="E277" s="200" t="inlineStr">
        <is>
          <t>MEGHA S.V STATIONERY</t>
        </is>
      </c>
      <c r="F277" s="201" t="n">
        <v>29883</v>
      </c>
      <c r="G277" s="199" t="n">
        <v>46152</v>
      </c>
      <c r="H277" s="202" t="n">
        <v>0</v>
      </c>
      <c r="I277" s="200">
        <f>MAX(0,F277-H277)</f>
        <v/>
      </c>
      <c r="J277" s="200">
        <f>IF(G277="",0,MAX(0,TODAY()-G277))</f>
        <v/>
      </c>
      <c r="K277" s="200">
        <f>IF(I277&lt;=0,"Current",IF(J277&lt;=30,"0-30 Days",IF(J277&lt;=60,"31-60 Days",IF(J277&lt;=90,"61-90 Days","90+ Days"))))</f>
        <v/>
      </c>
      <c r="L277" s="200">
        <f>IF(I277&lt;=0,"-",IF(J277&lt;=30,"Low",IF(J277&lt;=60,"Low-Medium",IF(J277&lt;=90,"Medium","HIGH RISK"))))</f>
        <v/>
      </c>
      <c r="M277" s="200" t="inlineStr"/>
      <c r="N277" s="200" t="inlineStr">
        <is>
          <t>Pending</t>
        </is>
      </c>
    </row>
    <row r="278">
      <c r="A278" s="188" t="n">
        <v>277</v>
      </c>
      <c r="B278" s="188" t="inlineStr">
        <is>
          <t>Vinod</t>
        </is>
      </c>
      <c r="C278" s="189" t="n">
        <v>45960</v>
      </c>
      <c r="D278" s="190" t="inlineStr">
        <is>
          <t>Bounce Charges-174</t>
        </is>
      </c>
      <c r="E278" s="190" t="inlineStr">
        <is>
          <t>M.M AGENCIES</t>
        </is>
      </c>
      <c r="F278" s="191" t="n">
        <v>500</v>
      </c>
      <c r="G278" s="189" t="n">
        <v>45985</v>
      </c>
      <c r="H278" s="192" t="n">
        <v>0</v>
      </c>
      <c r="I278" s="190">
        <f>MAX(0,F278-H278)</f>
        <v/>
      </c>
      <c r="J278" s="190">
        <f>IF(G278="",0,MAX(0,TODAY()-G278))</f>
        <v/>
      </c>
      <c r="K278" s="190">
        <f>IF(I278&lt;=0,"Current",IF(J278&lt;=30,"0-30 Days",IF(J278&lt;=60,"31-60 Days",IF(J278&lt;=90,"61-90 Days","90+ Days"))))</f>
        <v/>
      </c>
      <c r="L278" s="190">
        <f>IF(I278&lt;=0,"-",IF(J278&lt;=30,"Low",IF(J278&lt;=60,"Low-Medium",IF(J278&lt;=90,"Medium","HIGH RISK"))))</f>
        <v/>
      </c>
      <c r="M278" s="190" t="inlineStr"/>
      <c r="N278" s="190" t="inlineStr">
        <is>
          <t>Pending</t>
        </is>
      </c>
    </row>
    <row r="279">
      <c r="A279" s="213" t="n">
        <v>278</v>
      </c>
      <c r="B279" s="213" t="inlineStr">
        <is>
          <t>Vinod</t>
        </is>
      </c>
      <c r="C279" s="214" t="n">
        <v>46095</v>
      </c>
      <c r="D279" s="215" t="inlineStr">
        <is>
          <t>C-SLG/2382/25-26</t>
        </is>
      </c>
      <c r="E279" s="215" t="inlineStr">
        <is>
          <t>M.M AGENCIES</t>
        </is>
      </c>
      <c r="F279" s="216" t="n">
        <v>59388</v>
      </c>
      <c r="G279" s="214" t="n">
        <v>46120</v>
      </c>
      <c r="H279" s="217" t="n">
        <v>0</v>
      </c>
      <c r="I279" s="215">
        <f>MAX(0,F279-H279)</f>
        <v/>
      </c>
      <c r="J279" s="215">
        <f>IF(G279="",0,MAX(0,TODAY()-G279))</f>
        <v/>
      </c>
      <c r="K279" s="215">
        <f>IF(I279&lt;=0,"Current",IF(J279&lt;=30,"0-30 Days",IF(J279&lt;=60,"31-60 Days",IF(J279&lt;=90,"61-90 Days","90+ Days"))))</f>
        <v/>
      </c>
      <c r="L279" s="215">
        <f>IF(I279&lt;=0,"-",IF(J279&lt;=30,"Low",IF(J279&lt;=60,"Low-Medium",IF(J279&lt;=90,"Medium","HIGH RISK"))))</f>
        <v/>
      </c>
      <c r="M279" s="215" t="inlineStr">
        <is>
          <t>Cheque Collected</t>
        </is>
      </c>
      <c r="N279" s="215" t="inlineStr">
        <is>
          <t>Pending</t>
        </is>
      </c>
    </row>
    <row r="280">
      <c r="A280" s="178" t="n">
        <v>279</v>
      </c>
      <c r="B280" s="178" t="inlineStr">
        <is>
          <t>Vinod</t>
        </is>
      </c>
      <c r="C280" s="179" t="n">
        <v>46141</v>
      </c>
      <c r="D280" s="180" t="inlineStr">
        <is>
          <t>C-SLG/0079/26-27</t>
        </is>
      </c>
      <c r="E280" s="180" t="inlineStr">
        <is>
          <t>M.M AGENCIES</t>
        </is>
      </c>
      <c r="F280" s="181" t="n">
        <v>2580</v>
      </c>
      <c r="G280" s="179" t="n">
        <v>46166</v>
      </c>
      <c r="H280" s="182" t="n">
        <v>0</v>
      </c>
      <c r="I280" s="180">
        <f>MAX(0,F280-H280)</f>
        <v/>
      </c>
      <c r="J280" s="180">
        <f>IF(G280="",0,MAX(0,TODAY()-G280))</f>
        <v/>
      </c>
      <c r="K280" s="180">
        <f>IF(I280&lt;=0,"Current",IF(J280&lt;=30,"0-30 Days",IF(J280&lt;=60,"31-60 Days",IF(J280&lt;=90,"61-90 Days","90+ Days"))))</f>
        <v/>
      </c>
      <c r="L280" s="180">
        <f>IF(I280&lt;=0,"-",IF(J280&lt;=30,"Low",IF(J280&lt;=60,"Low-Medium",IF(J280&lt;=90,"Medium","HIGH RISK"))))</f>
        <v/>
      </c>
      <c r="M280" s="180" t="inlineStr"/>
      <c r="N280" s="180" t="inlineStr">
        <is>
          <t>Pending</t>
        </is>
      </c>
    </row>
    <row r="281">
      <c r="A281" s="198" t="n">
        <v>280</v>
      </c>
      <c r="B281" s="198" t="inlineStr">
        <is>
          <t>Vinod</t>
        </is>
      </c>
      <c r="C281" s="199" t="n">
        <v>46130</v>
      </c>
      <c r="D281" s="200" t="inlineStr">
        <is>
          <t>C-SLG/0053/26-27</t>
        </is>
      </c>
      <c r="E281" s="200" t="inlineStr">
        <is>
          <t>MONI ENTERPRISES</t>
        </is>
      </c>
      <c r="F281" s="201" t="n">
        <v>5960</v>
      </c>
      <c r="G281" s="199" t="n">
        <v>46155</v>
      </c>
      <c r="H281" s="202" t="n">
        <v>0</v>
      </c>
      <c r="I281" s="200">
        <f>MAX(0,F281-H281)</f>
        <v/>
      </c>
      <c r="J281" s="200">
        <f>IF(G281="",0,MAX(0,TODAY()-G281))</f>
        <v/>
      </c>
      <c r="K281" s="200">
        <f>IF(I281&lt;=0,"Current",IF(J281&lt;=30,"0-30 Days",IF(J281&lt;=60,"31-60 Days",IF(J281&lt;=90,"61-90 Days","90+ Days"))))</f>
        <v/>
      </c>
      <c r="L281" s="200">
        <f>IF(I281&lt;=0,"-",IF(J281&lt;=30,"Low",IF(J281&lt;=60,"Low-Medium",IF(J281&lt;=90,"Medium","HIGH RISK"))))</f>
        <v/>
      </c>
      <c r="M281" s="200" t="inlineStr"/>
      <c r="N281" s="200" t="inlineStr">
        <is>
          <t>Pending</t>
        </is>
      </c>
    </row>
    <row r="282">
      <c r="A282" s="193" t="n">
        <v>281</v>
      </c>
      <c r="B282" s="193" t="inlineStr">
        <is>
          <t>Vinod</t>
        </is>
      </c>
      <c r="C282" s="194" t="n">
        <v>46148</v>
      </c>
      <c r="D282" s="195" t="inlineStr">
        <is>
          <t>C-SLG/0093/26-27</t>
        </is>
      </c>
      <c r="E282" s="195" t="inlineStr">
        <is>
          <t>MONI ENTERPRISES</t>
        </is>
      </c>
      <c r="F282" s="196" t="n">
        <v>916</v>
      </c>
      <c r="G282" s="194" t="n">
        <v>46173</v>
      </c>
      <c r="H282" s="197" t="n">
        <v>0</v>
      </c>
      <c r="I282" s="195">
        <f>MAX(0,F282-H282)</f>
        <v/>
      </c>
      <c r="J282" s="195">
        <f>IF(G282="",0,MAX(0,TODAY()-G282))</f>
        <v/>
      </c>
      <c r="K282" s="195">
        <f>IF(I282&lt;=0,"Current",IF(J282&lt;=30,"0-30 Days",IF(J282&lt;=60,"31-60 Days",IF(J282&lt;=90,"61-90 Days","90+ Days"))))</f>
        <v/>
      </c>
      <c r="L282" s="195">
        <f>IF(I282&lt;=0,"-",IF(J282&lt;=30,"Low",IF(J282&lt;=60,"Low-Medium",IF(J282&lt;=90,"Medium","HIGH RISK"))))</f>
        <v/>
      </c>
      <c r="M282" s="195" t="inlineStr"/>
      <c r="N282" s="195" t="inlineStr">
        <is>
          <t>Pending</t>
        </is>
      </c>
    </row>
    <row r="283">
      <c r="A283" s="213" t="n">
        <v>282</v>
      </c>
      <c r="B283" s="213" t="inlineStr">
        <is>
          <t>Vinod</t>
        </is>
      </c>
      <c r="C283" s="214" t="n">
        <v>46101</v>
      </c>
      <c r="D283" s="215" t="inlineStr">
        <is>
          <t>C-SLG/2410/25-26</t>
        </is>
      </c>
      <c r="E283" s="215" t="inlineStr">
        <is>
          <t>New Vidya Book Point (Saroor N)</t>
        </is>
      </c>
      <c r="F283" s="216" t="n">
        <v>2476</v>
      </c>
      <c r="G283" s="214" t="n">
        <v>46126</v>
      </c>
      <c r="H283" s="217" t="n">
        <v>2476</v>
      </c>
      <c r="I283" s="215">
        <f>MAX(0,F283-H283)</f>
        <v/>
      </c>
      <c r="J283" s="215">
        <f>IF(G283="",0,MAX(0,TODAY()-G283))</f>
        <v/>
      </c>
      <c r="K283" s="215">
        <f>IF(I283&lt;=0,"Current",IF(J283&lt;=30,"0-30 Days",IF(J283&lt;=60,"31-60 Days",IF(J283&lt;=90,"61-90 Days","90+ Days"))))</f>
        <v/>
      </c>
      <c r="L283" s="215">
        <f>IF(I283&lt;=0,"-",IF(J283&lt;=30,"Low",IF(J283&lt;=60,"Low-Medium",IF(J283&lt;=90,"Medium","HIGH RISK"))))</f>
        <v/>
      </c>
      <c r="M283" s="215" t="inlineStr">
        <is>
          <t>Paid Online - Full Amount</t>
        </is>
      </c>
      <c r="N283" s="215" t="inlineStr">
        <is>
          <t>Pending</t>
        </is>
      </c>
    </row>
    <row r="284">
      <c r="A284" s="218" t="n">
        <v>283</v>
      </c>
      <c r="B284" s="218" t="inlineStr">
        <is>
          <t>Vinod</t>
        </is>
      </c>
      <c r="C284" s="219" t="n">
        <v>46105</v>
      </c>
      <c r="D284" s="220" t="inlineStr">
        <is>
          <t>C-SLG/2433/25-26</t>
        </is>
      </c>
      <c r="E284" s="220" t="inlineStr">
        <is>
          <t>PADMAVATHI PEN STORES</t>
        </is>
      </c>
      <c r="F284" s="221" t="n">
        <v>20549</v>
      </c>
      <c r="G284" s="219" t="n">
        <v>46130</v>
      </c>
      <c r="H284" s="222" t="n">
        <v>0</v>
      </c>
      <c r="I284" s="220">
        <f>MAX(0,F284-H284)</f>
        <v/>
      </c>
      <c r="J284" s="220">
        <f>IF(G284="",0,MAX(0,TODAY()-G284))</f>
        <v/>
      </c>
      <c r="K284" s="220">
        <f>IF(I284&lt;=0,"Current",IF(J284&lt;=30,"0-30 Days",IF(J284&lt;=60,"31-60 Days",IF(J284&lt;=90,"61-90 Days","90+ Days"))))</f>
        <v/>
      </c>
      <c r="L284" s="220">
        <f>IF(I284&lt;=0,"-",IF(J284&lt;=30,"Low",IF(J284&lt;=60,"Low-Medium",IF(J284&lt;=90,"Medium","HIGH RISK"))))</f>
        <v/>
      </c>
      <c r="M284" s="220" t="inlineStr">
        <is>
          <t>Ringing Not Responding</t>
        </is>
      </c>
      <c r="N284" s="220" t="inlineStr">
        <is>
          <t>Pending</t>
        </is>
      </c>
    </row>
    <row r="285">
      <c r="A285" s="213" t="n">
        <v>284</v>
      </c>
      <c r="B285" s="213" t="inlineStr">
        <is>
          <t>Vinod</t>
        </is>
      </c>
      <c r="C285" s="214" t="n">
        <v>46112</v>
      </c>
      <c r="D285" s="215" t="inlineStr">
        <is>
          <t>C-SLG/2492/25-26</t>
        </is>
      </c>
      <c r="E285" s="215" t="inlineStr">
        <is>
          <t>PADMAVATHI PEN STORES</t>
        </is>
      </c>
      <c r="F285" s="216" t="n">
        <v>12705</v>
      </c>
      <c r="G285" s="214" t="n">
        <v>46137</v>
      </c>
      <c r="H285" s="217" t="n">
        <v>0</v>
      </c>
      <c r="I285" s="215">
        <f>MAX(0,F285-H285)</f>
        <v/>
      </c>
      <c r="J285" s="215">
        <f>IF(G285="",0,MAX(0,TODAY()-G285))</f>
        <v/>
      </c>
      <c r="K285" s="215">
        <f>IF(I285&lt;=0,"Current",IF(J285&lt;=30,"0-30 Days",IF(J285&lt;=60,"31-60 Days",IF(J285&lt;=90,"61-90 Days","90+ Days"))))</f>
        <v/>
      </c>
      <c r="L285" s="215">
        <f>IF(I285&lt;=0,"-",IF(J285&lt;=30,"Low",IF(J285&lt;=60,"Low-Medium",IF(J285&lt;=90,"Medium","HIGH RISK"))))</f>
        <v/>
      </c>
      <c r="M285" s="215" t="inlineStr">
        <is>
          <t>Ringing Not Responding</t>
        </is>
      </c>
      <c r="N285" s="215" t="inlineStr">
        <is>
          <t>Pending</t>
        </is>
      </c>
    </row>
    <row r="286">
      <c r="A286" s="218" t="n">
        <v>285</v>
      </c>
      <c r="B286" s="218" t="inlineStr">
        <is>
          <t>Vinod</t>
        </is>
      </c>
      <c r="C286" s="219" t="n">
        <v>46112</v>
      </c>
      <c r="D286" s="220" t="inlineStr">
        <is>
          <t>C-SLG/2486/25-26</t>
        </is>
      </c>
      <c r="E286" s="220" t="inlineStr">
        <is>
          <t>Raj Enterprises</t>
        </is>
      </c>
      <c r="F286" s="221" t="n">
        <v>5520</v>
      </c>
      <c r="G286" s="219" t="n">
        <v>46137</v>
      </c>
      <c r="H286" s="222" t="n">
        <v>0</v>
      </c>
      <c r="I286" s="220">
        <f>MAX(0,F286-H286)</f>
        <v/>
      </c>
      <c r="J286" s="220">
        <f>IF(G286="",0,MAX(0,TODAY()-G286))</f>
        <v/>
      </c>
      <c r="K286" s="220">
        <f>IF(I286&lt;=0,"Current",IF(J286&lt;=30,"0-30 Days",IF(J286&lt;=60,"31-60 Days",IF(J286&lt;=90,"61-90 Days","90+ Days"))))</f>
        <v/>
      </c>
      <c r="L286" s="220">
        <f>IF(I286&lt;=0,"-",IF(J286&lt;=30,"Low",IF(J286&lt;=60,"Low-Medium",IF(J286&lt;=90,"Medium","HIGH RISK"))))</f>
        <v/>
      </c>
      <c r="M286" s="220" t="inlineStr"/>
      <c r="N286" s="220" t="inlineStr">
        <is>
          <t>Pending</t>
        </is>
      </c>
    </row>
    <row r="287">
      <c r="A287" s="183" t="n">
        <v>286</v>
      </c>
      <c r="B287" s="183" t="inlineStr">
        <is>
          <t>Vinod</t>
        </is>
      </c>
      <c r="C287" s="184" t="n">
        <v>45470</v>
      </c>
      <c r="D287" s="185" t="inlineStr">
        <is>
          <t>C-SLG/471/24-25</t>
        </is>
      </c>
      <c r="E287" s="185" t="inlineStr">
        <is>
          <t>Ramdev Stationery (K Puram)</t>
        </is>
      </c>
      <c r="F287" s="186" t="n">
        <v>4947</v>
      </c>
      <c r="G287" s="184" t="n">
        <v>45495</v>
      </c>
      <c r="H287" s="187" t="n">
        <v>0</v>
      </c>
      <c r="I287" s="185">
        <f>MAX(0,F287-H287)</f>
        <v/>
      </c>
      <c r="J287" s="185">
        <f>IF(G287="",0,MAX(0,TODAY()-G287))</f>
        <v/>
      </c>
      <c r="K287" s="185">
        <f>IF(I287&lt;=0,"Current",IF(J287&lt;=30,"0-30 Days",IF(J287&lt;=60,"31-60 Days",IF(J287&lt;=90,"61-90 Days","90+ Days"))))</f>
        <v/>
      </c>
      <c r="L287" s="185">
        <f>IF(I287&lt;=0,"-",IF(J287&lt;=30,"Low",IF(J287&lt;=60,"Low-Medium",IF(J287&lt;=90,"Medium","HIGH RISK"))))</f>
        <v/>
      </c>
      <c r="M287" s="185" t="inlineStr"/>
      <c r="N287" s="185" t="inlineStr">
        <is>
          <t>Pending</t>
        </is>
      </c>
    </row>
    <row r="288">
      <c r="A288" s="178" t="n">
        <v>287</v>
      </c>
      <c r="B288" s="178" t="inlineStr">
        <is>
          <t>Vinod</t>
        </is>
      </c>
      <c r="C288" s="179" t="n">
        <v>46126</v>
      </c>
      <c r="D288" s="180" t="inlineStr">
        <is>
          <t>C-SLG/0037/26-27</t>
        </is>
      </c>
      <c r="E288" s="180" t="inlineStr">
        <is>
          <t>Ramdev Stationery (K Puram)</t>
        </is>
      </c>
      <c r="F288" s="181" t="n">
        <v>13863</v>
      </c>
      <c r="G288" s="179" t="n">
        <v>46151</v>
      </c>
      <c r="H288" s="182" t="n">
        <v>0</v>
      </c>
      <c r="I288" s="180">
        <f>MAX(0,F288-H288)</f>
        <v/>
      </c>
      <c r="J288" s="180">
        <f>IF(G288="",0,MAX(0,TODAY()-G288))</f>
        <v/>
      </c>
      <c r="K288" s="180">
        <f>IF(I288&lt;=0,"Current",IF(J288&lt;=30,"0-30 Days",IF(J288&lt;=60,"31-60 Days",IF(J288&lt;=90,"61-90 Days","90+ Days"))))</f>
        <v/>
      </c>
      <c r="L288" s="180">
        <f>IF(I288&lt;=0,"-",IF(J288&lt;=30,"Low",IF(J288&lt;=60,"Low-Medium",IF(J288&lt;=90,"Medium","HIGH RISK"))))</f>
        <v/>
      </c>
      <c r="M288" s="180" t="inlineStr"/>
      <c r="N288" s="180" t="inlineStr">
        <is>
          <t>Pending</t>
        </is>
      </c>
    </row>
    <row r="289">
      <c r="A289" s="183" t="n">
        <v>288</v>
      </c>
      <c r="B289" s="183" t="inlineStr">
        <is>
          <t>Vinod</t>
        </is>
      </c>
      <c r="C289" s="184" t="n">
        <v>45362</v>
      </c>
      <c r="D289" s="185" t="inlineStr">
        <is>
          <t>C-SLG/3153/23-24</t>
        </is>
      </c>
      <c r="E289" s="185" t="inlineStr">
        <is>
          <t>Sai Ram Book Center</t>
        </is>
      </c>
      <c r="F289" s="186" t="n">
        <v>2733</v>
      </c>
      <c r="G289" s="184" t="n">
        <v>45362</v>
      </c>
      <c r="H289" s="187" t="n">
        <v>0</v>
      </c>
      <c r="I289" s="185">
        <f>MAX(0,F289-H289)</f>
        <v/>
      </c>
      <c r="J289" s="185">
        <f>IF(G289="",0,MAX(0,TODAY()-G289))</f>
        <v/>
      </c>
      <c r="K289" s="185">
        <f>IF(I289&lt;=0,"Current",IF(J289&lt;=30,"0-30 Days",IF(J289&lt;=60,"31-60 Days",IF(J289&lt;=90,"61-90 Days","90+ Days"))))</f>
        <v/>
      </c>
      <c r="L289" s="185">
        <f>IF(I289&lt;=0,"-",IF(J289&lt;=30,"Low",IF(J289&lt;=60,"Low-Medium",IF(J289&lt;=90,"Medium","HIGH RISK"))))</f>
        <v/>
      </c>
      <c r="M289" s="185" t="inlineStr">
        <is>
          <t>Customer Expired</t>
        </is>
      </c>
      <c r="N289" s="185" t="inlineStr">
        <is>
          <t>Pending</t>
        </is>
      </c>
    </row>
    <row r="290">
      <c r="A290" s="218" t="n">
        <v>289</v>
      </c>
      <c r="B290" s="218" t="inlineStr">
        <is>
          <t>Vinod</t>
        </is>
      </c>
      <c r="C290" s="219" t="n">
        <v>46107</v>
      </c>
      <c r="D290" s="220" t="inlineStr">
        <is>
          <t>C-SLG/2449/25-26</t>
        </is>
      </c>
      <c r="E290" s="220" t="inlineStr">
        <is>
          <t>Sai Sujit Gifts &amp; Novelties</t>
        </is>
      </c>
      <c r="F290" s="221" t="n">
        <v>100</v>
      </c>
      <c r="G290" s="219" t="n">
        <v>46132</v>
      </c>
      <c r="H290" s="222" t="n">
        <v>0</v>
      </c>
      <c r="I290" s="220">
        <f>MAX(0,F290-H290)</f>
        <v/>
      </c>
      <c r="J290" s="220">
        <f>IF(G290="",0,MAX(0,TODAY()-G290))</f>
        <v/>
      </c>
      <c r="K290" s="220">
        <f>IF(I290&lt;=0,"Current",IF(J290&lt;=30,"0-30 Days",IF(J290&lt;=60,"31-60 Days",IF(J290&lt;=90,"61-90 Days","90+ Days"))))</f>
        <v/>
      </c>
      <c r="L290" s="220">
        <f>IF(I290&lt;=0,"-",IF(J290&lt;=30,"Low",IF(J290&lt;=60,"Low-Medium",IF(J290&lt;=90,"Medium","HIGH RISK"))))</f>
        <v/>
      </c>
      <c r="M290" s="220" t="inlineStr">
        <is>
          <t>Number Not Avilable</t>
        </is>
      </c>
      <c r="N290" s="220" t="inlineStr">
        <is>
          <t>Pending</t>
        </is>
      </c>
    </row>
    <row r="291">
      <c r="A291" s="213" t="n">
        <v>290</v>
      </c>
      <c r="B291" s="213" t="inlineStr">
        <is>
          <t>Vinod</t>
        </is>
      </c>
      <c r="C291" s="214" t="n">
        <v>46107</v>
      </c>
      <c r="D291" s="215" t="inlineStr">
        <is>
          <t>C-SLG/2450/25-26</t>
        </is>
      </c>
      <c r="E291" s="215" t="inlineStr">
        <is>
          <t>Shiva Sai Stationery</t>
        </is>
      </c>
      <c r="F291" s="216" t="n">
        <v>100</v>
      </c>
      <c r="G291" s="214" t="n">
        <v>46132</v>
      </c>
      <c r="H291" s="217" t="n">
        <v>0</v>
      </c>
      <c r="I291" s="215">
        <f>MAX(0,F291-H291)</f>
        <v/>
      </c>
      <c r="J291" s="215">
        <f>IF(G291="",0,MAX(0,TODAY()-G291))</f>
        <v/>
      </c>
      <c r="K291" s="215">
        <f>IF(I291&lt;=0,"Current",IF(J291&lt;=30,"0-30 Days",IF(J291&lt;=60,"31-60 Days",IF(J291&lt;=90,"61-90 Days","90+ Days"))))</f>
        <v/>
      </c>
      <c r="L291" s="215">
        <f>IF(I291&lt;=0,"-",IF(J291&lt;=30,"Low",IF(J291&lt;=60,"Low-Medium",IF(J291&lt;=90,"Medium","HIGH RISK"))))</f>
        <v/>
      </c>
      <c r="M291" s="215" t="inlineStr"/>
      <c r="N291" s="215" t="inlineStr">
        <is>
          <t>Pending</t>
        </is>
      </c>
    </row>
    <row r="292">
      <c r="A292" s="178" t="n">
        <v>291</v>
      </c>
      <c r="B292" s="178" t="inlineStr">
        <is>
          <t>Vinod</t>
        </is>
      </c>
      <c r="C292" s="179" t="n">
        <v>46122</v>
      </c>
      <c r="D292" s="180" t="inlineStr">
        <is>
          <t>C-SLG/0024/26-27</t>
        </is>
      </c>
      <c r="E292" s="180" t="inlineStr">
        <is>
          <t>S MART STATIONERY MEGA STORE</t>
        </is>
      </c>
      <c r="F292" s="181" t="n">
        <v>37104</v>
      </c>
      <c r="G292" s="179" t="n">
        <v>46147</v>
      </c>
      <c r="H292" s="182" t="n">
        <v>0</v>
      </c>
      <c r="I292" s="180">
        <f>MAX(0,F292-H292)</f>
        <v/>
      </c>
      <c r="J292" s="180">
        <f>IF(G292="",0,MAX(0,TODAY()-G292))</f>
        <v/>
      </c>
      <c r="K292" s="180">
        <f>IF(I292&lt;=0,"Current",IF(J292&lt;=30,"0-30 Days",IF(J292&lt;=60,"31-60 Days",IF(J292&lt;=90,"61-90 Days","90+ Days"))))</f>
        <v/>
      </c>
      <c r="L292" s="180">
        <f>IF(I292&lt;=0,"-",IF(J292&lt;=30,"Low",IF(J292&lt;=60,"Low-Medium",IF(J292&lt;=90,"Medium","HIGH RISK"))))</f>
        <v/>
      </c>
      <c r="M292" s="180" t="inlineStr"/>
      <c r="N292" s="180" t="inlineStr">
        <is>
          <t>Pending</t>
        </is>
      </c>
    </row>
    <row r="293">
      <c r="A293" s="213" t="n">
        <v>292</v>
      </c>
      <c r="B293" s="213" t="inlineStr">
        <is>
          <t>Vinod</t>
        </is>
      </c>
      <c r="C293" s="214" t="n">
        <v>46112</v>
      </c>
      <c r="D293" s="215" t="inlineStr">
        <is>
          <t>C-SLG/2488/25-26</t>
        </is>
      </c>
      <c r="E293" s="215" t="inlineStr">
        <is>
          <t>Soujanya Stationary Book Stall</t>
        </is>
      </c>
      <c r="F293" s="216" t="n">
        <v>15873</v>
      </c>
      <c r="G293" s="214" t="n">
        <v>46137</v>
      </c>
      <c r="H293" s="217" t="n">
        <v>0</v>
      </c>
      <c r="I293" s="215">
        <f>MAX(0,F293-H293)</f>
        <v/>
      </c>
      <c r="J293" s="215">
        <f>IF(G293="",0,MAX(0,TODAY()-G293))</f>
        <v/>
      </c>
      <c r="K293" s="215">
        <f>IF(I293&lt;=0,"Current",IF(J293&lt;=30,"0-30 Days",IF(J293&lt;=60,"31-60 Days",IF(J293&lt;=90,"61-90 Days","90+ Days"))))</f>
        <v/>
      </c>
      <c r="L293" s="215">
        <f>IF(I293&lt;=0,"-",IF(J293&lt;=30,"Low",IF(J293&lt;=60,"Low-Medium",IF(J293&lt;=90,"Medium","HIGH RISK"))))</f>
        <v/>
      </c>
      <c r="M293" s="215" t="inlineStr">
        <is>
          <t>Paid Cheque - Full Amount</t>
        </is>
      </c>
      <c r="N293" s="215" t="inlineStr">
        <is>
          <t>Pending</t>
        </is>
      </c>
    </row>
    <row r="294">
      <c r="A294" s="178" t="n">
        <v>293</v>
      </c>
      <c r="B294" s="178" t="inlineStr">
        <is>
          <t>Vinod</t>
        </is>
      </c>
      <c r="C294" s="179" t="n">
        <v>46118</v>
      </c>
      <c r="D294" s="180" t="inlineStr">
        <is>
          <t>C-SLG/007/26-27</t>
        </is>
      </c>
      <c r="E294" s="180" t="inlineStr">
        <is>
          <t>Soujanya Stationary Book Stall</t>
        </is>
      </c>
      <c r="F294" s="181" t="n">
        <v>7623</v>
      </c>
      <c r="G294" s="179" t="n">
        <v>46143</v>
      </c>
      <c r="H294" s="182" t="n">
        <v>0</v>
      </c>
      <c r="I294" s="180">
        <f>MAX(0,F294-H294)</f>
        <v/>
      </c>
      <c r="J294" s="180">
        <f>IF(G294="",0,MAX(0,TODAY()-G294))</f>
        <v/>
      </c>
      <c r="K294" s="180">
        <f>IF(I294&lt;=0,"Current",IF(J294&lt;=30,"0-30 Days",IF(J294&lt;=60,"31-60 Days",IF(J294&lt;=90,"61-90 Days","90+ Days"))))</f>
        <v/>
      </c>
      <c r="L294" s="180">
        <f>IF(I294&lt;=0,"-",IF(J294&lt;=30,"Low",IF(J294&lt;=60,"Low-Medium",IF(J294&lt;=90,"Medium","HIGH RISK"))))</f>
        <v/>
      </c>
      <c r="M294" s="180" t="inlineStr">
        <is>
          <t>Paid Cheque - Full Amount</t>
        </is>
      </c>
      <c r="N294" s="180" t="inlineStr">
        <is>
          <t>Pending</t>
        </is>
      </c>
    </row>
    <row r="295">
      <c r="A295" s="193" t="n">
        <v>294</v>
      </c>
      <c r="B295" s="193" t="inlineStr">
        <is>
          <t>Vinod</t>
        </is>
      </c>
      <c r="C295" s="194" t="n">
        <v>46156</v>
      </c>
      <c r="D295" s="195" t="inlineStr">
        <is>
          <t>C-SLG/0130/26-27</t>
        </is>
      </c>
      <c r="E295" s="195" t="inlineStr">
        <is>
          <t>Soujanya Stationary Book Stall</t>
        </is>
      </c>
      <c r="F295" s="196" t="n">
        <v>22152</v>
      </c>
      <c r="G295" s="194" t="n">
        <v>46181</v>
      </c>
      <c r="H295" s="197" t="n">
        <v>0</v>
      </c>
      <c r="I295" s="195">
        <f>MAX(0,F295-H295)</f>
        <v/>
      </c>
      <c r="J295" s="195">
        <f>IF(G295="",0,MAX(0,TODAY()-G295))</f>
        <v/>
      </c>
      <c r="K295" s="195">
        <f>IF(I295&lt;=0,"Current",IF(J295&lt;=30,"0-30 Days",IF(J295&lt;=60,"31-60 Days",IF(J295&lt;=90,"61-90 Days","90+ Days"))))</f>
        <v/>
      </c>
      <c r="L295" s="195">
        <f>IF(I295&lt;=0,"-",IF(J295&lt;=30,"Low",IF(J295&lt;=60,"Low-Medium",IF(J295&lt;=90,"Medium","HIGH RISK"))))</f>
        <v/>
      </c>
      <c r="M295" s="195" t="inlineStr"/>
      <c r="N295" s="195" t="inlineStr">
        <is>
          <t>Pending</t>
        </is>
      </c>
    </row>
    <row r="296">
      <c r="A296" s="203" t="n">
        <v>295</v>
      </c>
      <c r="B296" s="203" t="inlineStr">
        <is>
          <t>Vinod</t>
        </is>
      </c>
      <c r="C296" s="204" t="n">
        <v>46062</v>
      </c>
      <c r="D296" s="205" t="inlineStr">
        <is>
          <t>C-SLG/2204/25-26</t>
        </is>
      </c>
      <c r="E296" s="205" t="inlineStr">
        <is>
          <t>Sri Chamunda Stationery</t>
        </is>
      </c>
      <c r="F296" s="206" t="n">
        <v>2852</v>
      </c>
      <c r="G296" s="204" t="n">
        <v>46087</v>
      </c>
      <c r="H296" s="207" t="n">
        <v>0</v>
      </c>
      <c r="I296" s="205">
        <f>MAX(0,F296-H296)</f>
        <v/>
      </c>
      <c r="J296" s="205">
        <f>IF(G296="",0,MAX(0,TODAY()-G296))</f>
        <v/>
      </c>
      <c r="K296" s="205">
        <f>IF(I296&lt;=0,"Current",IF(J296&lt;=30,"0-30 Days",IF(J296&lt;=60,"31-60 Days",IF(J296&lt;=90,"61-90 Days","90+ Days"))))</f>
        <v/>
      </c>
      <c r="L296" s="205">
        <f>IF(I296&lt;=0,"-",IF(J296&lt;=30,"Low",IF(J296&lt;=60,"Low-Medium",IF(J296&lt;=90,"Medium","HIGH RISK"))))</f>
        <v/>
      </c>
      <c r="M296" s="205" t="inlineStr">
        <is>
          <t>DSO will Collect</t>
        </is>
      </c>
      <c r="N296" s="205" t="inlineStr">
        <is>
          <t>Pending</t>
        </is>
      </c>
    </row>
    <row r="297">
      <c r="A297" s="208" t="n">
        <v>296</v>
      </c>
      <c r="B297" s="208" t="inlineStr">
        <is>
          <t>Vinod</t>
        </is>
      </c>
      <c r="C297" s="209" t="n">
        <v>46071</v>
      </c>
      <c r="D297" s="210" t="inlineStr">
        <is>
          <t>C-SLG/2255/25-26</t>
        </is>
      </c>
      <c r="E297" s="210" t="inlineStr">
        <is>
          <t>SRI DHANALAKSHMI ENTERPRISES</t>
        </is>
      </c>
      <c r="F297" s="211" t="n">
        <v>42121</v>
      </c>
      <c r="G297" s="209" t="n">
        <v>46096</v>
      </c>
      <c r="H297" s="212" t="n">
        <v>0</v>
      </c>
      <c r="I297" s="210">
        <f>MAX(0,F297-H297)</f>
        <v/>
      </c>
      <c r="J297" s="210">
        <f>IF(G297="",0,MAX(0,TODAY()-G297))</f>
        <v/>
      </c>
      <c r="K297" s="210">
        <f>IF(I297&lt;=0,"Current",IF(J297&lt;=30,"0-30 Days",IF(J297&lt;=60,"31-60 Days",IF(J297&lt;=90,"61-90 Days","90+ Days"))))</f>
        <v/>
      </c>
      <c r="L297" s="210">
        <f>IF(I297&lt;=0,"-",IF(J297&lt;=30,"Low",IF(J297&lt;=60,"Low-Medium",IF(J297&lt;=90,"Medium","HIGH RISK"))))</f>
        <v/>
      </c>
      <c r="M297" s="210" t="inlineStr"/>
      <c r="N297" s="210" t="inlineStr">
        <is>
          <t>Pending</t>
        </is>
      </c>
    </row>
    <row r="298">
      <c r="A298" s="218" t="n">
        <v>297</v>
      </c>
      <c r="B298" s="218" t="inlineStr">
        <is>
          <t>Vinod</t>
        </is>
      </c>
      <c r="C298" s="219" t="n">
        <v>46111</v>
      </c>
      <c r="D298" s="220" t="inlineStr">
        <is>
          <t>C-SLG/2479/25-26</t>
        </is>
      </c>
      <c r="E298" s="220" t="inlineStr">
        <is>
          <t>Sri Hanu Subramanyam Book Center</t>
        </is>
      </c>
      <c r="F298" s="221" t="n">
        <v>8190</v>
      </c>
      <c r="G298" s="219" t="n">
        <v>46136</v>
      </c>
      <c r="H298" s="222" t="n">
        <v>0</v>
      </c>
      <c r="I298" s="220">
        <f>MAX(0,F298-H298)</f>
        <v/>
      </c>
      <c r="J298" s="220">
        <f>IF(G298="",0,MAX(0,TODAY()-G298))</f>
        <v/>
      </c>
      <c r="K298" s="220">
        <f>IF(I298&lt;=0,"Current",IF(J298&lt;=30,"0-30 Days",IF(J298&lt;=60,"31-60 Days",IF(J298&lt;=90,"61-90 Days","90+ Days"))))</f>
        <v/>
      </c>
      <c r="L298" s="220">
        <f>IF(I298&lt;=0,"-",IF(J298&lt;=30,"Low",IF(J298&lt;=60,"Low-Medium",IF(J298&lt;=90,"Medium","HIGH RISK"))))</f>
        <v/>
      </c>
      <c r="M298" s="220" t="inlineStr">
        <is>
          <t>Ringing Not Responding</t>
        </is>
      </c>
      <c r="N298" s="220" t="inlineStr">
        <is>
          <t>Pending</t>
        </is>
      </c>
    </row>
    <row r="299">
      <c r="A299" s="183" t="n">
        <v>298</v>
      </c>
      <c r="B299" s="183" t="inlineStr">
        <is>
          <t>Vinod</t>
        </is>
      </c>
      <c r="C299" s="184" t="n">
        <v>45954</v>
      </c>
      <c r="D299" s="185" t="inlineStr">
        <is>
          <t>Bounce Charges-155</t>
        </is>
      </c>
      <c r="E299" s="185" t="inlineStr">
        <is>
          <t>Sri Laxmi Book Centre ( DSNR)</t>
        </is>
      </c>
      <c r="F299" s="186" t="n">
        <v>500</v>
      </c>
      <c r="G299" s="184" t="n">
        <v>45979</v>
      </c>
      <c r="H299" s="187" t="n">
        <v>0</v>
      </c>
      <c r="I299" s="185">
        <f>MAX(0,F299-H299)</f>
        <v/>
      </c>
      <c r="J299" s="185">
        <f>IF(G299="",0,MAX(0,TODAY()-G299))</f>
        <v/>
      </c>
      <c r="K299" s="185">
        <f>IF(I299&lt;=0,"Current",IF(J299&lt;=30,"0-30 Days",IF(J299&lt;=60,"31-60 Days",IF(J299&lt;=90,"61-90 Days","90+ Days"))))</f>
        <v/>
      </c>
      <c r="L299" s="185">
        <f>IF(I299&lt;=0,"-",IF(J299&lt;=30,"Low",IF(J299&lt;=60,"Low-Medium",IF(J299&lt;=90,"Medium","HIGH RISK"))))</f>
        <v/>
      </c>
      <c r="M299" s="185" t="inlineStr">
        <is>
          <t>Sent Scanner on Whatsapp</t>
        </is>
      </c>
      <c r="N299" s="185" t="inlineStr">
        <is>
          <t>Pending</t>
        </is>
      </c>
    </row>
    <row r="300">
      <c r="A300" s="178" t="n">
        <v>299</v>
      </c>
      <c r="B300" s="178" t="inlineStr">
        <is>
          <t>Vinod</t>
        </is>
      </c>
      <c r="C300" s="179" t="n">
        <v>46118</v>
      </c>
      <c r="D300" s="180" t="inlineStr">
        <is>
          <t>C-SLG/0012/26-27</t>
        </is>
      </c>
      <c r="E300" s="180" t="inlineStr">
        <is>
          <t>Sri Laxmi Book Centre ( DSNR)</t>
        </is>
      </c>
      <c r="F300" s="181" t="n">
        <v>6100</v>
      </c>
      <c r="G300" s="179" t="n">
        <v>46143</v>
      </c>
      <c r="H300" s="182" t="n">
        <v>0</v>
      </c>
      <c r="I300" s="180">
        <f>MAX(0,F300-H300)</f>
        <v/>
      </c>
      <c r="J300" s="180">
        <f>IF(G300="",0,MAX(0,TODAY()-G300))</f>
        <v/>
      </c>
      <c r="K300" s="180">
        <f>IF(I300&lt;=0,"Current",IF(J300&lt;=30,"0-30 Days",IF(J300&lt;=60,"31-60 Days",IF(J300&lt;=90,"61-90 Days","90+ Days"))))</f>
        <v/>
      </c>
      <c r="L300" s="180">
        <f>IF(I300&lt;=0,"-",IF(J300&lt;=30,"Low",IF(J300&lt;=60,"Low-Medium",IF(J300&lt;=90,"Medium","HIGH RISK"))))</f>
        <v/>
      </c>
      <c r="M300" s="180" t="inlineStr">
        <is>
          <t>Sent Scanner on Whatsapp</t>
        </is>
      </c>
      <c r="N300" s="180" t="inlineStr">
        <is>
          <t>Pending</t>
        </is>
      </c>
    </row>
    <row r="301">
      <c r="A301" s="213" t="n">
        <v>300</v>
      </c>
      <c r="B301" s="213" t="inlineStr">
        <is>
          <t>Vinod</t>
        </is>
      </c>
      <c r="C301" s="214" t="n">
        <v>46105</v>
      </c>
      <c r="D301" s="215" t="inlineStr">
        <is>
          <t>C-SLG/2431/25-26</t>
        </is>
      </c>
      <c r="E301" s="215" t="inlineStr">
        <is>
          <t>Sri Mahalaxmi Stationary and General</t>
        </is>
      </c>
      <c r="F301" s="216" t="n">
        <v>2287</v>
      </c>
      <c r="G301" s="214" t="n">
        <v>46130</v>
      </c>
      <c r="H301" s="217" t="n">
        <v>0</v>
      </c>
      <c r="I301" s="215">
        <f>MAX(0,F301-H301)</f>
        <v/>
      </c>
      <c r="J301" s="215">
        <f>IF(G301="",0,MAX(0,TODAY()-G301))</f>
        <v/>
      </c>
      <c r="K301" s="215">
        <f>IF(I301&lt;=0,"Current",IF(J301&lt;=30,"0-30 Days",IF(J301&lt;=60,"31-60 Days",IF(J301&lt;=90,"61-90 Days","90+ Days"))))</f>
        <v/>
      </c>
      <c r="L301" s="215">
        <f>IF(I301&lt;=0,"-",IF(J301&lt;=30,"Low",IF(J301&lt;=60,"Low-Medium",IF(J301&lt;=90,"Medium","HIGH RISK"))))</f>
        <v/>
      </c>
      <c r="M301" s="215" t="inlineStr"/>
      <c r="N301" s="215" t="inlineStr">
        <is>
          <t>Pending</t>
        </is>
      </c>
    </row>
    <row r="302">
      <c r="A302" s="218" t="n">
        <v>301</v>
      </c>
      <c r="B302" s="218" t="inlineStr">
        <is>
          <t>Vinod</t>
        </is>
      </c>
      <c r="C302" s="219" t="n">
        <v>46126</v>
      </c>
      <c r="D302" s="220" t="inlineStr">
        <is>
          <t>C-SLG/0040/26-27</t>
        </is>
      </c>
      <c r="E302" s="220" t="inlineStr">
        <is>
          <t>Srinivasa Stationery &amp; Xerox</t>
        </is>
      </c>
      <c r="F302" s="221" t="n">
        <v>2795</v>
      </c>
      <c r="G302" s="219" t="n">
        <v>46126</v>
      </c>
      <c r="H302" s="222" t="n">
        <v>0</v>
      </c>
      <c r="I302" s="220">
        <f>MAX(0,F302-H302)</f>
        <v/>
      </c>
      <c r="J302" s="220">
        <f>IF(G302="",0,MAX(0,TODAY()-G302))</f>
        <v/>
      </c>
      <c r="K302" s="220">
        <f>IF(I302&lt;=0,"Current",IF(J302&lt;=30,"0-30 Days",IF(J302&lt;=60,"31-60 Days",IF(J302&lt;=90,"61-90 Days","90+ Days"))))</f>
        <v/>
      </c>
      <c r="L302" s="220">
        <f>IF(I302&lt;=0,"-",IF(J302&lt;=30,"Low",IF(J302&lt;=60,"Low-Medium",IF(J302&lt;=90,"Medium","HIGH RISK"))))</f>
        <v/>
      </c>
      <c r="M302" s="220" t="inlineStr">
        <is>
          <t>Number Not Avilable</t>
        </is>
      </c>
      <c r="N302" s="220" t="inlineStr">
        <is>
          <t>Pending</t>
        </is>
      </c>
    </row>
    <row r="303">
      <c r="A303" s="213" t="n">
        <v>302</v>
      </c>
      <c r="B303" s="213" t="inlineStr">
        <is>
          <t>Vinod</t>
        </is>
      </c>
      <c r="C303" s="214" t="n">
        <v>46112</v>
      </c>
      <c r="D303" s="215" t="inlineStr">
        <is>
          <t>C-SLG/2495/25-26</t>
        </is>
      </c>
      <c r="E303" s="215" t="inlineStr">
        <is>
          <t>Sri Ram Plastic</t>
        </is>
      </c>
      <c r="F303" s="216" t="n">
        <v>96214</v>
      </c>
      <c r="G303" s="214" t="n">
        <v>46137</v>
      </c>
      <c r="H303" s="217" t="n">
        <v>0</v>
      </c>
      <c r="I303" s="215">
        <f>MAX(0,F303-H303)</f>
        <v/>
      </c>
      <c r="J303" s="215">
        <f>IF(G303="",0,MAX(0,TODAY()-G303))</f>
        <v/>
      </c>
      <c r="K303" s="215">
        <f>IF(I303&lt;=0,"Current",IF(J303&lt;=30,"0-30 Days",IF(J303&lt;=60,"31-60 Days",IF(J303&lt;=90,"61-90 Days","90+ Days"))))</f>
        <v/>
      </c>
      <c r="L303" s="215">
        <f>IF(I303&lt;=0,"-",IF(J303&lt;=30,"Low",IF(J303&lt;=60,"Low-Medium",IF(J303&lt;=90,"Medium","HIGH RISK"))))</f>
        <v/>
      </c>
      <c r="M303" s="215" t="inlineStr"/>
      <c r="N303" s="215" t="inlineStr">
        <is>
          <t>Pending</t>
        </is>
      </c>
    </row>
    <row r="304">
      <c r="A304" s="218" t="n">
        <v>303</v>
      </c>
      <c r="B304" s="218" t="inlineStr">
        <is>
          <t>Vinod</t>
        </is>
      </c>
      <c r="C304" s="219" t="n">
        <v>46101</v>
      </c>
      <c r="D304" s="220" t="inlineStr">
        <is>
          <t>C-SLG/2413/25-26</t>
        </is>
      </c>
      <c r="E304" s="220" t="inlineStr">
        <is>
          <t>Sri Sai Books &amp; Gifts (Chaithanyapuri)</t>
        </is>
      </c>
      <c r="F304" s="221" t="n">
        <v>3580</v>
      </c>
      <c r="G304" s="219" t="n">
        <v>46126</v>
      </c>
      <c r="H304" s="222" t="n">
        <v>0</v>
      </c>
      <c r="I304" s="220">
        <f>MAX(0,F304-H304)</f>
        <v/>
      </c>
      <c r="J304" s="220">
        <f>IF(G304="",0,MAX(0,TODAY()-G304))</f>
        <v/>
      </c>
      <c r="K304" s="220">
        <f>IF(I304&lt;=0,"Current",IF(J304&lt;=30,"0-30 Days",IF(J304&lt;=60,"31-60 Days",IF(J304&lt;=90,"61-90 Days","90+ Days"))))</f>
        <v/>
      </c>
      <c r="L304" s="220">
        <f>IF(I304&lt;=0,"-",IF(J304&lt;=30,"Low",IF(J304&lt;=60,"Low-Medium",IF(J304&lt;=90,"Medium","HIGH RISK"))))</f>
        <v/>
      </c>
      <c r="M304" s="220" t="inlineStr">
        <is>
          <t>Sent Scanner on WhatsApp</t>
        </is>
      </c>
      <c r="N304" s="220" t="inlineStr">
        <is>
          <t>Pending</t>
        </is>
      </c>
    </row>
    <row r="305">
      <c r="A305" s="213" t="n">
        <v>304</v>
      </c>
      <c r="B305" s="213" t="inlineStr">
        <is>
          <t>Vinod</t>
        </is>
      </c>
      <c r="C305" s="214" t="n">
        <v>46107</v>
      </c>
      <c r="D305" s="215" t="inlineStr">
        <is>
          <t>C-SLG/2452/25-26</t>
        </is>
      </c>
      <c r="E305" s="215" t="inlineStr">
        <is>
          <t>SRI SAI RAM STATIONERY(RK PURAM)</t>
        </is>
      </c>
      <c r="F305" s="216" t="n">
        <v>100</v>
      </c>
      <c r="G305" s="214" t="n">
        <v>46132</v>
      </c>
      <c r="H305" s="217" t="n">
        <v>0</v>
      </c>
      <c r="I305" s="215">
        <f>MAX(0,F305-H305)</f>
        <v/>
      </c>
      <c r="J305" s="215">
        <f>IF(G305="",0,MAX(0,TODAY()-G305))</f>
        <v/>
      </c>
      <c r="K305" s="215">
        <f>IF(I305&lt;=0,"Current",IF(J305&lt;=30,"0-30 Days",IF(J305&lt;=60,"31-60 Days",IF(J305&lt;=90,"61-90 Days","90+ Days"))))</f>
        <v/>
      </c>
      <c r="L305" s="215">
        <f>IF(I305&lt;=0,"-",IF(J305&lt;=30,"Low",IF(J305&lt;=60,"Low-Medium",IF(J305&lt;=90,"Medium","HIGH RISK"))))</f>
        <v/>
      </c>
      <c r="M305" s="215" t="inlineStr"/>
      <c r="N305" s="215" t="inlineStr">
        <is>
          <t>Pending</t>
        </is>
      </c>
    </row>
    <row r="306">
      <c r="A306" s="218" t="n">
        <v>305</v>
      </c>
      <c r="B306" s="218" t="inlineStr">
        <is>
          <t>Vinod</t>
        </is>
      </c>
      <c r="C306" s="219" t="n">
        <v>46098</v>
      </c>
      <c r="D306" s="220" t="inlineStr">
        <is>
          <t>C-SLG/2399/25-26</t>
        </is>
      </c>
      <c r="E306" s="220" t="inlineStr">
        <is>
          <t>SRI SAI SARASWATHI STATIONARY</t>
        </is>
      </c>
      <c r="F306" s="221" t="n">
        <v>886</v>
      </c>
      <c r="G306" s="219" t="n">
        <v>46123</v>
      </c>
      <c r="H306" s="222" t="n">
        <v>0</v>
      </c>
      <c r="I306" s="220">
        <f>MAX(0,F306-H306)</f>
        <v/>
      </c>
      <c r="J306" s="220">
        <f>IF(G306="",0,MAX(0,TODAY()-G306))</f>
        <v/>
      </c>
      <c r="K306" s="220">
        <f>IF(I306&lt;=0,"Current",IF(J306&lt;=30,"0-30 Days",IF(J306&lt;=60,"31-60 Days",IF(J306&lt;=90,"61-90 Days","90+ Days"))))</f>
        <v/>
      </c>
      <c r="L306" s="220">
        <f>IF(I306&lt;=0,"-",IF(J306&lt;=30,"Low",IF(J306&lt;=60,"Low-Medium",IF(J306&lt;=90,"Medium","HIGH RISK"))))</f>
        <v/>
      </c>
      <c r="M306" s="220" t="inlineStr"/>
      <c r="N306" s="220" t="inlineStr">
        <is>
          <t>Pending</t>
        </is>
      </c>
    </row>
    <row r="307">
      <c r="A307" s="183" t="n">
        <v>306</v>
      </c>
      <c r="B307" s="183" t="inlineStr">
        <is>
          <t>Vinod</t>
        </is>
      </c>
      <c r="C307" s="184" t="n">
        <v>46013</v>
      </c>
      <c r="D307" s="185" t="inlineStr">
        <is>
          <t>C-SLG/1957/25-26</t>
        </is>
      </c>
      <c r="E307" s="185" t="inlineStr">
        <is>
          <t>Sri Sai Tirumala Book &amp; Guides - Badangpet</t>
        </is>
      </c>
      <c r="F307" s="186" t="n">
        <v>2232</v>
      </c>
      <c r="G307" s="184" t="n">
        <v>46038</v>
      </c>
      <c r="H307" s="187" t="n">
        <v>0</v>
      </c>
      <c r="I307" s="185">
        <f>MAX(0,F307-H307)</f>
        <v/>
      </c>
      <c r="J307" s="185">
        <f>IF(G307="",0,MAX(0,TODAY()-G307))</f>
        <v/>
      </c>
      <c r="K307" s="185">
        <f>IF(I307&lt;=0,"Current",IF(J307&lt;=30,"0-30 Days",IF(J307&lt;=60,"31-60 Days",IF(J307&lt;=90,"61-90 Days","90+ Days"))))</f>
        <v/>
      </c>
      <c r="L307" s="185">
        <f>IF(I307&lt;=0,"-",IF(J307&lt;=30,"Low",IF(J307&lt;=60,"Low-Medium",IF(J307&lt;=90,"Medium","HIGH RISK"))))</f>
        <v/>
      </c>
      <c r="M307" s="185" t="inlineStr"/>
      <c r="N307" s="185" t="inlineStr">
        <is>
          <t>Pending</t>
        </is>
      </c>
    </row>
    <row r="308">
      <c r="A308" s="178" t="n">
        <v>307</v>
      </c>
      <c r="B308" s="178" t="inlineStr">
        <is>
          <t>Vinod</t>
        </is>
      </c>
      <c r="C308" s="179" t="n">
        <v>46129</v>
      </c>
      <c r="D308" s="180" t="inlineStr">
        <is>
          <t>C-SLG/0047/26-27</t>
        </is>
      </c>
      <c r="E308" s="180" t="inlineStr">
        <is>
          <t>SRI SAI TIRUMALA BOOKS &amp; GUIDES (Santhosh Nagar)</t>
        </is>
      </c>
      <c r="F308" s="181" t="n">
        <v>4988</v>
      </c>
      <c r="G308" s="179" t="n">
        <v>46154</v>
      </c>
      <c r="H308" s="182" t="n">
        <v>0</v>
      </c>
      <c r="I308" s="180">
        <f>MAX(0,F308-H308)</f>
        <v/>
      </c>
      <c r="J308" s="180">
        <f>IF(G308="",0,MAX(0,TODAY()-G308))</f>
        <v/>
      </c>
      <c r="K308" s="180">
        <f>IF(I308&lt;=0,"Current",IF(J308&lt;=30,"0-30 Days",IF(J308&lt;=60,"31-60 Days",IF(J308&lt;=90,"61-90 Days","90+ Days"))))</f>
        <v/>
      </c>
      <c r="L308" s="180">
        <f>IF(I308&lt;=0,"-",IF(J308&lt;=30,"Low",IF(J308&lt;=60,"Low-Medium",IF(J308&lt;=90,"Medium","HIGH RISK"))))</f>
        <v/>
      </c>
      <c r="M308" s="180" t="inlineStr"/>
      <c r="N308" s="180" t="inlineStr">
        <is>
          <t>Pending</t>
        </is>
      </c>
    </row>
    <row r="309">
      <c r="A309" s="183" t="n">
        <v>308</v>
      </c>
      <c r="B309" s="183" t="inlineStr">
        <is>
          <t>Vinod</t>
        </is>
      </c>
      <c r="C309" s="184" t="n">
        <v>46050</v>
      </c>
      <c r="D309" s="185" t="inlineStr">
        <is>
          <t>C-SLG/2124/25-26</t>
        </is>
      </c>
      <c r="E309" s="185" t="inlineStr">
        <is>
          <t>Sri Siddi Vinayaka Book Center</t>
        </is>
      </c>
      <c r="F309" s="186" t="n">
        <v>6200</v>
      </c>
      <c r="G309" s="184" t="n">
        <v>46075</v>
      </c>
      <c r="H309" s="187" t="n">
        <v>0</v>
      </c>
      <c r="I309" s="185">
        <f>MAX(0,F309-H309)</f>
        <v/>
      </c>
      <c r="J309" s="185">
        <f>IF(G309="",0,MAX(0,TODAY()-G309))</f>
        <v/>
      </c>
      <c r="K309" s="185">
        <f>IF(I309&lt;=0,"Current",IF(J309&lt;=30,"0-30 Days",IF(J309&lt;=60,"31-60 Days",IF(J309&lt;=90,"61-90 Days","90+ Days"))))</f>
        <v/>
      </c>
      <c r="L309" s="185">
        <f>IF(I309&lt;=0,"-",IF(J309&lt;=30,"Low",IF(J309&lt;=60,"Low-Medium",IF(J309&lt;=90,"Medium","HIGH RISK"))))</f>
        <v/>
      </c>
      <c r="M309" s="185" t="inlineStr"/>
      <c r="N309" s="185" t="inlineStr">
        <is>
          <t>Pending</t>
        </is>
      </c>
    </row>
    <row r="310">
      <c r="A310" s="178" t="n">
        <v>309</v>
      </c>
      <c r="B310" s="178" t="inlineStr">
        <is>
          <t>Vinod</t>
        </is>
      </c>
      <c r="C310" s="179" t="n">
        <v>46129</v>
      </c>
      <c r="D310" s="180" t="inlineStr">
        <is>
          <t>C-SLG/0051/26-27</t>
        </is>
      </c>
      <c r="E310" s="180" t="inlineStr">
        <is>
          <t>Sri Venkateshwara Book Centre.I S</t>
        </is>
      </c>
      <c r="F310" s="181" t="n">
        <v>2214</v>
      </c>
      <c r="G310" s="179" t="n">
        <v>46154</v>
      </c>
      <c r="H310" s="182" t="n">
        <v>0</v>
      </c>
      <c r="I310" s="180">
        <f>MAX(0,F310-H310)</f>
        <v/>
      </c>
      <c r="J310" s="180">
        <f>IF(G310="",0,MAX(0,TODAY()-G310))</f>
        <v/>
      </c>
      <c r="K310" s="180">
        <f>IF(I310&lt;=0,"Current",IF(J310&lt;=30,"0-30 Days",IF(J310&lt;=60,"31-60 Days",IF(J310&lt;=90,"61-90 Days","90+ Days"))))</f>
        <v/>
      </c>
      <c r="L310" s="180">
        <f>IF(I310&lt;=0,"-",IF(J310&lt;=30,"Low",IF(J310&lt;=60,"Low-Medium",IF(J310&lt;=90,"Medium","HIGH RISK"))))</f>
        <v/>
      </c>
      <c r="M310" s="180" t="inlineStr"/>
      <c r="N310" s="180" t="inlineStr">
        <is>
          <t>Pending</t>
        </is>
      </c>
    </row>
    <row r="311">
      <c r="A311" s="213" t="n">
        <v>310</v>
      </c>
      <c r="B311" s="213" t="inlineStr">
        <is>
          <t>Vinod</t>
        </is>
      </c>
      <c r="C311" s="214" t="n">
        <v>46099</v>
      </c>
      <c r="D311" s="215" t="inlineStr">
        <is>
          <t>C-SLG/2406/25-26</t>
        </is>
      </c>
      <c r="E311" s="215" t="inlineStr">
        <is>
          <t>Sri Venkatheswara Book World</t>
        </is>
      </c>
      <c r="F311" s="216" t="n">
        <v>104942</v>
      </c>
      <c r="G311" s="214" t="n">
        <v>46124</v>
      </c>
      <c r="H311" s="217" t="n">
        <v>0</v>
      </c>
      <c r="I311" s="215">
        <f>MAX(0,F311-H311)</f>
        <v/>
      </c>
      <c r="J311" s="215">
        <f>IF(G311="",0,MAX(0,TODAY()-G311))</f>
        <v/>
      </c>
      <c r="K311" s="215">
        <f>IF(I311&lt;=0,"Current",IF(J311&lt;=30,"0-30 Days",IF(J311&lt;=60,"31-60 Days",IF(J311&lt;=90,"61-90 Days","90+ Days"))))</f>
        <v/>
      </c>
      <c r="L311" s="215">
        <f>IF(I311&lt;=0,"-",IF(J311&lt;=30,"Low",IF(J311&lt;=60,"Low-Medium",IF(J311&lt;=90,"Medium","HIGH RISK"))))</f>
        <v/>
      </c>
      <c r="M311" s="215" t="inlineStr">
        <is>
          <t>Not Responding - Send DSO</t>
        </is>
      </c>
      <c r="N311" s="215" t="inlineStr">
        <is>
          <t>Pending</t>
        </is>
      </c>
    </row>
    <row r="312">
      <c r="A312" s="218" t="n">
        <v>311</v>
      </c>
      <c r="B312" s="218" t="inlineStr">
        <is>
          <t>Vinod</t>
        </is>
      </c>
      <c r="C312" s="219" t="n">
        <v>46092</v>
      </c>
      <c r="D312" s="220" t="inlineStr">
        <is>
          <t>C-SLG/2372/25-26</t>
        </is>
      </c>
      <c r="E312" s="220" t="inlineStr">
        <is>
          <t>SR VENKATESHWARA BOOK WORLD</t>
        </is>
      </c>
      <c r="F312" s="221" t="n">
        <v>11511</v>
      </c>
      <c r="G312" s="219" t="n">
        <v>46117</v>
      </c>
      <c r="H312" s="222" t="n">
        <v>0</v>
      </c>
      <c r="I312" s="220">
        <f>MAX(0,F312-H312)</f>
        <v/>
      </c>
      <c r="J312" s="220">
        <f>IF(G312="",0,MAX(0,TODAY()-G312))</f>
        <v/>
      </c>
      <c r="K312" s="220">
        <f>IF(I312&lt;=0,"Current",IF(J312&lt;=30,"0-30 Days",IF(J312&lt;=60,"31-60 Days",IF(J312&lt;=90,"61-90 Days","90+ Days"))))</f>
        <v/>
      </c>
      <c r="L312" s="220">
        <f>IF(I312&lt;=0,"-",IF(J312&lt;=30,"Low",IF(J312&lt;=60,"Low-Medium",IF(J312&lt;=90,"Medium","HIGH RISK"))))</f>
        <v/>
      </c>
      <c r="M312" s="220" t="inlineStr">
        <is>
          <t>Paid Online - Full Amount</t>
        </is>
      </c>
      <c r="N312" s="220" t="inlineStr">
        <is>
          <t>Pending</t>
        </is>
      </c>
    </row>
    <row r="313">
      <c r="A313" s="193" t="n">
        <v>312</v>
      </c>
      <c r="B313" s="193" t="inlineStr">
        <is>
          <t>Vinod</t>
        </is>
      </c>
      <c r="C313" s="194" t="n">
        <v>46153</v>
      </c>
      <c r="D313" s="195" t="inlineStr">
        <is>
          <t>C-SLG/0114/26-27</t>
        </is>
      </c>
      <c r="E313" s="195" t="inlineStr">
        <is>
          <t>SR VENKATESHWARA BOOK WORLD</t>
        </is>
      </c>
      <c r="F313" s="196" t="n">
        <v>5201</v>
      </c>
      <c r="G313" s="194" t="n">
        <v>46178</v>
      </c>
      <c r="H313" s="197" t="n">
        <v>0</v>
      </c>
      <c r="I313" s="195">
        <f>MAX(0,F313-H313)</f>
        <v/>
      </c>
      <c r="J313" s="195">
        <f>IF(G313="",0,MAX(0,TODAY()-G313))</f>
        <v/>
      </c>
      <c r="K313" s="195">
        <f>IF(I313&lt;=0,"Current",IF(J313&lt;=30,"0-30 Days",IF(J313&lt;=60,"31-60 Days",IF(J313&lt;=90,"61-90 Days","90+ Days"))))</f>
        <v/>
      </c>
      <c r="L313" s="195">
        <f>IF(I313&lt;=0,"-",IF(J313&lt;=30,"Low",IF(J313&lt;=60,"Low-Medium",IF(J313&lt;=90,"Medium","HIGH RISK"))))</f>
        <v/>
      </c>
      <c r="M313" s="195" t="inlineStr"/>
      <c r="N313" s="195" t="inlineStr">
        <is>
          <t>Pending</t>
        </is>
      </c>
    </row>
    <row r="314">
      <c r="A314" s="188" t="n">
        <v>313</v>
      </c>
      <c r="B314" s="188" t="inlineStr">
        <is>
          <t>Vinod</t>
        </is>
      </c>
      <c r="C314" s="189" t="n">
        <v>46015</v>
      </c>
      <c r="D314" s="190" t="inlineStr">
        <is>
          <t>C-SLG/1969/25-26</t>
        </is>
      </c>
      <c r="E314" s="190" t="inlineStr">
        <is>
          <t>Sun Electronics Times</t>
        </is>
      </c>
      <c r="F314" s="191" t="n">
        <v>6182</v>
      </c>
      <c r="G314" s="189" t="n">
        <v>46040</v>
      </c>
      <c r="H314" s="192" t="n">
        <v>0</v>
      </c>
      <c r="I314" s="190">
        <f>MAX(0,F314-H314)</f>
        <v/>
      </c>
      <c r="J314" s="190">
        <f>IF(G314="",0,MAX(0,TODAY()-G314))</f>
        <v/>
      </c>
      <c r="K314" s="190">
        <f>IF(I314&lt;=0,"Current",IF(J314&lt;=30,"0-30 Days",IF(J314&lt;=60,"31-60 Days",IF(J314&lt;=90,"61-90 Days","90+ Days"))))</f>
        <v/>
      </c>
      <c r="L314" s="190">
        <f>IF(I314&lt;=0,"-",IF(J314&lt;=30,"Low",IF(J314&lt;=60,"Low-Medium",IF(J314&lt;=90,"Medium","HIGH RISK"))))</f>
        <v/>
      </c>
      <c r="M314" s="190" t="inlineStr"/>
      <c r="N314" s="190" t="inlineStr">
        <is>
          <t>Pending</t>
        </is>
      </c>
    </row>
    <row r="315">
      <c r="A315" s="198" t="n">
        <v>314</v>
      </c>
      <c r="B315" s="198" t="inlineStr">
        <is>
          <t>Vinod</t>
        </is>
      </c>
      <c r="C315" s="199" t="n">
        <v>46121</v>
      </c>
      <c r="D315" s="200" t="inlineStr">
        <is>
          <t>C-SLG/009/26-27</t>
        </is>
      </c>
      <c r="E315" s="200" t="inlineStr">
        <is>
          <t>S.V.TRADERS DSNR</t>
        </is>
      </c>
      <c r="F315" s="201" t="n">
        <v>17710</v>
      </c>
      <c r="G315" s="199" t="n">
        <v>46146</v>
      </c>
      <c r="H315" s="202" t="n">
        <v>0</v>
      </c>
      <c r="I315" s="200">
        <f>MAX(0,F315-H315)</f>
        <v/>
      </c>
      <c r="J315" s="200">
        <f>IF(G315="",0,MAX(0,TODAY()-G315))</f>
        <v/>
      </c>
      <c r="K315" s="200">
        <f>IF(I315&lt;=0,"Current",IF(J315&lt;=30,"0-30 Days",IF(J315&lt;=60,"31-60 Days",IF(J315&lt;=90,"61-90 Days","90+ Days"))))</f>
        <v/>
      </c>
      <c r="L315" s="200">
        <f>IF(I315&lt;=0,"-",IF(J315&lt;=30,"Low",IF(J315&lt;=60,"Low-Medium",IF(J315&lt;=90,"Medium","HIGH RISK"))))</f>
        <v/>
      </c>
      <c r="M315" s="200" t="inlineStr">
        <is>
          <t>Paid by Cheque</t>
        </is>
      </c>
      <c r="N315" s="200" t="inlineStr">
        <is>
          <t>Pending</t>
        </is>
      </c>
    </row>
    <row r="316">
      <c r="A316" s="178" t="n">
        <v>315</v>
      </c>
      <c r="B316" s="178" t="inlineStr">
        <is>
          <t>Vinod</t>
        </is>
      </c>
      <c r="C316" s="179" t="n">
        <v>46122</v>
      </c>
      <c r="D316" s="180" t="inlineStr">
        <is>
          <t>C-SLG/0026/26-27</t>
        </is>
      </c>
      <c r="E316" s="180" t="inlineStr">
        <is>
          <t>S.V.TRADERS DSNR</t>
        </is>
      </c>
      <c r="F316" s="181" t="n">
        <v>8855</v>
      </c>
      <c r="G316" s="179" t="n">
        <v>46147</v>
      </c>
      <c r="H316" s="182" t="n">
        <v>0</v>
      </c>
      <c r="I316" s="180">
        <f>MAX(0,F316-H316)</f>
        <v/>
      </c>
      <c r="J316" s="180">
        <f>IF(G316="",0,MAX(0,TODAY()-G316))</f>
        <v/>
      </c>
      <c r="K316" s="180">
        <f>IF(I316&lt;=0,"Current",IF(J316&lt;=30,"0-30 Days",IF(J316&lt;=60,"31-60 Days",IF(J316&lt;=90,"61-90 Days","90+ Days"))))</f>
        <v/>
      </c>
      <c r="L316" s="180">
        <f>IF(I316&lt;=0,"-",IF(J316&lt;=30,"Low",IF(J316&lt;=60,"Low-Medium",IF(J316&lt;=90,"Medium","HIGH RISK"))))</f>
        <v/>
      </c>
      <c r="M316" s="180" t="inlineStr">
        <is>
          <t>Paid by Cheque</t>
        </is>
      </c>
      <c r="N316" s="180" t="inlineStr">
        <is>
          <t>Pending</t>
        </is>
      </c>
    </row>
    <row r="317">
      <c r="A317" s="198" t="n">
        <v>316</v>
      </c>
      <c r="B317" s="198" t="inlineStr">
        <is>
          <t>Vinod</t>
        </is>
      </c>
      <c r="C317" s="199" t="n">
        <v>46130</v>
      </c>
      <c r="D317" s="200" t="inlineStr">
        <is>
          <t>C-SLG/0054/26-27</t>
        </is>
      </c>
      <c r="E317" s="200" t="inlineStr">
        <is>
          <t>S.V.TRADERS DSNR</t>
        </is>
      </c>
      <c r="F317" s="201" t="n">
        <v>5572</v>
      </c>
      <c r="G317" s="199" t="n">
        <v>46155</v>
      </c>
      <c r="H317" s="202" t="n">
        <v>0</v>
      </c>
      <c r="I317" s="200">
        <f>MAX(0,F317-H317)</f>
        <v/>
      </c>
      <c r="J317" s="200">
        <f>IF(G317="",0,MAX(0,TODAY()-G317))</f>
        <v/>
      </c>
      <c r="K317" s="200">
        <f>IF(I317&lt;=0,"Current",IF(J317&lt;=30,"0-30 Days",IF(J317&lt;=60,"31-60 Days",IF(J317&lt;=90,"61-90 Days","90+ Days"))))</f>
        <v/>
      </c>
      <c r="L317" s="200">
        <f>IF(I317&lt;=0,"-",IF(J317&lt;=30,"Low",IF(J317&lt;=60,"Low-Medium",IF(J317&lt;=90,"Medium","HIGH RISK"))))</f>
        <v/>
      </c>
      <c r="M317" s="200" t="inlineStr">
        <is>
          <t>Paid by Cheque</t>
        </is>
      </c>
      <c r="N317" s="200" t="inlineStr">
        <is>
          <t>Pending</t>
        </is>
      </c>
    </row>
    <row r="318">
      <c r="A318" s="178" t="n">
        <v>317</v>
      </c>
      <c r="B318" s="178" t="inlineStr">
        <is>
          <t>Vinod</t>
        </is>
      </c>
      <c r="C318" s="179" t="n">
        <v>46142</v>
      </c>
      <c r="D318" s="180" t="inlineStr">
        <is>
          <t>C-SLG/0083/26-27</t>
        </is>
      </c>
      <c r="E318" s="180" t="inlineStr">
        <is>
          <t>S.V.TRADERS DSNR</t>
        </is>
      </c>
      <c r="F318" s="181" t="n">
        <v>5144</v>
      </c>
      <c r="G318" s="179" t="n">
        <v>46167</v>
      </c>
      <c r="H318" s="182" t="n">
        <v>0</v>
      </c>
      <c r="I318" s="180">
        <f>MAX(0,F318-H318)</f>
        <v/>
      </c>
      <c r="J318" s="180">
        <f>IF(G318="",0,MAX(0,TODAY()-G318))</f>
        <v/>
      </c>
      <c r="K318" s="180">
        <f>IF(I318&lt;=0,"Current",IF(J318&lt;=30,"0-30 Days",IF(J318&lt;=60,"31-60 Days",IF(J318&lt;=90,"61-90 Days","90+ Days"))))</f>
        <v/>
      </c>
      <c r="L318" s="180">
        <f>IF(I318&lt;=0,"-",IF(J318&lt;=30,"Low",IF(J318&lt;=60,"Low-Medium",IF(J318&lt;=90,"Medium","HIGH RISK"))))</f>
        <v/>
      </c>
      <c r="M318" s="180" t="inlineStr">
        <is>
          <t>Paid by Cheque</t>
        </is>
      </c>
      <c r="N318" s="180" t="inlineStr">
        <is>
          <t>Pending</t>
        </is>
      </c>
    </row>
    <row r="319">
      <c r="A319" s="193" t="n">
        <v>318</v>
      </c>
      <c r="B319" s="193" t="inlineStr">
        <is>
          <t>Vinod</t>
        </is>
      </c>
      <c r="C319" s="194" t="n">
        <v>46148</v>
      </c>
      <c r="D319" s="195" t="inlineStr">
        <is>
          <t>C-SLG/0094/26-27</t>
        </is>
      </c>
      <c r="E319" s="195" t="inlineStr">
        <is>
          <t>S.V.TRADERS DSNR</t>
        </is>
      </c>
      <c r="F319" s="196" t="n">
        <v>2291</v>
      </c>
      <c r="G319" s="194" t="n">
        <v>46173</v>
      </c>
      <c r="H319" s="197" t="n">
        <v>0</v>
      </c>
      <c r="I319" s="195">
        <f>MAX(0,F319-H319)</f>
        <v/>
      </c>
      <c r="J319" s="195">
        <f>IF(G319="",0,MAX(0,TODAY()-G319))</f>
        <v/>
      </c>
      <c r="K319" s="195">
        <f>IF(I319&lt;=0,"Current",IF(J319&lt;=30,"0-30 Days",IF(J319&lt;=60,"31-60 Days",IF(J319&lt;=90,"61-90 Days","90+ Days"))))</f>
        <v/>
      </c>
      <c r="L319" s="195">
        <f>IF(I319&lt;=0,"-",IF(J319&lt;=30,"Low",IF(J319&lt;=60,"Low-Medium",IF(J319&lt;=90,"Medium","HIGH RISK"))))</f>
        <v/>
      </c>
      <c r="M319" s="195" t="inlineStr"/>
      <c r="N319" s="195" t="inlineStr">
        <is>
          <t>Pending</t>
        </is>
      </c>
    </row>
    <row r="320">
      <c r="A320" s="193" t="n">
        <v>319</v>
      </c>
      <c r="B320" s="193" t="inlineStr">
        <is>
          <t>Vinod</t>
        </is>
      </c>
      <c r="C320" s="194" t="n">
        <v>46150</v>
      </c>
      <c r="D320" s="195" t="inlineStr">
        <is>
          <t>C-SLG/0101/26-27</t>
        </is>
      </c>
      <c r="E320" s="195" t="inlineStr">
        <is>
          <t>S.V.TRADERS DSNR</t>
        </is>
      </c>
      <c r="F320" s="196" t="n">
        <v>21163</v>
      </c>
      <c r="G320" s="194" t="n">
        <v>46175</v>
      </c>
      <c r="H320" s="197" t="n">
        <v>0</v>
      </c>
      <c r="I320" s="195">
        <f>MAX(0,F320-H320)</f>
        <v/>
      </c>
      <c r="J320" s="195">
        <f>IF(G320="",0,MAX(0,TODAY()-G320))</f>
        <v/>
      </c>
      <c r="K320" s="195">
        <f>IF(I320&lt;=0,"Current",IF(J320&lt;=30,"0-30 Days",IF(J320&lt;=60,"31-60 Days",IF(J320&lt;=90,"61-90 Days","90+ Days"))))</f>
        <v/>
      </c>
      <c r="L320" s="195">
        <f>IF(I320&lt;=0,"-",IF(J320&lt;=30,"Low",IF(J320&lt;=60,"Low-Medium",IF(J320&lt;=90,"Medium","HIGH RISK"))))</f>
        <v/>
      </c>
      <c r="M320" s="195" t="inlineStr"/>
      <c r="N320" s="195" t="inlineStr">
        <is>
          <t>Pending</t>
        </is>
      </c>
    </row>
    <row r="321">
      <c r="A321" s="193" t="n">
        <v>320</v>
      </c>
      <c r="B321" s="193" t="inlineStr">
        <is>
          <t>Vinod</t>
        </is>
      </c>
      <c r="C321" s="194" t="n">
        <v>46156</v>
      </c>
      <c r="D321" s="195" t="inlineStr">
        <is>
          <t>C-SLG/0132/26-27</t>
        </is>
      </c>
      <c r="E321" s="195" t="inlineStr">
        <is>
          <t>S.V.TRADERS DSNR</t>
        </is>
      </c>
      <c r="F321" s="196" t="n">
        <v>7384</v>
      </c>
      <c r="G321" s="194" t="n">
        <v>46181</v>
      </c>
      <c r="H321" s="197" t="n">
        <v>0</v>
      </c>
      <c r="I321" s="195">
        <f>MAX(0,F321-H321)</f>
        <v/>
      </c>
      <c r="J321" s="195">
        <f>IF(G321="",0,MAX(0,TODAY()-G321))</f>
        <v/>
      </c>
      <c r="K321" s="195">
        <f>IF(I321&lt;=0,"Current",IF(J321&lt;=30,"0-30 Days",IF(J321&lt;=60,"31-60 Days",IF(J321&lt;=90,"61-90 Days","90+ Days"))))</f>
        <v/>
      </c>
      <c r="L321" s="195">
        <f>IF(I321&lt;=0,"-",IF(J321&lt;=30,"Low",IF(J321&lt;=60,"Low-Medium",IF(J321&lt;=90,"Medium","HIGH RISK"))))</f>
        <v/>
      </c>
      <c r="M321" s="195" t="inlineStr"/>
      <c r="N321" s="195" t="inlineStr">
        <is>
          <t>Pending</t>
        </is>
      </c>
    </row>
    <row r="322">
      <c r="A322" s="178" t="n">
        <v>321</v>
      </c>
      <c r="B322" s="178" t="inlineStr">
        <is>
          <t>Vinod</t>
        </is>
      </c>
      <c r="C322" s="179" t="n">
        <v>46115</v>
      </c>
      <c r="D322" s="180" t="inlineStr">
        <is>
          <t>C-SLG/005/26-27</t>
        </is>
      </c>
      <c r="E322" s="180" t="inlineStr">
        <is>
          <t>VANI BOOKS &amp; STATIONERY</t>
        </is>
      </c>
      <c r="F322" s="181" t="n">
        <v>22</v>
      </c>
      <c r="G322" s="179" t="n">
        <v>46140</v>
      </c>
      <c r="H322" s="182" t="n">
        <v>0</v>
      </c>
      <c r="I322" s="180">
        <f>MAX(0,F322-H322)</f>
        <v/>
      </c>
      <c r="J322" s="180">
        <f>IF(G322="",0,MAX(0,TODAY()-G322))</f>
        <v/>
      </c>
      <c r="K322" s="180">
        <f>IF(I322&lt;=0,"Current",IF(J322&lt;=30,"0-30 Days",IF(J322&lt;=60,"31-60 Days",IF(J322&lt;=90,"61-90 Days","90+ Days"))))</f>
        <v/>
      </c>
      <c r="L322" s="180">
        <f>IF(I322&lt;=0,"-",IF(J322&lt;=30,"Low",IF(J322&lt;=60,"Low-Medium",IF(J322&lt;=90,"Medium","HIGH RISK"))))</f>
        <v/>
      </c>
      <c r="M322" s="180" t="inlineStr"/>
      <c r="N322" s="180" t="inlineStr">
        <is>
          <t>Pending</t>
        </is>
      </c>
    </row>
    <row r="323">
      <c r="A323" s="198" t="n">
        <v>322</v>
      </c>
      <c r="B323" s="198" t="inlineStr">
        <is>
          <t>Vinod</t>
        </is>
      </c>
      <c r="C323" s="199" t="n">
        <v>46125</v>
      </c>
      <c r="D323" s="200" t="inlineStr">
        <is>
          <t>C-SLG/0032/26-27</t>
        </is>
      </c>
      <c r="E323" s="200" t="inlineStr">
        <is>
          <t>VANI BOOKS &amp; STATIONERY</t>
        </is>
      </c>
      <c r="F323" s="201" t="n">
        <v>16</v>
      </c>
      <c r="G323" s="199" t="n">
        <v>46150</v>
      </c>
      <c r="H323" s="202" t="n">
        <v>0</v>
      </c>
      <c r="I323" s="200">
        <f>MAX(0,F323-H323)</f>
        <v/>
      </c>
      <c r="J323" s="200">
        <f>IF(G323="",0,MAX(0,TODAY()-G323))</f>
        <v/>
      </c>
      <c r="K323" s="200">
        <f>IF(I323&lt;=0,"Current",IF(J323&lt;=30,"0-30 Days",IF(J323&lt;=60,"31-60 Days",IF(J323&lt;=90,"61-90 Days","90+ Days"))))</f>
        <v/>
      </c>
      <c r="L323" s="200">
        <f>IF(I323&lt;=0,"-",IF(J323&lt;=30,"Low",IF(J323&lt;=60,"Low-Medium",IF(J323&lt;=90,"Medium","HIGH RISK"))))</f>
        <v/>
      </c>
      <c r="M323" s="200" t="inlineStr"/>
      <c r="N323" s="200" t="inlineStr">
        <is>
          <t>Pending</t>
        </is>
      </c>
    </row>
    <row r="324">
      <c r="A324" s="193" t="n">
        <v>323</v>
      </c>
      <c r="B324" s="193" t="inlineStr">
        <is>
          <t>Vinod</t>
        </is>
      </c>
      <c r="C324" s="194" t="n">
        <v>46146</v>
      </c>
      <c r="D324" s="195" t="inlineStr">
        <is>
          <t>C-SLG/0087/26-27</t>
        </is>
      </c>
      <c r="E324" s="195" t="inlineStr">
        <is>
          <t>VANI BOOKS &amp; STATIONERY</t>
        </is>
      </c>
      <c r="F324" s="196" t="n">
        <v>3660</v>
      </c>
      <c r="G324" s="194" t="n">
        <v>46171</v>
      </c>
      <c r="H324" s="197" t="n">
        <v>0</v>
      </c>
      <c r="I324" s="195">
        <f>MAX(0,F324-H324)</f>
        <v/>
      </c>
      <c r="J324" s="195">
        <f>IF(G324="",0,MAX(0,TODAY()-G324))</f>
        <v/>
      </c>
      <c r="K324" s="195">
        <f>IF(I324&lt;=0,"Current",IF(J324&lt;=30,"0-30 Days",IF(J324&lt;=60,"31-60 Days",IF(J324&lt;=90,"61-90 Days","90+ Days"))))</f>
        <v/>
      </c>
      <c r="L324" s="195">
        <f>IF(I324&lt;=0,"-",IF(J324&lt;=30,"Low",IF(J324&lt;=60,"Low-Medium",IF(J324&lt;=90,"Medium","HIGH RISK"))))</f>
        <v/>
      </c>
      <c r="M324" s="195" t="inlineStr"/>
      <c r="N324" s="195" t="inlineStr">
        <is>
          <t>Pending</t>
        </is>
      </c>
    </row>
    <row r="325">
      <c r="A325" s="213" t="n">
        <v>324</v>
      </c>
      <c r="B325" s="213" t="inlineStr">
        <is>
          <t>Vinod</t>
        </is>
      </c>
      <c r="C325" s="214" t="n">
        <v>46111</v>
      </c>
      <c r="D325" s="215" t="inlineStr">
        <is>
          <t>C-SLG/2475/25-26</t>
        </is>
      </c>
      <c r="E325" s="215" t="inlineStr">
        <is>
          <t>Venkateswara Book Bank</t>
        </is>
      </c>
      <c r="F325" s="216" t="n">
        <v>1655</v>
      </c>
      <c r="G325" s="214" t="n">
        <v>46136</v>
      </c>
      <c r="H325" s="217" t="n">
        <v>0</v>
      </c>
      <c r="I325" s="215">
        <f>MAX(0,F325-H325)</f>
        <v/>
      </c>
      <c r="J325" s="215">
        <f>IF(G325="",0,MAX(0,TODAY()-G325))</f>
        <v/>
      </c>
      <c r="K325" s="215">
        <f>IF(I325&lt;=0,"Current",IF(J325&lt;=30,"0-30 Days",IF(J325&lt;=60,"31-60 Days",IF(J325&lt;=90,"61-90 Days","90+ Days"))))</f>
        <v/>
      </c>
      <c r="L325" s="215">
        <f>IF(I325&lt;=0,"-",IF(J325&lt;=30,"Low",IF(J325&lt;=60,"Low-Medium",IF(J325&lt;=90,"Medium","HIGH RISK"))))</f>
        <v/>
      </c>
      <c r="M325" s="215" t="inlineStr"/>
      <c r="N325" s="215" t="inlineStr">
        <is>
          <t>Pending</t>
        </is>
      </c>
    </row>
    <row r="326">
      <c r="A326" s="178" t="n">
        <v>325</v>
      </c>
      <c r="B326" s="178" t="inlineStr">
        <is>
          <t>Vinod</t>
        </is>
      </c>
      <c r="C326" s="179" t="n">
        <v>46121</v>
      </c>
      <c r="D326" s="180" t="inlineStr">
        <is>
          <t>C-SLG/0019/26-27</t>
        </is>
      </c>
      <c r="E326" s="180" t="inlineStr">
        <is>
          <t>Venkateswara Book Bank</t>
        </is>
      </c>
      <c r="F326" s="181" t="n">
        <v>251</v>
      </c>
      <c r="G326" s="179" t="n">
        <v>46146</v>
      </c>
      <c r="H326" s="182" t="n">
        <v>0</v>
      </c>
      <c r="I326" s="180">
        <f>MAX(0,F326-H326)</f>
        <v/>
      </c>
      <c r="J326" s="180">
        <f>IF(G326="",0,MAX(0,TODAY()-G326))</f>
        <v/>
      </c>
      <c r="K326" s="180">
        <f>IF(I326&lt;=0,"Current",IF(J326&lt;=30,"0-30 Days",IF(J326&lt;=60,"31-60 Days",IF(J326&lt;=90,"61-90 Days","90+ Days"))))</f>
        <v/>
      </c>
      <c r="L326" s="180">
        <f>IF(I326&lt;=0,"-",IF(J326&lt;=30,"Low",IF(J326&lt;=60,"Low-Medium",IF(J326&lt;=90,"Medium","HIGH RISK"))))</f>
        <v/>
      </c>
      <c r="M326" s="180" t="inlineStr"/>
      <c r="N326" s="180" t="inlineStr">
        <is>
          <t>Pending</t>
        </is>
      </c>
    </row>
    <row r="327">
      <c r="A327" s="198" t="n">
        <v>326</v>
      </c>
      <c r="B327" s="198" t="inlineStr">
        <is>
          <t>Vinod</t>
        </is>
      </c>
      <c r="C327" s="199" t="inlineStr">
        <is>
          <t>2026-05-14</t>
        </is>
      </c>
      <c r="D327" s="200" t="inlineStr">
        <is>
          <t>C-SLG/0123/26-27</t>
        </is>
      </c>
      <c r="E327" s="200" t="inlineStr">
        <is>
          <t>CENTRAL BOOKS AND STATIONERY</t>
        </is>
      </c>
      <c r="F327" s="201" t="n">
        <v>2614</v>
      </c>
      <c r="G327" s="199" t="inlineStr">
        <is>
          <t>2026-06-08</t>
        </is>
      </c>
      <c r="H327" s="202" t="n">
        <v>0</v>
      </c>
      <c r="I327" s="200">
        <f>MAX(0,F327-H327)</f>
        <v/>
      </c>
      <c r="J327" s="200">
        <f>IF(G327="",0,MAX(0,TODAY()-G327))</f>
        <v/>
      </c>
      <c r="K327" s="200">
        <f>IF(I327&lt;=0,"Current",IF(J327&lt;=30,"0-30 Days",IF(J327&lt;=60,"31-60 Days",IF(J327&lt;=90,"61-90 Days","90+ Days"))))</f>
        <v/>
      </c>
      <c r="L327" s="200">
        <f>IF(I327&lt;=0,"-",IF(J327&lt;=30,"Low",IF(J327&lt;=60,"Low-Medium",IF(J327&lt;=90,"Medium","HIGH RISK"))))</f>
        <v/>
      </c>
      <c r="M327" s="200" t="inlineStr"/>
      <c r="N327" s="200" t="inlineStr">
        <is>
          <t>Pending</t>
        </is>
      </c>
    </row>
    <row r="328">
      <c r="A328" s="178" t="n">
        <v>327</v>
      </c>
      <c r="B328" s="178" t="inlineStr">
        <is>
          <t>Vinod</t>
        </is>
      </c>
      <c r="C328" s="179" t="inlineStr">
        <is>
          <t>2026-05-14</t>
        </is>
      </c>
      <c r="D328" s="180" t="inlineStr">
        <is>
          <t>C-SLG/0126/26-27</t>
        </is>
      </c>
      <c r="E328" s="180" t="inlineStr">
        <is>
          <t>Central Book Seller &amp; Stationery</t>
        </is>
      </c>
      <c r="F328" s="181" t="n">
        <v>1328</v>
      </c>
      <c r="G328" s="179" t="inlineStr">
        <is>
          <t>2026-06-08</t>
        </is>
      </c>
      <c r="H328" s="182" t="n">
        <v>0</v>
      </c>
      <c r="I328" s="180">
        <f>MAX(0,F328-H328)</f>
        <v/>
      </c>
      <c r="J328" s="180">
        <f>IF(G328="",0,MAX(0,TODAY()-G328))</f>
        <v/>
      </c>
      <c r="K328" s="180">
        <f>IF(I328&lt;=0,"Current",IF(J328&lt;=30,"0-30 Days",IF(J328&lt;=60,"31-60 Days",IF(J328&lt;=90,"61-90 Days","90+ Days"))))</f>
        <v/>
      </c>
      <c r="L328" s="180">
        <f>IF(I328&lt;=0,"-",IF(J328&lt;=30,"Low",IF(J328&lt;=60,"Low-Medium",IF(J328&lt;=90,"Medium","HIGH RISK"))))</f>
        <v/>
      </c>
      <c r="M328" s="180" t="inlineStr"/>
      <c r="N328" s="180" t="inlineStr">
        <is>
          <t>Pending</t>
        </is>
      </c>
    </row>
    <row r="329">
      <c r="A329" s="198" t="n">
        <v>328</v>
      </c>
      <c r="B329" s="198" t="inlineStr">
        <is>
          <t>Vinod</t>
        </is>
      </c>
      <c r="C329" s="199" t="inlineStr">
        <is>
          <t>2026-05-13</t>
        </is>
      </c>
      <c r="D329" s="200" t="inlineStr">
        <is>
          <t>C-SLG/0118/26-27</t>
        </is>
      </c>
      <c r="E329" s="200" t="inlineStr">
        <is>
          <t>Jyothi Book Center (Himayathnagar)</t>
        </is>
      </c>
      <c r="F329" s="201" t="n">
        <v>4243</v>
      </c>
      <c r="G329" s="199" t="inlineStr">
        <is>
          <t>2026-06-07</t>
        </is>
      </c>
      <c r="H329" s="202" t="n">
        <v>0</v>
      </c>
      <c r="I329" s="200">
        <f>MAX(0,F329-H329)</f>
        <v/>
      </c>
      <c r="J329" s="200">
        <f>IF(G329="",0,MAX(0,TODAY()-G329))</f>
        <v/>
      </c>
      <c r="K329" s="200">
        <f>IF(I329&lt;=0,"Current",IF(J329&lt;=30,"0-30 Days",IF(J329&lt;=60,"31-60 Days",IF(J329&lt;=90,"61-90 Days","90+ Days"))))</f>
        <v/>
      </c>
      <c r="L329" s="200">
        <f>IF(I329&lt;=0,"-",IF(J329&lt;=30,"Low",IF(J329&lt;=60,"Low-Medium",IF(J329&lt;=90,"Medium","HIGH RISK"))))</f>
        <v/>
      </c>
      <c r="M329" s="200" t="inlineStr"/>
      <c r="N329" s="200" t="inlineStr">
        <is>
          <t>Pending</t>
        </is>
      </c>
    </row>
    <row r="330">
      <c r="A330" s="178" t="n">
        <v>329</v>
      </c>
      <c r="B330" s="178" t="inlineStr">
        <is>
          <t>Vinod</t>
        </is>
      </c>
      <c r="C330" s="179" t="inlineStr">
        <is>
          <t>2026-05-14</t>
        </is>
      </c>
      <c r="D330" s="180" t="inlineStr">
        <is>
          <t>C-SLG/0124/26-27</t>
        </is>
      </c>
      <c r="E330" s="180" t="inlineStr">
        <is>
          <t>Kavitha Stationery &amp; Xerox</t>
        </is>
      </c>
      <c r="F330" s="181" t="n">
        <v>1328</v>
      </c>
      <c r="G330" s="179" t="inlineStr">
        <is>
          <t>2026-06-08</t>
        </is>
      </c>
      <c r="H330" s="182" t="n">
        <v>0</v>
      </c>
      <c r="I330" s="180">
        <f>MAX(0,F330-H330)</f>
        <v/>
      </c>
      <c r="J330" s="180">
        <f>IF(G330="",0,MAX(0,TODAY()-G330))</f>
        <v/>
      </c>
      <c r="K330" s="180">
        <f>IF(I330&lt;=0,"Current",IF(J330&lt;=30,"0-30 Days",IF(J330&lt;=60,"31-60 Days",IF(J330&lt;=90,"61-90 Days","90+ Days"))))</f>
        <v/>
      </c>
      <c r="L330" s="180">
        <f>IF(I330&lt;=0,"-",IF(J330&lt;=30,"Low",IF(J330&lt;=60,"Low-Medium",IF(J330&lt;=90,"Medium","HIGH RISK"))))</f>
        <v/>
      </c>
      <c r="M330" s="180" t="inlineStr"/>
      <c r="N330" s="180" t="inlineStr">
        <is>
          <t>Pending</t>
        </is>
      </c>
    </row>
    <row r="331">
      <c r="A331" s="198" t="n">
        <v>330</v>
      </c>
      <c r="B331" s="198" t="inlineStr">
        <is>
          <t>Vinod</t>
        </is>
      </c>
      <c r="C331" s="199" t="inlineStr">
        <is>
          <t>2026-05-19</t>
        </is>
      </c>
      <c r="D331" s="200" t="inlineStr">
        <is>
          <t>C-SLG/0153/26-27</t>
        </is>
      </c>
      <c r="E331" s="200" t="inlineStr">
        <is>
          <t>Knowledge Park Book Bank</t>
        </is>
      </c>
      <c r="F331" s="201" t="n">
        <v>2472</v>
      </c>
      <c r="G331" s="199" t="inlineStr">
        <is>
          <t>2026-06-13</t>
        </is>
      </c>
      <c r="H331" s="202" t="n">
        <v>0</v>
      </c>
      <c r="I331" s="200">
        <f>MAX(0,F331-H331)</f>
        <v/>
      </c>
      <c r="J331" s="200">
        <f>IF(G331="",0,MAX(0,TODAY()-G331))</f>
        <v/>
      </c>
      <c r="K331" s="200">
        <f>IF(I331&lt;=0,"Current",IF(J331&lt;=30,"0-30 Days",IF(J331&lt;=60,"31-60 Days",IF(J331&lt;=90,"61-90 Days","90+ Days"))))</f>
        <v/>
      </c>
      <c r="L331" s="200">
        <f>IF(I331&lt;=0,"-",IF(J331&lt;=30,"Low",IF(J331&lt;=60,"Low-Medium",IF(J331&lt;=90,"Medium","HIGH RISK"))))</f>
        <v/>
      </c>
      <c r="M331" s="200" t="inlineStr"/>
      <c r="N331" s="200" t="inlineStr">
        <is>
          <t>Pending</t>
        </is>
      </c>
    </row>
    <row r="332">
      <c r="A332" s="178" t="n">
        <v>331</v>
      </c>
      <c r="B332" s="178" t="inlineStr">
        <is>
          <t>Vinod</t>
        </is>
      </c>
      <c r="C332" s="179" t="inlineStr">
        <is>
          <t>2026-05-06</t>
        </is>
      </c>
      <c r="D332" s="180" t="inlineStr">
        <is>
          <t>C-SLG/0090/26-27</t>
        </is>
      </c>
      <c r="E332" s="180" t="inlineStr">
        <is>
          <t>Mv Rao Book Center</t>
        </is>
      </c>
      <c r="F332" s="181" t="n">
        <v>1143</v>
      </c>
      <c r="G332" s="179" t="inlineStr">
        <is>
          <t>2026-05-31</t>
        </is>
      </c>
      <c r="H332" s="182" t="n">
        <v>0</v>
      </c>
      <c r="I332" s="180">
        <f>MAX(0,F332-H332)</f>
        <v/>
      </c>
      <c r="J332" s="180">
        <f>IF(G332="",0,MAX(0,TODAY()-G332))</f>
        <v/>
      </c>
      <c r="K332" s="180">
        <f>IF(I332&lt;=0,"Current",IF(J332&lt;=30,"0-30 Days",IF(J332&lt;=60,"31-60 Days",IF(J332&lt;=90,"61-90 Days","90+ Days"))))</f>
        <v/>
      </c>
      <c r="L332" s="180">
        <f>IF(I332&lt;=0,"-",IF(J332&lt;=30,"Low",IF(J332&lt;=60,"Low-Medium",IF(J332&lt;=90,"Medium","HIGH RISK"))))</f>
        <v/>
      </c>
      <c r="M332" s="180" t="inlineStr"/>
      <c r="N332" s="180" t="inlineStr">
        <is>
          <t>Pending</t>
        </is>
      </c>
    </row>
    <row r="333">
      <c r="A333" s="198" t="n">
        <v>332</v>
      </c>
      <c r="B333" s="198" t="inlineStr">
        <is>
          <t>Vinod</t>
        </is>
      </c>
      <c r="C333" s="199" t="inlineStr">
        <is>
          <t>2026-05-16</t>
        </is>
      </c>
      <c r="D333" s="200" t="inlineStr">
        <is>
          <t>C-SLG/0140/26-27</t>
        </is>
      </c>
      <c r="E333" s="200" t="inlineStr">
        <is>
          <t>Om Sri Sai Ram Book Point</t>
        </is>
      </c>
      <c r="F333" s="201" t="n">
        <v>1648</v>
      </c>
      <c r="G333" s="199" t="inlineStr">
        <is>
          <t>2026-06-10</t>
        </is>
      </c>
      <c r="H333" s="202" t="n">
        <v>0</v>
      </c>
      <c r="I333" s="200">
        <f>MAX(0,F333-H333)</f>
        <v/>
      </c>
      <c r="J333" s="200">
        <f>IF(G333="",0,MAX(0,TODAY()-G333))</f>
        <v/>
      </c>
      <c r="K333" s="200">
        <f>IF(I333&lt;=0,"Current",IF(J333&lt;=30,"0-30 Days",IF(J333&lt;=60,"31-60 Days",IF(J333&lt;=90,"61-90 Days","90+ Days"))))</f>
        <v/>
      </c>
      <c r="L333" s="200">
        <f>IF(I333&lt;=0,"-",IF(J333&lt;=30,"Low",IF(J333&lt;=60,"Low-Medium",IF(J333&lt;=90,"Medium","HIGH RISK"))))</f>
        <v/>
      </c>
      <c r="M333" s="200" t="inlineStr"/>
      <c r="N333" s="200" t="inlineStr">
        <is>
          <t>Pending</t>
        </is>
      </c>
    </row>
    <row r="334">
      <c r="A334" s="178" t="n">
        <v>333</v>
      </c>
      <c r="B334" s="178" t="inlineStr">
        <is>
          <t>Vinod</t>
        </is>
      </c>
      <c r="C334" s="179" t="inlineStr">
        <is>
          <t>2026-05-23</t>
        </is>
      </c>
      <c r="D334" s="180" t="inlineStr">
        <is>
          <t>C-SLG/0163/26-27</t>
        </is>
      </c>
      <c r="E334" s="180" t="inlineStr">
        <is>
          <t>PRAKASH STATIONERS (HIMAYATH NAGAR)</t>
        </is>
      </c>
      <c r="F334" s="181" t="n">
        <v>8239</v>
      </c>
      <c r="G334" s="179" t="inlineStr">
        <is>
          <t>2026-06-17</t>
        </is>
      </c>
      <c r="H334" s="182" t="n">
        <v>0</v>
      </c>
      <c r="I334" s="180">
        <f>MAX(0,F334-H334)</f>
        <v/>
      </c>
      <c r="J334" s="180">
        <f>IF(G334="",0,MAX(0,TODAY()-G334))</f>
        <v/>
      </c>
      <c r="K334" s="180">
        <f>IF(I334&lt;=0,"Current",IF(J334&lt;=30,"0-30 Days",IF(J334&lt;=60,"31-60 Days",IF(J334&lt;=90,"61-90 Days","90+ Days"))))</f>
        <v/>
      </c>
      <c r="L334" s="180">
        <f>IF(I334&lt;=0,"-",IF(J334&lt;=30,"Low",IF(J334&lt;=60,"Low-Medium",IF(J334&lt;=90,"Medium","HIGH RISK"))))</f>
        <v/>
      </c>
      <c r="M334" s="180" t="inlineStr"/>
      <c r="N334" s="180" t="inlineStr">
        <is>
          <t>Pending</t>
        </is>
      </c>
    </row>
    <row r="335">
      <c r="A335" s="198" t="n">
        <v>334</v>
      </c>
      <c r="B335" s="198" t="inlineStr">
        <is>
          <t>Vinod</t>
        </is>
      </c>
      <c r="C335" s="199" t="inlineStr">
        <is>
          <t>2026-05-19</t>
        </is>
      </c>
      <c r="D335" s="200" t="inlineStr">
        <is>
          <t>228</t>
        </is>
      </c>
      <c r="E335" s="200" t="inlineStr">
        <is>
          <t>PUSHPA BOOK CENTER</t>
        </is>
      </c>
      <c r="F335" s="201" t="n">
        <v>-70</v>
      </c>
      <c r="G335" s="199" t="inlineStr">
        <is>
          <t>2026-06-13</t>
        </is>
      </c>
      <c r="H335" s="202" t="n">
        <v>0</v>
      </c>
      <c r="I335" s="200">
        <f>MAX(0,F335-H335)</f>
        <v/>
      </c>
      <c r="J335" s="200">
        <f>IF(G335="",0,MAX(0,TODAY()-G335))</f>
        <v/>
      </c>
      <c r="K335" s="200">
        <f>IF(I335&lt;=0,"Current",IF(J335&lt;=30,"0-30 Days",IF(J335&lt;=60,"31-60 Days",IF(J335&lt;=90,"61-90 Days","90+ Days"))))</f>
        <v/>
      </c>
      <c r="L335" s="200">
        <f>IF(I335&lt;=0,"-",IF(J335&lt;=30,"Low",IF(J335&lt;=60,"Low-Medium",IF(J335&lt;=90,"Medium","HIGH RISK"))))</f>
        <v/>
      </c>
      <c r="M335" s="200" t="inlineStr"/>
      <c r="N335" s="200" t="inlineStr">
        <is>
          <t>Pending</t>
        </is>
      </c>
    </row>
    <row r="336">
      <c r="A336" s="178" t="n">
        <v>335</v>
      </c>
      <c r="B336" s="178" t="inlineStr">
        <is>
          <t>Vinod</t>
        </is>
      </c>
      <c r="C336" s="179" t="inlineStr">
        <is>
          <t>2026-05-07</t>
        </is>
      </c>
      <c r="D336" s="180" t="inlineStr">
        <is>
          <t>C-SLG/0098/26-27</t>
        </is>
      </c>
      <c r="E336" s="180" t="inlineStr">
        <is>
          <t>R.B Stationery</t>
        </is>
      </c>
      <c r="F336" s="181" t="n">
        <v>2187</v>
      </c>
      <c r="G336" s="179" t="inlineStr">
        <is>
          <t>2026-06-01</t>
        </is>
      </c>
      <c r="H336" s="182" t="n">
        <v>0</v>
      </c>
      <c r="I336" s="180">
        <f>MAX(0,F336-H336)</f>
        <v/>
      </c>
      <c r="J336" s="180">
        <f>IF(G336="",0,MAX(0,TODAY()-G336))</f>
        <v/>
      </c>
      <c r="K336" s="180">
        <f>IF(I336&lt;=0,"Current",IF(J336&lt;=30,"0-30 Days",IF(J336&lt;=60,"31-60 Days",IF(J336&lt;=90,"61-90 Days","90+ Days"))))</f>
        <v/>
      </c>
      <c r="L336" s="180">
        <f>IF(I336&lt;=0,"-",IF(J336&lt;=30,"Low",IF(J336&lt;=60,"Low-Medium",IF(J336&lt;=90,"Medium","HIGH RISK"))))</f>
        <v/>
      </c>
      <c r="M336" s="180" t="inlineStr"/>
      <c r="N336" s="180" t="inlineStr">
        <is>
          <t>Pending</t>
        </is>
      </c>
    </row>
    <row r="337">
      <c r="A337" s="198" t="n">
        <v>336</v>
      </c>
      <c r="B337" s="198" t="inlineStr">
        <is>
          <t>Vinod</t>
        </is>
      </c>
      <c r="C337" s="199" t="inlineStr">
        <is>
          <t>2026-05-19</t>
        </is>
      </c>
      <c r="D337" s="200" t="inlineStr">
        <is>
          <t>C-SLG/0148/26-27</t>
        </is>
      </c>
      <c r="E337" s="200" t="inlineStr">
        <is>
          <t>Renuka Book Depot and Stationery</t>
        </is>
      </c>
      <c r="F337" s="201" t="n">
        <v>2414</v>
      </c>
      <c r="G337" s="199" t="inlineStr">
        <is>
          <t>2026-06-13</t>
        </is>
      </c>
      <c r="H337" s="202" t="n">
        <v>0</v>
      </c>
      <c r="I337" s="200">
        <f>MAX(0,F337-H337)</f>
        <v/>
      </c>
      <c r="J337" s="200">
        <f>IF(G337="",0,MAX(0,TODAY()-G337))</f>
        <v/>
      </c>
      <c r="K337" s="200">
        <f>IF(I337&lt;=0,"Current",IF(J337&lt;=30,"0-30 Days",IF(J337&lt;=60,"31-60 Days",IF(J337&lt;=90,"61-90 Days","90+ Days"))))</f>
        <v/>
      </c>
      <c r="L337" s="200">
        <f>IF(I337&lt;=0,"-",IF(J337&lt;=30,"Low",IF(J337&lt;=60,"Low-Medium",IF(J337&lt;=90,"Medium","HIGH RISK"))))</f>
        <v/>
      </c>
      <c r="M337" s="200" t="inlineStr"/>
      <c r="N337" s="200" t="inlineStr">
        <is>
          <t>Pending</t>
        </is>
      </c>
    </row>
    <row r="338">
      <c r="A338" s="178" t="n">
        <v>337</v>
      </c>
      <c r="B338" s="178" t="inlineStr">
        <is>
          <t>Vinod</t>
        </is>
      </c>
      <c r="C338" s="179" t="inlineStr">
        <is>
          <t>2026-05-06</t>
        </is>
      </c>
      <c r="D338" s="180" t="inlineStr">
        <is>
          <t>C-SLG/0092/26-27</t>
        </is>
      </c>
      <c r="E338" s="180" t="inlineStr">
        <is>
          <t>Sahitya Nilam Books Exibition</t>
        </is>
      </c>
      <c r="F338" s="181" t="n">
        <v>916</v>
      </c>
      <c r="G338" s="179" t="inlineStr">
        <is>
          <t>2026-05-31</t>
        </is>
      </c>
      <c r="H338" s="182" t="n">
        <v>0</v>
      </c>
      <c r="I338" s="180">
        <f>MAX(0,F338-H338)</f>
        <v/>
      </c>
      <c r="J338" s="180">
        <f>IF(G338="",0,MAX(0,TODAY()-G338))</f>
        <v/>
      </c>
      <c r="K338" s="180">
        <f>IF(I338&lt;=0,"Current",IF(J338&lt;=30,"0-30 Days",IF(J338&lt;=60,"31-60 Days",IF(J338&lt;=90,"61-90 Days","90+ Days"))))</f>
        <v/>
      </c>
      <c r="L338" s="180">
        <f>IF(I338&lt;=0,"-",IF(J338&lt;=30,"Low",IF(J338&lt;=60,"Low-Medium",IF(J338&lt;=90,"Medium","HIGH RISK"))))</f>
        <v/>
      </c>
      <c r="M338" s="180" t="inlineStr"/>
      <c r="N338" s="180" t="inlineStr">
        <is>
          <t>Pending</t>
        </is>
      </c>
    </row>
    <row r="339">
      <c r="A339" s="198" t="n">
        <v>338</v>
      </c>
      <c r="B339" s="198" t="inlineStr">
        <is>
          <t>Vinod</t>
        </is>
      </c>
      <c r="C339" s="199" t="inlineStr">
        <is>
          <t>2026-05-23</t>
        </is>
      </c>
      <c r="D339" s="200" t="inlineStr">
        <is>
          <t>C-SLG/0164/26-27</t>
        </is>
      </c>
      <c r="E339" s="200" t="inlineStr">
        <is>
          <t>Sahitya Nilam Books Exibition</t>
        </is>
      </c>
      <c r="F339" s="201" t="n">
        <v>886</v>
      </c>
      <c r="G339" s="199" t="inlineStr">
        <is>
          <t>2026-06-17</t>
        </is>
      </c>
      <c r="H339" s="202" t="n">
        <v>0</v>
      </c>
      <c r="I339" s="200">
        <f>MAX(0,F339-H339)</f>
        <v/>
      </c>
      <c r="J339" s="200">
        <f>IF(G339="",0,MAX(0,TODAY()-G339))</f>
        <v/>
      </c>
      <c r="K339" s="200">
        <f>IF(I339&lt;=0,"Current",IF(J339&lt;=30,"0-30 Days",IF(J339&lt;=60,"31-60 Days",IF(J339&lt;=90,"61-90 Days","90+ Days"))))</f>
        <v/>
      </c>
      <c r="L339" s="200">
        <f>IF(I339&lt;=0,"-",IF(J339&lt;=30,"Low",IF(J339&lt;=60,"Low-Medium",IF(J339&lt;=90,"Medium","HIGH RISK"))))</f>
        <v/>
      </c>
      <c r="M339" s="200" t="inlineStr"/>
      <c r="N339" s="200" t="inlineStr">
        <is>
          <t>Pending</t>
        </is>
      </c>
    </row>
    <row r="340">
      <c r="A340" s="178" t="n">
        <v>339</v>
      </c>
      <c r="B340" s="178" t="inlineStr">
        <is>
          <t>Vinod</t>
        </is>
      </c>
      <c r="C340" s="179" t="inlineStr">
        <is>
          <t>2026-05-09</t>
        </is>
      </c>
      <c r="D340" s="180" t="inlineStr">
        <is>
          <t>C-SLG/0106/26-27</t>
        </is>
      </c>
      <c r="E340" s="180" t="inlineStr">
        <is>
          <t>SAI BALAJI BOOK CENTER</t>
        </is>
      </c>
      <c r="F340" s="181" t="n">
        <v>1459</v>
      </c>
      <c r="G340" s="179" t="inlineStr">
        <is>
          <t>2026-06-03</t>
        </is>
      </c>
      <c r="H340" s="182" t="n">
        <v>0</v>
      </c>
      <c r="I340" s="180">
        <f>MAX(0,F340-H340)</f>
        <v/>
      </c>
      <c r="J340" s="180">
        <f>IF(G340="",0,MAX(0,TODAY()-G340))</f>
        <v/>
      </c>
      <c r="K340" s="180">
        <f>IF(I340&lt;=0,"Current",IF(J340&lt;=30,"0-30 Days",IF(J340&lt;=60,"31-60 Days",IF(J340&lt;=90,"61-90 Days","90+ Days"))))</f>
        <v/>
      </c>
      <c r="L340" s="180">
        <f>IF(I340&lt;=0,"-",IF(J340&lt;=30,"Low",IF(J340&lt;=60,"Low-Medium",IF(J340&lt;=90,"Medium","HIGH RISK"))))</f>
        <v/>
      </c>
      <c r="M340" s="180" t="inlineStr"/>
      <c r="N340" s="180" t="inlineStr">
        <is>
          <t>Pending</t>
        </is>
      </c>
    </row>
    <row r="341">
      <c r="A341" s="198" t="n">
        <v>340</v>
      </c>
      <c r="B341" s="198" t="inlineStr">
        <is>
          <t>Vinod</t>
        </is>
      </c>
      <c r="C341" s="199" t="inlineStr">
        <is>
          <t>2026-05-19</t>
        </is>
      </c>
      <c r="D341" s="200" t="inlineStr">
        <is>
          <t>C-SLG/0146/26-27</t>
        </is>
      </c>
      <c r="E341" s="200" t="inlineStr">
        <is>
          <t>SAI BALAJI BOOK CENTER</t>
        </is>
      </c>
      <c r="F341" s="201" t="n">
        <v>1652</v>
      </c>
      <c r="G341" s="199" t="inlineStr">
        <is>
          <t>2026-06-13</t>
        </is>
      </c>
      <c r="H341" s="202" t="n">
        <v>0</v>
      </c>
      <c r="I341" s="200">
        <f>MAX(0,F341-H341)</f>
        <v/>
      </c>
      <c r="J341" s="200">
        <f>IF(G341="",0,MAX(0,TODAY()-G341))</f>
        <v/>
      </c>
      <c r="K341" s="200">
        <f>IF(I341&lt;=0,"Current",IF(J341&lt;=30,"0-30 Days",IF(J341&lt;=60,"31-60 Days",IF(J341&lt;=90,"61-90 Days","90+ Days"))))</f>
        <v/>
      </c>
      <c r="L341" s="200">
        <f>IF(I341&lt;=0,"-",IF(J341&lt;=30,"Low",IF(J341&lt;=60,"Low-Medium",IF(J341&lt;=90,"Medium","HIGH RISK"))))</f>
        <v/>
      </c>
      <c r="M341" s="200" t="inlineStr"/>
      <c r="N341" s="200" t="inlineStr">
        <is>
          <t>Pending</t>
        </is>
      </c>
    </row>
    <row r="342">
      <c r="A342" s="178" t="n">
        <v>341</v>
      </c>
      <c r="B342" s="178" t="inlineStr">
        <is>
          <t>Vinod</t>
        </is>
      </c>
      <c r="C342" s="179" t="inlineStr">
        <is>
          <t>2026-05-07</t>
        </is>
      </c>
      <c r="D342" s="180" t="inlineStr">
        <is>
          <t>Excess-166</t>
        </is>
      </c>
      <c r="E342" s="180" t="inlineStr">
        <is>
          <t>Sai Jyothi Stationery &amp; Xerox</t>
        </is>
      </c>
      <c r="F342" s="181" t="n">
        <v>-8</v>
      </c>
      <c r="G342" s="179" t="inlineStr">
        <is>
          <t>2026-06-01</t>
        </is>
      </c>
      <c r="H342" s="182" t="n">
        <v>0</v>
      </c>
      <c r="I342" s="180">
        <f>MAX(0,F342-H342)</f>
        <v/>
      </c>
      <c r="J342" s="180">
        <f>IF(G342="",0,MAX(0,TODAY()-G342))</f>
        <v/>
      </c>
      <c r="K342" s="180">
        <f>IF(I342&lt;=0,"Current",IF(J342&lt;=30,"0-30 Days",IF(J342&lt;=60,"31-60 Days",IF(J342&lt;=90,"61-90 Days","90+ Days"))))</f>
        <v/>
      </c>
      <c r="L342" s="180">
        <f>IF(I342&lt;=0,"-",IF(J342&lt;=30,"Low",IF(J342&lt;=60,"Low-Medium",IF(J342&lt;=90,"Medium","HIGH RISK"))))</f>
        <v/>
      </c>
      <c r="M342" s="180" t="inlineStr"/>
      <c r="N342" s="180" t="inlineStr">
        <is>
          <t>Pending</t>
        </is>
      </c>
    </row>
    <row r="343">
      <c r="A343" s="198" t="n">
        <v>342</v>
      </c>
      <c r="B343" s="198" t="inlineStr">
        <is>
          <t>Vinod</t>
        </is>
      </c>
      <c r="C343" s="199" t="inlineStr">
        <is>
          <t>2026-05-14</t>
        </is>
      </c>
      <c r="D343" s="200" t="inlineStr">
        <is>
          <t>C-SLG/0122/26-27</t>
        </is>
      </c>
      <c r="E343" s="200" t="inlineStr">
        <is>
          <t>Sai Ram Stationery &amp; Xerox</t>
        </is>
      </c>
      <c r="F343" s="201" t="n">
        <v>1663</v>
      </c>
      <c r="G343" s="199" t="inlineStr">
        <is>
          <t>2026-06-08</t>
        </is>
      </c>
      <c r="H343" s="202" t="n">
        <v>0</v>
      </c>
      <c r="I343" s="200">
        <f>MAX(0,F343-H343)</f>
        <v/>
      </c>
      <c r="J343" s="200">
        <f>IF(G343="",0,MAX(0,TODAY()-G343))</f>
        <v/>
      </c>
      <c r="K343" s="200">
        <f>IF(I343&lt;=0,"Current",IF(J343&lt;=30,"0-30 Days",IF(J343&lt;=60,"31-60 Days",IF(J343&lt;=90,"61-90 Days","90+ Days"))))</f>
        <v/>
      </c>
      <c r="L343" s="200">
        <f>IF(I343&lt;=0,"-",IF(J343&lt;=30,"Low",IF(J343&lt;=60,"Low-Medium",IF(J343&lt;=90,"Medium","HIGH RISK"))))</f>
        <v/>
      </c>
      <c r="M343" s="200" t="inlineStr"/>
      <c r="N343" s="200" t="inlineStr">
        <is>
          <t>Pending</t>
        </is>
      </c>
    </row>
    <row r="344">
      <c r="A344" s="178" t="n">
        <v>343</v>
      </c>
      <c r="B344" s="178" t="inlineStr">
        <is>
          <t>Vinod</t>
        </is>
      </c>
      <c r="C344" s="179" t="inlineStr">
        <is>
          <t>2026-05-23</t>
        </is>
      </c>
      <c r="D344" s="180" t="inlineStr">
        <is>
          <t>C-SLG/0162/26-27</t>
        </is>
      </c>
      <c r="E344" s="180" t="inlineStr">
        <is>
          <t>Shafi Book Depot</t>
        </is>
      </c>
      <c r="F344" s="181" t="n">
        <v>5871</v>
      </c>
      <c r="G344" s="179" t="inlineStr">
        <is>
          <t>2026-06-17</t>
        </is>
      </c>
      <c r="H344" s="182" t="n">
        <v>0</v>
      </c>
      <c r="I344" s="180">
        <f>MAX(0,F344-H344)</f>
        <v/>
      </c>
      <c r="J344" s="180">
        <f>IF(G344="",0,MAX(0,TODAY()-G344))</f>
        <v/>
      </c>
      <c r="K344" s="180">
        <f>IF(I344&lt;=0,"Current",IF(J344&lt;=30,"0-30 Days",IF(J344&lt;=60,"31-60 Days",IF(J344&lt;=90,"61-90 Days","90+ Days"))))</f>
        <v/>
      </c>
      <c r="L344" s="180">
        <f>IF(I344&lt;=0,"-",IF(J344&lt;=30,"Low",IF(J344&lt;=60,"Low-Medium",IF(J344&lt;=90,"Medium","HIGH RISK"))))</f>
        <v/>
      </c>
      <c r="M344" s="180" t="inlineStr"/>
      <c r="N344" s="180" t="inlineStr">
        <is>
          <t>Pending</t>
        </is>
      </c>
    </row>
    <row r="345">
      <c r="A345" s="198" t="n">
        <v>344</v>
      </c>
      <c r="B345" s="198" t="inlineStr">
        <is>
          <t>Vinod</t>
        </is>
      </c>
      <c r="C345" s="199" t="inlineStr">
        <is>
          <t>2026-05-21</t>
        </is>
      </c>
      <c r="D345" s="200" t="inlineStr">
        <is>
          <t>C-SLG/0160/26-27</t>
        </is>
      </c>
      <c r="E345" s="200" t="inlineStr">
        <is>
          <t>Spice Internet Stationery</t>
        </is>
      </c>
      <c r="F345" s="201" t="n">
        <v>3426</v>
      </c>
      <c r="G345" s="199" t="inlineStr">
        <is>
          <t>2026-06-15</t>
        </is>
      </c>
      <c r="H345" s="202" t="n">
        <v>0</v>
      </c>
      <c r="I345" s="200">
        <f>MAX(0,F345-H345)</f>
        <v/>
      </c>
      <c r="J345" s="200">
        <f>IF(G345="",0,MAX(0,TODAY()-G345))</f>
        <v/>
      </c>
      <c r="K345" s="200">
        <f>IF(I345&lt;=0,"Current",IF(J345&lt;=30,"0-30 Days",IF(J345&lt;=60,"31-60 Days",IF(J345&lt;=90,"61-90 Days","90+ Days"))))</f>
        <v/>
      </c>
      <c r="L345" s="200">
        <f>IF(I345&lt;=0,"-",IF(J345&lt;=30,"Low",IF(J345&lt;=60,"Low-Medium",IF(J345&lt;=90,"Medium","HIGH RISK"))))</f>
        <v/>
      </c>
      <c r="M345" s="200" t="inlineStr"/>
      <c r="N345" s="200" t="inlineStr">
        <is>
          <t>Pending</t>
        </is>
      </c>
    </row>
    <row r="346">
      <c r="A346" s="178" t="n">
        <v>345</v>
      </c>
      <c r="B346" s="178" t="inlineStr">
        <is>
          <t>Vinod</t>
        </is>
      </c>
      <c r="C346" s="179" t="inlineStr">
        <is>
          <t>2026-05-07</t>
        </is>
      </c>
      <c r="D346" s="180" t="inlineStr">
        <is>
          <t>C-SLG/0100/26-27</t>
        </is>
      </c>
      <c r="E346" s="180" t="inlineStr">
        <is>
          <t>SREE LAXMI ENTERPRISES</t>
        </is>
      </c>
      <c r="F346" s="181" t="n">
        <v>916</v>
      </c>
      <c r="G346" s="179" t="inlineStr">
        <is>
          <t>2026-06-01</t>
        </is>
      </c>
      <c r="H346" s="182" t="n">
        <v>0</v>
      </c>
      <c r="I346" s="180">
        <f>MAX(0,F346-H346)</f>
        <v/>
      </c>
      <c r="J346" s="180">
        <f>IF(G346="",0,MAX(0,TODAY()-G346))</f>
        <v/>
      </c>
      <c r="K346" s="180">
        <f>IF(I346&lt;=0,"Current",IF(J346&lt;=30,"0-30 Days",IF(J346&lt;=60,"31-60 Days",IF(J346&lt;=90,"61-90 Days","90+ Days"))))</f>
        <v/>
      </c>
      <c r="L346" s="180">
        <f>IF(I346&lt;=0,"-",IF(J346&lt;=30,"Low",IF(J346&lt;=60,"Low-Medium",IF(J346&lt;=90,"Medium","HIGH RISK"))))</f>
        <v/>
      </c>
      <c r="M346" s="180" t="inlineStr"/>
      <c r="N346" s="180" t="inlineStr">
        <is>
          <t>Pending</t>
        </is>
      </c>
    </row>
    <row r="347">
      <c r="A347" s="198" t="n">
        <v>346</v>
      </c>
      <c r="B347" s="198" t="inlineStr">
        <is>
          <t>Vinod</t>
        </is>
      </c>
      <c r="C347" s="199" t="inlineStr">
        <is>
          <t>2026-05-08</t>
        </is>
      </c>
      <c r="D347" s="200" t="inlineStr">
        <is>
          <t>C-SLG/0104/26-27</t>
        </is>
      </c>
      <c r="E347" s="200" t="inlineStr">
        <is>
          <t>Sri Balaji Stationary- L B Nagar</t>
        </is>
      </c>
      <c r="F347" s="201" t="n">
        <v>46188</v>
      </c>
      <c r="G347" s="199" t="inlineStr">
        <is>
          <t>2026-06-02</t>
        </is>
      </c>
      <c r="H347" s="202" t="n">
        <v>0</v>
      </c>
      <c r="I347" s="200">
        <f>MAX(0,F347-H347)</f>
        <v/>
      </c>
      <c r="J347" s="200">
        <f>IF(G347="",0,MAX(0,TODAY()-G347))</f>
        <v/>
      </c>
      <c r="K347" s="200">
        <f>IF(I347&lt;=0,"Current",IF(J347&lt;=30,"0-30 Days",IF(J347&lt;=60,"31-60 Days",IF(J347&lt;=90,"61-90 Days","90+ Days"))))</f>
        <v/>
      </c>
      <c r="L347" s="200">
        <f>IF(I347&lt;=0,"-",IF(J347&lt;=30,"Low",IF(J347&lt;=60,"Low-Medium",IF(J347&lt;=90,"Medium","HIGH RISK"))))</f>
        <v/>
      </c>
      <c r="M347" s="200" t="inlineStr"/>
      <c r="N347" s="200" t="inlineStr">
        <is>
          <t>Pending</t>
        </is>
      </c>
    </row>
    <row r="348">
      <c r="A348" s="178" t="n">
        <v>347</v>
      </c>
      <c r="B348" s="178" t="inlineStr">
        <is>
          <t>Vinod</t>
        </is>
      </c>
      <c r="C348" s="179" t="inlineStr">
        <is>
          <t>2026-04-23</t>
        </is>
      </c>
      <c r="D348" s="180" t="inlineStr">
        <is>
          <t>C-SLG/0065/26-27</t>
        </is>
      </c>
      <c r="E348" s="180" t="inlineStr">
        <is>
          <t>SRI BALAJI STATIONERY</t>
        </is>
      </c>
      <c r="F348" s="181" t="n">
        <v>19580</v>
      </c>
      <c r="G348" s="179" t="inlineStr">
        <is>
          <t>2026-05-18</t>
        </is>
      </c>
      <c r="H348" s="182" t="n">
        <v>0</v>
      </c>
      <c r="I348" s="180">
        <f>MAX(0,F348-H348)</f>
        <v/>
      </c>
      <c r="J348" s="180">
        <f>IF(G348="",0,MAX(0,TODAY()-G348))</f>
        <v/>
      </c>
      <c r="K348" s="180">
        <f>IF(I348&lt;=0,"Current",IF(J348&lt;=30,"0-30 Days",IF(J348&lt;=60,"31-60 Days",IF(J348&lt;=90,"61-90 Days","90+ Days"))))</f>
        <v/>
      </c>
      <c r="L348" s="180">
        <f>IF(I348&lt;=0,"-",IF(J348&lt;=30,"Low",IF(J348&lt;=60,"Low-Medium",IF(J348&lt;=90,"Medium","HIGH RISK"))))</f>
        <v/>
      </c>
      <c r="M348" s="180" t="inlineStr"/>
      <c r="N348" s="180" t="inlineStr">
        <is>
          <t>Pending</t>
        </is>
      </c>
    </row>
    <row r="349">
      <c r="A349" s="198" t="n">
        <v>348</v>
      </c>
      <c r="B349" s="198" t="inlineStr">
        <is>
          <t>Vinod</t>
        </is>
      </c>
      <c r="C349" s="199" t="inlineStr">
        <is>
          <t>2026-05-15</t>
        </is>
      </c>
      <c r="D349" s="200" t="inlineStr">
        <is>
          <t>C-SLG/0137/26-27</t>
        </is>
      </c>
      <c r="E349" s="200" t="inlineStr">
        <is>
          <t>Sri Balaji Stationery (Abdullamet)</t>
        </is>
      </c>
      <c r="F349" s="201" t="n">
        <v>12951</v>
      </c>
      <c r="G349" s="199" t="inlineStr">
        <is>
          <t>2026-06-09</t>
        </is>
      </c>
      <c r="H349" s="202" t="n">
        <v>0</v>
      </c>
      <c r="I349" s="200">
        <f>MAX(0,F349-H349)</f>
        <v/>
      </c>
      <c r="J349" s="200">
        <f>IF(G349="",0,MAX(0,TODAY()-G349))</f>
        <v/>
      </c>
      <c r="K349" s="200">
        <f>IF(I349&lt;=0,"Current",IF(J349&lt;=30,"0-30 Days",IF(J349&lt;=60,"31-60 Days",IF(J349&lt;=90,"61-90 Days","90+ Days"))))</f>
        <v/>
      </c>
      <c r="L349" s="200">
        <f>IF(I349&lt;=0,"-",IF(J349&lt;=30,"Low",IF(J349&lt;=60,"Low-Medium",IF(J349&lt;=90,"Medium","HIGH RISK"))))</f>
        <v/>
      </c>
      <c r="M349" s="200" t="inlineStr"/>
      <c r="N349" s="200" t="inlineStr">
        <is>
          <t>Pending</t>
        </is>
      </c>
    </row>
    <row r="350">
      <c r="A350" s="178" t="n">
        <v>349</v>
      </c>
      <c r="B350" s="178" t="inlineStr">
        <is>
          <t>Vinod</t>
        </is>
      </c>
      <c r="C350" s="179" t="inlineStr">
        <is>
          <t>2026-05-07</t>
        </is>
      </c>
      <c r="D350" s="180" t="inlineStr">
        <is>
          <t>C-SLG/0097/26-27</t>
        </is>
      </c>
      <c r="E350" s="180" t="inlineStr">
        <is>
          <t>Sri Indu Stationeery</t>
        </is>
      </c>
      <c r="F350" s="181" t="n">
        <v>916</v>
      </c>
      <c r="G350" s="179" t="inlineStr">
        <is>
          <t>2026-06-01</t>
        </is>
      </c>
      <c r="H350" s="182" t="n">
        <v>0</v>
      </c>
      <c r="I350" s="180">
        <f>MAX(0,F350-H350)</f>
        <v/>
      </c>
      <c r="J350" s="180">
        <f>IF(G350="",0,MAX(0,TODAY()-G350))</f>
        <v/>
      </c>
      <c r="K350" s="180">
        <f>IF(I350&lt;=0,"Current",IF(J350&lt;=30,"0-30 Days",IF(J350&lt;=60,"31-60 Days",IF(J350&lt;=90,"61-90 Days","90+ Days"))))</f>
        <v/>
      </c>
      <c r="L350" s="180">
        <f>IF(I350&lt;=0,"-",IF(J350&lt;=30,"Low",IF(J350&lt;=60,"Low-Medium",IF(J350&lt;=90,"Medium","HIGH RISK"))))</f>
        <v/>
      </c>
      <c r="M350" s="180" t="inlineStr"/>
      <c r="N350" s="180" t="inlineStr">
        <is>
          <t>Pending</t>
        </is>
      </c>
    </row>
    <row r="351">
      <c r="A351" s="198" t="n">
        <v>350</v>
      </c>
      <c r="B351" s="198" t="inlineStr">
        <is>
          <t>Vinod</t>
        </is>
      </c>
      <c r="C351" s="199" t="inlineStr">
        <is>
          <t>2026-05-15</t>
        </is>
      </c>
      <c r="D351" s="200" t="inlineStr">
        <is>
          <t>C-SLG/0135/26-27</t>
        </is>
      </c>
      <c r="E351" s="200" t="inlineStr">
        <is>
          <t>Sri Sai Baba Book Center</t>
        </is>
      </c>
      <c r="F351" s="201" t="n">
        <v>1143</v>
      </c>
      <c r="G351" s="199" t="inlineStr">
        <is>
          <t>2026-06-09</t>
        </is>
      </c>
      <c r="H351" s="202" t="n">
        <v>0</v>
      </c>
      <c r="I351" s="200">
        <f>MAX(0,F351-H351)</f>
        <v/>
      </c>
      <c r="J351" s="200">
        <f>IF(G351="",0,MAX(0,TODAY()-G351))</f>
        <v/>
      </c>
      <c r="K351" s="200">
        <f>IF(I351&lt;=0,"Current",IF(J351&lt;=30,"0-30 Days",IF(J351&lt;=60,"31-60 Days",IF(J351&lt;=90,"61-90 Days","90+ Days"))))</f>
        <v/>
      </c>
      <c r="L351" s="200">
        <f>IF(I351&lt;=0,"-",IF(J351&lt;=30,"Low",IF(J351&lt;=60,"Low-Medium",IF(J351&lt;=90,"Medium","HIGH RISK"))))</f>
        <v/>
      </c>
      <c r="M351" s="200" t="inlineStr"/>
      <c r="N351" s="200" t="inlineStr">
        <is>
          <t>Pending</t>
        </is>
      </c>
    </row>
    <row r="352">
      <c r="A352" s="178" t="n">
        <v>351</v>
      </c>
      <c r="B352" s="178" t="inlineStr">
        <is>
          <t>Vinod</t>
        </is>
      </c>
      <c r="C352" s="179" t="inlineStr">
        <is>
          <t>2026-05-16</t>
        </is>
      </c>
      <c r="D352" s="180" t="inlineStr">
        <is>
          <t>C-SLG/0138/26-27</t>
        </is>
      </c>
      <c r="E352" s="180" t="inlineStr">
        <is>
          <t>Sri Sai Santosh Stationery Xerox</t>
        </is>
      </c>
      <c r="F352" s="181" t="n">
        <v>1632</v>
      </c>
      <c r="G352" s="179" t="inlineStr">
        <is>
          <t>2026-06-10</t>
        </is>
      </c>
      <c r="H352" s="182" t="n">
        <v>0</v>
      </c>
      <c r="I352" s="180">
        <f>MAX(0,F352-H352)</f>
        <v/>
      </c>
      <c r="J352" s="180">
        <f>IF(G352="",0,MAX(0,TODAY()-G352))</f>
        <v/>
      </c>
      <c r="K352" s="180">
        <f>IF(I352&lt;=0,"Current",IF(J352&lt;=30,"0-30 Days",IF(J352&lt;=60,"31-60 Days",IF(J352&lt;=90,"61-90 Days","90+ Days"))))</f>
        <v/>
      </c>
      <c r="L352" s="180">
        <f>IF(I352&lt;=0,"-",IF(J352&lt;=30,"Low",IF(J352&lt;=60,"Low-Medium",IF(J352&lt;=90,"Medium","HIGH RISK"))))</f>
        <v/>
      </c>
      <c r="M352" s="180" t="inlineStr"/>
      <c r="N352" s="180" t="inlineStr">
        <is>
          <t>Pending</t>
        </is>
      </c>
    </row>
    <row r="353">
      <c r="A353" s="198" t="n">
        <v>352</v>
      </c>
      <c r="B353" s="198" t="inlineStr">
        <is>
          <t>Vinod</t>
        </is>
      </c>
      <c r="C353" s="199" t="inlineStr">
        <is>
          <t>2026-05-08</t>
        </is>
      </c>
      <c r="D353" s="200" t="inlineStr">
        <is>
          <t>C-SLG/0102/26-27</t>
        </is>
      </c>
      <c r="E353" s="200" t="inlineStr">
        <is>
          <t>Sri Sai Stationary and Book Depot</t>
        </is>
      </c>
      <c r="F353" s="201" t="n">
        <v>3942</v>
      </c>
      <c r="G353" s="199" t="inlineStr">
        <is>
          <t>2026-06-02</t>
        </is>
      </c>
      <c r="H353" s="202" t="n">
        <v>0</v>
      </c>
      <c r="I353" s="200">
        <f>MAX(0,F353-H353)</f>
        <v/>
      </c>
      <c r="J353" s="200">
        <f>IF(G353="",0,MAX(0,TODAY()-G353))</f>
        <v/>
      </c>
      <c r="K353" s="200">
        <f>IF(I353&lt;=0,"Current",IF(J353&lt;=30,"0-30 Days",IF(J353&lt;=60,"31-60 Days",IF(J353&lt;=90,"61-90 Days","90+ Days"))))</f>
        <v/>
      </c>
      <c r="L353" s="200">
        <f>IF(I353&lt;=0,"-",IF(J353&lt;=30,"Low",IF(J353&lt;=60,"Low-Medium",IF(J353&lt;=90,"Medium","HIGH RISK"))))</f>
        <v/>
      </c>
      <c r="M353" s="200" t="inlineStr"/>
      <c r="N353" s="200" t="inlineStr">
        <is>
          <t>Pending</t>
        </is>
      </c>
    </row>
    <row r="354">
      <c r="A354" s="178" t="n">
        <v>353</v>
      </c>
      <c r="B354" s="178" t="inlineStr">
        <is>
          <t>Vinod</t>
        </is>
      </c>
      <c r="C354" s="179" t="inlineStr">
        <is>
          <t>2026-05-07</t>
        </is>
      </c>
      <c r="D354" s="180" t="inlineStr">
        <is>
          <t>C-SLG/0095/26-27</t>
        </is>
      </c>
      <c r="E354" s="180" t="inlineStr">
        <is>
          <t>SRI SATYANARAYANA SWAMY STATIONERY&amp;XEROX</t>
        </is>
      </c>
      <c r="F354" s="181" t="n">
        <v>916</v>
      </c>
      <c r="G354" s="179" t="inlineStr">
        <is>
          <t>2026-06-01</t>
        </is>
      </c>
      <c r="H354" s="182" t="n">
        <v>0</v>
      </c>
      <c r="I354" s="180">
        <f>MAX(0,F354-H354)</f>
        <v/>
      </c>
      <c r="J354" s="180">
        <f>IF(G354="",0,MAX(0,TODAY()-G354))</f>
        <v/>
      </c>
      <c r="K354" s="180">
        <f>IF(I354&lt;=0,"Current",IF(J354&lt;=30,"0-30 Days",IF(J354&lt;=60,"31-60 Days",IF(J354&lt;=90,"61-90 Days","90+ Days"))))</f>
        <v/>
      </c>
      <c r="L354" s="180">
        <f>IF(I354&lt;=0,"-",IF(J354&lt;=30,"Low",IF(J354&lt;=60,"Low-Medium",IF(J354&lt;=90,"Medium","HIGH RISK"))))</f>
        <v/>
      </c>
      <c r="M354" s="180" t="inlineStr"/>
      <c r="N354" s="180" t="inlineStr">
        <is>
          <t>Pending</t>
        </is>
      </c>
    </row>
    <row r="355">
      <c r="A355" s="198" t="n">
        <v>354</v>
      </c>
      <c r="B355" s="198" t="inlineStr">
        <is>
          <t>Vinod</t>
        </is>
      </c>
      <c r="C355" s="199" t="inlineStr">
        <is>
          <t>2026-05-08</t>
        </is>
      </c>
      <c r="D355" s="200" t="inlineStr">
        <is>
          <t>C-SLG/0103/26-27</t>
        </is>
      </c>
      <c r="E355" s="200" t="inlineStr">
        <is>
          <t>SRI VAGDEVI- RK Puram</t>
        </is>
      </c>
      <c r="F355" s="201" t="n">
        <v>6945</v>
      </c>
      <c r="G355" s="199" t="inlineStr">
        <is>
          <t>2026-06-02</t>
        </is>
      </c>
      <c r="H355" s="202" t="n">
        <v>0</v>
      </c>
      <c r="I355" s="200">
        <f>MAX(0,F355-H355)</f>
        <v/>
      </c>
      <c r="J355" s="200">
        <f>IF(G355="",0,MAX(0,TODAY()-G355))</f>
        <v/>
      </c>
      <c r="K355" s="200">
        <f>IF(I355&lt;=0,"Current",IF(J355&lt;=30,"0-30 Days",IF(J355&lt;=60,"31-60 Days",IF(J355&lt;=90,"61-90 Days","90+ Days"))))</f>
        <v/>
      </c>
      <c r="L355" s="200">
        <f>IF(I355&lt;=0,"-",IF(J355&lt;=30,"Low",IF(J355&lt;=60,"Low-Medium",IF(J355&lt;=90,"Medium","HIGH RISK"))))</f>
        <v/>
      </c>
      <c r="M355" s="200" t="inlineStr"/>
      <c r="N355" s="200" t="inlineStr">
        <is>
          <t>Pending</t>
        </is>
      </c>
    </row>
    <row r="356">
      <c r="A356" s="178" t="n">
        <v>355</v>
      </c>
      <c r="B356" s="178" t="inlineStr">
        <is>
          <t>Vinod</t>
        </is>
      </c>
      <c r="C356" s="179" t="inlineStr">
        <is>
          <t>2026-05-06</t>
        </is>
      </c>
      <c r="D356" s="180" t="inlineStr">
        <is>
          <t>C-SLG/0089/26-27</t>
        </is>
      </c>
      <c r="E356" s="180" t="inlineStr">
        <is>
          <t>Tirumala Book Depot</t>
        </is>
      </c>
      <c r="F356" s="181" t="n">
        <v>7604</v>
      </c>
      <c r="G356" s="179" t="inlineStr">
        <is>
          <t>2026-05-31</t>
        </is>
      </c>
      <c r="H356" s="182" t="n">
        <v>0</v>
      </c>
      <c r="I356" s="180">
        <f>MAX(0,F356-H356)</f>
        <v/>
      </c>
      <c r="J356" s="180">
        <f>IF(G356="",0,MAX(0,TODAY()-G356))</f>
        <v/>
      </c>
      <c r="K356" s="180">
        <f>IF(I356&lt;=0,"Current",IF(J356&lt;=30,"0-30 Days",IF(J356&lt;=60,"31-60 Days",IF(J356&lt;=90,"61-90 Days","90+ Days"))))</f>
        <v/>
      </c>
      <c r="L356" s="180">
        <f>IF(I356&lt;=0,"-",IF(J356&lt;=30,"Low",IF(J356&lt;=60,"Low-Medium",IF(J356&lt;=90,"Medium","HIGH RISK"))))</f>
        <v/>
      </c>
      <c r="M356" s="180" t="inlineStr"/>
      <c r="N356" s="180" t="inlineStr">
        <is>
          <t>Pending</t>
        </is>
      </c>
    </row>
    <row r="357">
      <c r="A357" s="198" t="n">
        <v>356</v>
      </c>
      <c r="B357" s="198" t="inlineStr">
        <is>
          <t>Vinod</t>
        </is>
      </c>
      <c r="C357" s="199" t="inlineStr">
        <is>
          <t>2026-05-19</t>
        </is>
      </c>
      <c r="D357" s="200" t="inlineStr">
        <is>
          <t>C-SLG/0150/26-27</t>
        </is>
      </c>
      <c r="E357" s="200" t="inlineStr">
        <is>
          <t>Tirumala Book Depot</t>
        </is>
      </c>
      <c r="F357" s="201" t="n">
        <v>7471</v>
      </c>
      <c r="G357" s="199" t="inlineStr">
        <is>
          <t>2026-06-13</t>
        </is>
      </c>
      <c r="H357" s="202" t="n">
        <v>0</v>
      </c>
      <c r="I357" s="200">
        <f>MAX(0,F357-H357)</f>
        <v/>
      </c>
      <c r="J357" s="200">
        <f>IF(G357="",0,MAX(0,TODAY()-G357))</f>
        <v/>
      </c>
      <c r="K357" s="200">
        <f>IF(I357&lt;=0,"Current",IF(J357&lt;=30,"0-30 Days",IF(J357&lt;=60,"31-60 Days",IF(J357&lt;=90,"61-90 Days","90+ Days"))))</f>
        <v/>
      </c>
      <c r="L357" s="200">
        <f>IF(I357&lt;=0,"-",IF(J357&lt;=30,"Low",IF(J357&lt;=60,"Low-Medium",IF(J357&lt;=90,"Medium","HIGH RISK"))))</f>
        <v/>
      </c>
      <c r="M357" s="200" t="inlineStr"/>
      <c r="N357" s="200" t="inlineStr">
        <is>
          <t>Pending</t>
        </is>
      </c>
    </row>
    <row r="358">
      <c r="A358" s="178" t="n">
        <v>357</v>
      </c>
      <c r="B358" s="178" t="inlineStr">
        <is>
          <t>Vinod</t>
        </is>
      </c>
      <c r="C358" s="179" t="inlineStr">
        <is>
          <t>2026-05-19</t>
        </is>
      </c>
      <c r="D358" s="180" t="inlineStr">
        <is>
          <t>C-SLG/0151/26-27</t>
        </is>
      </c>
      <c r="E358" s="180" t="inlineStr">
        <is>
          <t>Tirumala Book Depot</t>
        </is>
      </c>
      <c r="F358" s="181" t="n">
        <v>3811</v>
      </c>
      <c r="G358" s="179" t="inlineStr">
        <is>
          <t>2026-06-13</t>
        </is>
      </c>
      <c r="H358" s="182" t="n">
        <v>0</v>
      </c>
      <c r="I358" s="180">
        <f>MAX(0,F358-H358)</f>
        <v/>
      </c>
      <c r="J358" s="180">
        <f>IF(G358="",0,MAX(0,TODAY()-G358))</f>
        <v/>
      </c>
      <c r="K358" s="180">
        <f>IF(I358&lt;=0,"Current",IF(J358&lt;=30,"0-30 Days",IF(J358&lt;=60,"31-60 Days",IF(J358&lt;=90,"61-90 Days","90+ Days"))))</f>
        <v/>
      </c>
      <c r="L358" s="180">
        <f>IF(I358&lt;=0,"-",IF(J358&lt;=30,"Low",IF(J358&lt;=60,"Low-Medium",IF(J358&lt;=90,"Medium","HIGH RISK"))))</f>
        <v/>
      </c>
      <c r="M358" s="180" t="inlineStr"/>
      <c r="N358" s="180" t="inlineStr">
        <is>
          <t>Pending</t>
        </is>
      </c>
    </row>
    <row r="359">
      <c r="A359" s="198" t="n">
        <v>358</v>
      </c>
      <c r="B359" s="198" t="inlineStr">
        <is>
          <t>Vinod</t>
        </is>
      </c>
      <c r="C359" s="199" t="inlineStr">
        <is>
          <t>2026-05-23</t>
        </is>
      </c>
      <c r="D359" s="200" t="inlineStr">
        <is>
          <t>C-SLG/0165/26-27</t>
        </is>
      </c>
      <c r="E359" s="200" t="inlineStr">
        <is>
          <t>Tirumala Book Depot</t>
        </is>
      </c>
      <c r="F359" s="201" t="n">
        <v>90483</v>
      </c>
      <c r="G359" s="199" t="inlineStr">
        <is>
          <t>2026-06-17</t>
        </is>
      </c>
      <c r="H359" s="202" t="n">
        <v>0</v>
      </c>
      <c r="I359" s="200">
        <f>MAX(0,F359-H359)</f>
        <v/>
      </c>
      <c r="J359" s="200">
        <f>IF(G359="",0,MAX(0,TODAY()-G359))</f>
        <v/>
      </c>
      <c r="K359" s="200">
        <f>IF(I359&lt;=0,"Current",IF(J359&lt;=30,"0-30 Days",IF(J359&lt;=60,"31-60 Days",IF(J359&lt;=90,"61-90 Days","90+ Days"))))</f>
        <v/>
      </c>
      <c r="L359" s="200">
        <f>IF(I359&lt;=0,"-",IF(J359&lt;=30,"Low",IF(J359&lt;=60,"Low-Medium",IF(J359&lt;=90,"Medium","HIGH RISK"))))</f>
        <v/>
      </c>
      <c r="M359" s="200" t="inlineStr"/>
      <c r="N359" s="200" t="inlineStr">
        <is>
          <t>Pending</t>
        </is>
      </c>
    </row>
    <row r="360">
      <c r="A360" s="178" t="n">
        <v>359</v>
      </c>
      <c r="B360" s="178" t="inlineStr">
        <is>
          <t>Vinod</t>
        </is>
      </c>
      <c r="C360" s="179" t="inlineStr">
        <is>
          <t>2026-05-21</t>
        </is>
      </c>
      <c r="D360" s="180" t="inlineStr">
        <is>
          <t>C-SLG/0155/26-27</t>
        </is>
      </c>
      <c r="E360" s="180" t="inlineStr">
        <is>
          <t>Tirumala Book Depot</t>
        </is>
      </c>
      <c r="F360" s="181" t="n">
        <v>3176</v>
      </c>
      <c r="G360" s="179" t="inlineStr">
        <is>
          <t>2026-06-15</t>
        </is>
      </c>
      <c r="H360" s="182" t="n">
        <v>0</v>
      </c>
      <c r="I360" s="180">
        <f>MAX(0,F360-H360)</f>
        <v/>
      </c>
      <c r="J360" s="180">
        <f>IF(G360="",0,MAX(0,TODAY()-G360))</f>
        <v/>
      </c>
      <c r="K360" s="180">
        <f>IF(I360&lt;=0,"Current",IF(J360&lt;=30,"0-30 Days",IF(J360&lt;=60,"31-60 Days",IF(J360&lt;=90,"61-90 Days","90+ Days"))))</f>
        <v/>
      </c>
      <c r="L360" s="180">
        <f>IF(I360&lt;=0,"-",IF(J360&lt;=30,"Low",IF(J360&lt;=60,"Low-Medium",IF(J360&lt;=90,"Medium","HIGH RISK"))))</f>
        <v/>
      </c>
      <c r="M360" s="180" t="inlineStr"/>
      <c r="N360" s="180" t="inlineStr">
        <is>
          <t>Pending</t>
        </is>
      </c>
    </row>
    <row r="361">
      <c r="A361" s="198" t="n">
        <v>360</v>
      </c>
      <c r="B361" s="198" t="inlineStr">
        <is>
          <t>Vinod</t>
        </is>
      </c>
      <c r="C361" s="199" t="inlineStr">
        <is>
          <t>2026-05-21</t>
        </is>
      </c>
      <c r="D361" s="200" t="inlineStr">
        <is>
          <t>C-SLG/0161/26-27</t>
        </is>
      </c>
      <c r="E361" s="200" t="inlineStr">
        <is>
          <t>Tirumala Book Depot</t>
        </is>
      </c>
      <c r="F361" s="201" t="n">
        <v>5902</v>
      </c>
      <c r="G361" s="199" t="inlineStr">
        <is>
          <t>2026-06-15</t>
        </is>
      </c>
      <c r="H361" s="202" t="n">
        <v>0</v>
      </c>
      <c r="I361" s="200">
        <f>MAX(0,F361-H361)</f>
        <v/>
      </c>
      <c r="J361" s="200">
        <f>IF(G361="",0,MAX(0,TODAY()-G361))</f>
        <v/>
      </c>
      <c r="K361" s="200">
        <f>IF(I361&lt;=0,"Current",IF(J361&lt;=30,"0-30 Days",IF(J361&lt;=60,"31-60 Days",IF(J361&lt;=90,"61-90 Days","90+ Days"))))</f>
        <v/>
      </c>
      <c r="L361" s="200">
        <f>IF(I361&lt;=0,"-",IF(J361&lt;=30,"Low",IF(J361&lt;=60,"Low-Medium",IF(J361&lt;=90,"Medium","HIGH RISK"))))</f>
        <v/>
      </c>
      <c r="M361" s="200" t="inlineStr"/>
      <c r="N361" s="200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8" customWidth="1" style="243" min="1" max="1"/>
    <col width="32" customWidth="1" style="243" min="2" max="2"/>
    <col width="24" customWidth="1" style="243" min="3" max="3"/>
    <col width="16" customWidth="1" style="243" min="4" max="5"/>
    <col width="18" customWidth="1" style="243" min="6" max="6"/>
    <col width="14" customWidth="1" style="243" min="7" max="7"/>
    <col width="16" customWidth="1" style="243" min="8" max="8"/>
    <col width="14" customWidth="1" style="243" min="9" max="9"/>
    <col width="26" customWidth="1" style="243" min="10" max="10"/>
    <col width="14" customWidth="1" style="243" min="11" max="11"/>
  </cols>
  <sheetData>
    <row r="1" ht="18" customHeight="1" s="243">
      <c r="A1" s="223" t="inlineStr">
        <is>
          <t>Collection Calling List (Overdue &gt; 30 Days)</t>
        </is>
      </c>
    </row>
    <row r="2">
      <c r="A2" s="224" t="inlineStr">
        <is>
          <t>Generated: 25-May-2026 | Total: 162 entries</t>
        </is>
      </c>
    </row>
    <row r="4" ht="28.05" customHeight="1" s="243">
      <c r="A4" s="225" t="inlineStr">
        <is>
          <t>S.No</t>
        </is>
      </c>
      <c r="B4" s="225" t="inlineStr">
        <is>
          <t>Customer Name</t>
        </is>
      </c>
      <c r="C4" s="225" t="inlineStr">
        <is>
          <t>Invoice No</t>
        </is>
      </c>
      <c r="D4" s="225" t="inlineStr">
        <is>
          <t>Invoice Date</t>
        </is>
      </c>
      <c r="E4" s="225" t="inlineStr">
        <is>
          <t>Due Date</t>
        </is>
      </c>
      <c r="F4" s="225" t="inlineStr">
        <is>
          <t>Outstanding Amount</t>
        </is>
      </c>
      <c r="G4" s="225" t="inlineStr">
        <is>
          <t>Days Overdue</t>
        </is>
      </c>
      <c r="H4" s="225" t="inlineStr">
        <is>
          <t>Aging Bucket</t>
        </is>
      </c>
      <c r="I4" s="225" t="inlineStr">
        <is>
          <t>Risk Level</t>
        </is>
      </c>
      <c r="J4" s="225" t="inlineStr">
        <is>
          <t>Previous Remarks</t>
        </is>
      </c>
      <c r="K4" s="225" t="inlineStr">
        <is>
          <t>Call Status</t>
        </is>
      </c>
    </row>
    <row r="5">
      <c r="A5" s="226" t="n">
        <v>1</v>
      </c>
      <c r="B5" s="227">
        <f>MASTER_AR_REPORT!E3</f>
        <v/>
      </c>
      <c r="C5" s="227">
        <f>MASTER_AR_REPORT!D3</f>
        <v/>
      </c>
      <c r="D5" s="228">
        <f>MASTER_AR_REPORT!C3</f>
        <v/>
      </c>
      <c r="E5" s="228">
        <f>MASTER_AR_REPORT!G3</f>
        <v/>
      </c>
      <c r="F5" s="229">
        <f>MASTER_AR_REPORT!I3</f>
        <v/>
      </c>
      <c r="G5" s="226">
        <f>MASTER_AR_REPORT!J3</f>
        <v/>
      </c>
      <c r="H5" s="227">
        <f>MASTER_AR_REPORT!K3</f>
        <v/>
      </c>
      <c r="I5" s="227">
        <f>MASTER_AR_REPORT!L3</f>
        <v/>
      </c>
      <c r="J5" s="227">
        <f>MASTER_AR_REPORT!M3</f>
        <v/>
      </c>
      <c r="K5" s="226" t="inlineStr">
        <is>
          <t>Pending</t>
        </is>
      </c>
    </row>
    <row r="6">
      <c r="A6" s="230" t="n">
        <v>2</v>
      </c>
      <c r="B6" s="231">
        <f>MASTER_AR_REPORT!E5</f>
        <v/>
      </c>
      <c r="C6" s="231">
        <f>MASTER_AR_REPORT!D5</f>
        <v/>
      </c>
      <c r="D6" s="232">
        <f>MASTER_AR_REPORT!C5</f>
        <v/>
      </c>
      <c r="E6" s="232">
        <f>MASTER_AR_REPORT!G5</f>
        <v/>
      </c>
      <c r="F6" s="233">
        <f>MASTER_AR_REPORT!I5</f>
        <v/>
      </c>
      <c r="G6" s="230">
        <f>MASTER_AR_REPORT!J5</f>
        <v/>
      </c>
      <c r="H6" s="231">
        <f>MASTER_AR_REPORT!K5</f>
        <v/>
      </c>
      <c r="I6" s="231">
        <f>MASTER_AR_REPORT!L5</f>
        <v/>
      </c>
      <c r="J6" s="231">
        <f>MASTER_AR_REPORT!M5</f>
        <v/>
      </c>
      <c r="K6" s="230" t="inlineStr">
        <is>
          <t>Pending</t>
        </is>
      </c>
    </row>
    <row r="7">
      <c r="A7" s="226" t="n">
        <v>3</v>
      </c>
      <c r="B7" s="227">
        <f>MASTER_AR_REPORT!E15</f>
        <v/>
      </c>
      <c r="C7" s="227">
        <f>MASTER_AR_REPORT!D15</f>
        <v/>
      </c>
      <c r="D7" s="228">
        <f>MASTER_AR_REPORT!C15</f>
        <v/>
      </c>
      <c r="E7" s="228">
        <f>MASTER_AR_REPORT!G15</f>
        <v/>
      </c>
      <c r="F7" s="229">
        <f>MASTER_AR_REPORT!I15</f>
        <v/>
      </c>
      <c r="G7" s="226">
        <f>MASTER_AR_REPORT!J15</f>
        <v/>
      </c>
      <c r="H7" s="227">
        <f>MASTER_AR_REPORT!K15</f>
        <v/>
      </c>
      <c r="I7" s="227">
        <f>MASTER_AR_REPORT!L15</f>
        <v/>
      </c>
      <c r="J7" s="227">
        <f>MASTER_AR_REPORT!M15</f>
        <v/>
      </c>
      <c r="K7" s="226" t="inlineStr">
        <is>
          <t>Pending</t>
        </is>
      </c>
    </row>
    <row r="8">
      <c r="A8" s="230" t="n">
        <v>4</v>
      </c>
      <c r="B8" s="231">
        <f>MASTER_AR_REPORT!E16</f>
        <v/>
      </c>
      <c r="C8" s="231">
        <f>MASTER_AR_REPORT!D16</f>
        <v/>
      </c>
      <c r="D8" s="232">
        <f>MASTER_AR_REPORT!C16</f>
        <v/>
      </c>
      <c r="E8" s="232">
        <f>MASTER_AR_REPORT!G16</f>
        <v/>
      </c>
      <c r="F8" s="233">
        <f>MASTER_AR_REPORT!I16</f>
        <v/>
      </c>
      <c r="G8" s="230">
        <f>MASTER_AR_REPORT!J16</f>
        <v/>
      </c>
      <c r="H8" s="231">
        <f>MASTER_AR_REPORT!K16</f>
        <v/>
      </c>
      <c r="I8" s="231">
        <f>MASTER_AR_REPORT!L16</f>
        <v/>
      </c>
      <c r="J8" s="231">
        <f>MASTER_AR_REPORT!M16</f>
        <v/>
      </c>
      <c r="K8" s="230" t="inlineStr">
        <is>
          <t>Pending</t>
        </is>
      </c>
    </row>
    <row r="9">
      <c r="A9" s="226" t="n">
        <v>5</v>
      </c>
      <c r="B9" s="227">
        <f>MASTER_AR_REPORT!E19</f>
        <v/>
      </c>
      <c r="C9" s="227">
        <f>MASTER_AR_REPORT!D19</f>
        <v/>
      </c>
      <c r="D9" s="228">
        <f>MASTER_AR_REPORT!C19</f>
        <v/>
      </c>
      <c r="E9" s="228">
        <f>MASTER_AR_REPORT!G19</f>
        <v/>
      </c>
      <c r="F9" s="229">
        <f>MASTER_AR_REPORT!I19</f>
        <v/>
      </c>
      <c r="G9" s="226">
        <f>MASTER_AR_REPORT!J19</f>
        <v/>
      </c>
      <c r="H9" s="227">
        <f>MASTER_AR_REPORT!K19</f>
        <v/>
      </c>
      <c r="I9" s="227">
        <f>MASTER_AR_REPORT!L19</f>
        <v/>
      </c>
      <c r="J9" s="227">
        <f>MASTER_AR_REPORT!M19</f>
        <v/>
      </c>
      <c r="K9" s="226" t="inlineStr">
        <is>
          <t>Pending</t>
        </is>
      </c>
    </row>
    <row r="10">
      <c r="A10" s="234" t="n">
        <v>6</v>
      </c>
      <c r="B10" s="235">
        <f>MASTER_AR_REPORT!E20</f>
        <v/>
      </c>
      <c r="C10" s="235">
        <f>MASTER_AR_REPORT!D20</f>
        <v/>
      </c>
      <c r="D10" s="236">
        <f>MASTER_AR_REPORT!C20</f>
        <v/>
      </c>
      <c r="E10" s="236">
        <f>MASTER_AR_REPORT!G20</f>
        <v/>
      </c>
      <c r="F10" s="237">
        <f>MASTER_AR_REPORT!I20</f>
        <v/>
      </c>
      <c r="G10" s="234">
        <f>MASTER_AR_REPORT!J20</f>
        <v/>
      </c>
      <c r="H10" s="235">
        <f>MASTER_AR_REPORT!K20</f>
        <v/>
      </c>
      <c r="I10" s="235">
        <f>MASTER_AR_REPORT!L20</f>
        <v/>
      </c>
      <c r="J10" s="235">
        <f>MASTER_AR_REPORT!M20</f>
        <v/>
      </c>
      <c r="K10" s="234" t="inlineStr">
        <is>
          <t>Pending</t>
        </is>
      </c>
    </row>
    <row r="11">
      <c r="A11" s="238" t="n">
        <v>7</v>
      </c>
      <c r="B11" s="239">
        <f>MASTER_AR_REPORT!E21</f>
        <v/>
      </c>
      <c r="C11" s="239">
        <f>MASTER_AR_REPORT!D21</f>
        <v/>
      </c>
      <c r="D11" s="240">
        <f>MASTER_AR_REPORT!C21</f>
        <v/>
      </c>
      <c r="E11" s="240">
        <f>MASTER_AR_REPORT!G21</f>
        <v/>
      </c>
      <c r="F11" s="241">
        <f>MASTER_AR_REPORT!I21</f>
        <v/>
      </c>
      <c r="G11" s="238">
        <f>MASTER_AR_REPORT!J21</f>
        <v/>
      </c>
      <c r="H11" s="239">
        <f>MASTER_AR_REPORT!K21</f>
        <v/>
      </c>
      <c r="I11" s="239">
        <f>MASTER_AR_REPORT!L21</f>
        <v/>
      </c>
      <c r="J11" s="239">
        <f>MASTER_AR_REPORT!M21</f>
        <v/>
      </c>
      <c r="K11" s="238" t="inlineStr">
        <is>
          <t>Pending</t>
        </is>
      </c>
    </row>
    <row r="12">
      <c r="A12" s="234" t="n">
        <v>8</v>
      </c>
      <c r="B12" s="235">
        <f>MASTER_AR_REPORT!E22</f>
        <v/>
      </c>
      <c r="C12" s="235">
        <f>MASTER_AR_REPORT!D22</f>
        <v/>
      </c>
      <c r="D12" s="236">
        <f>MASTER_AR_REPORT!C22</f>
        <v/>
      </c>
      <c r="E12" s="236">
        <f>MASTER_AR_REPORT!G22</f>
        <v/>
      </c>
      <c r="F12" s="237">
        <f>MASTER_AR_REPORT!I22</f>
        <v/>
      </c>
      <c r="G12" s="234">
        <f>MASTER_AR_REPORT!J22</f>
        <v/>
      </c>
      <c r="H12" s="235">
        <f>MASTER_AR_REPORT!K22</f>
        <v/>
      </c>
      <c r="I12" s="235">
        <f>MASTER_AR_REPORT!L22</f>
        <v/>
      </c>
      <c r="J12" s="235">
        <f>MASTER_AR_REPORT!M22</f>
        <v/>
      </c>
      <c r="K12" s="234" t="inlineStr">
        <is>
          <t>Pending</t>
        </is>
      </c>
    </row>
    <row r="13">
      <c r="A13" s="238" t="n">
        <v>9</v>
      </c>
      <c r="B13" s="239">
        <f>MASTER_AR_REPORT!E23</f>
        <v/>
      </c>
      <c r="C13" s="239">
        <f>MASTER_AR_REPORT!D23</f>
        <v/>
      </c>
      <c r="D13" s="240">
        <f>MASTER_AR_REPORT!C23</f>
        <v/>
      </c>
      <c r="E13" s="240">
        <f>MASTER_AR_REPORT!G23</f>
        <v/>
      </c>
      <c r="F13" s="241">
        <f>MASTER_AR_REPORT!I23</f>
        <v/>
      </c>
      <c r="G13" s="238">
        <f>MASTER_AR_REPORT!J23</f>
        <v/>
      </c>
      <c r="H13" s="239">
        <f>MASTER_AR_REPORT!K23</f>
        <v/>
      </c>
      <c r="I13" s="239">
        <f>MASTER_AR_REPORT!L23</f>
        <v/>
      </c>
      <c r="J13" s="239">
        <f>MASTER_AR_REPORT!M23</f>
        <v/>
      </c>
      <c r="K13" s="238" t="inlineStr">
        <is>
          <t>Pending</t>
        </is>
      </c>
    </row>
    <row r="14">
      <c r="A14" s="234" t="n">
        <v>10</v>
      </c>
      <c r="B14" s="235">
        <f>MASTER_AR_REPORT!E24</f>
        <v/>
      </c>
      <c r="C14" s="235">
        <f>MASTER_AR_REPORT!D24</f>
        <v/>
      </c>
      <c r="D14" s="236">
        <f>MASTER_AR_REPORT!C24</f>
        <v/>
      </c>
      <c r="E14" s="236">
        <f>MASTER_AR_REPORT!G24</f>
        <v/>
      </c>
      <c r="F14" s="237">
        <f>MASTER_AR_REPORT!I24</f>
        <v/>
      </c>
      <c r="G14" s="234">
        <f>MASTER_AR_REPORT!J24</f>
        <v/>
      </c>
      <c r="H14" s="235">
        <f>MASTER_AR_REPORT!K24</f>
        <v/>
      </c>
      <c r="I14" s="235">
        <f>MASTER_AR_REPORT!L24</f>
        <v/>
      </c>
      <c r="J14" s="235">
        <f>MASTER_AR_REPORT!M24</f>
        <v/>
      </c>
      <c r="K14" s="234" t="inlineStr">
        <is>
          <t>Pending</t>
        </is>
      </c>
    </row>
    <row r="15">
      <c r="A15" s="238" t="n">
        <v>11</v>
      </c>
      <c r="B15" s="239">
        <f>MASTER_AR_REPORT!E25</f>
        <v/>
      </c>
      <c r="C15" s="239">
        <f>MASTER_AR_REPORT!D25</f>
        <v/>
      </c>
      <c r="D15" s="240">
        <f>MASTER_AR_REPORT!C25</f>
        <v/>
      </c>
      <c r="E15" s="240">
        <f>MASTER_AR_REPORT!G25</f>
        <v/>
      </c>
      <c r="F15" s="241">
        <f>MASTER_AR_REPORT!I25</f>
        <v/>
      </c>
      <c r="G15" s="238">
        <f>MASTER_AR_REPORT!J25</f>
        <v/>
      </c>
      <c r="H15" s="239">
        <f>MASTER_AR_REPORT!K25</f>
        <v/>
      </c>
      <c r="I15" s="239">
        <f>MASTER_AR_REPORT!L25</f>
        <v/>
      </c>
      <c r="J15" s="239">
        <f>MASTER_AR_REPORT!M25</f>
        <v/>
      </c>
      <c r="K15" s="238" t="inlineStr">
        <is>
          <t>Pending</t>
        </is>
      </c>
    </row>
    <row r="16">
      <c r="A16" s="234" t="n">
        <v>12</v>
      </c>
      <c r="B16" s="235">
        <f>MASTER_AR_REPORT!E26</f>
        <v/>
      </c>
      <c r="C16" s="235">
        <f>MASTER_AR_REPORT!D26</f>
        <v/>
      </c>
      <c r="D16" s="236">
        <f>MASTER_AR_REPORT!C26</f>
        <v/>
      </c>
      <c r="E16" s="236">
        <f>MASTER_AR_REPORT!G26</f>
        <v/>
      </c>
      <c r="F16" s="237">
        <f>MASTER_AR_REPORT!I26</f>
        <v/>
      </c>
      <c r="G16" s="234">
        <f>MASTER_AR_REPORT!J26</f>
        <v/>
      </c>
      <c r="H16" s="235">
        <f>MASTER_AR_REPORT!K26</f>
        <v/>
      </c>
      <c r="I16" s="235">
        <f>MASTER_AR_REPORT!L26</f>
        <v/>
      </c>
      <c r="J16" s="235">
        <f>MASTER_AR_REPORT!M26</f>
        <v/>
      </c>
      <c r="K16" s="234" t="inlineStr">
        <is>
          <t>Pending</t>
        </is>
      </c>
    </row>
    <row r="17">
      <c r="A17" s="238" t="n">
        <v>13</v>
      </c>
      <c r="B17" s="239">
        <f>MASTER_AR_REPORT!E27</f>
        <v/>
      </c>
      <c r="C17" s="239">
        <f>MASTER_AR_REPORT!D27</f>
        <v/>
      </c>
      <c r="D17" s="240">
        <f>MASTER_AR_REPORT!C27</f>
        <v/>
      </c>
      <c r="E17" s="240">
        <f>MASTER_AR_REPORT!G27</f>
        <v/>
      </c>
      <c r="F17" s="241">
        <f>MASTER_AR_REPORT!I27</f>
        <v/>
      </c>
      <c r="G17" s="238">
        <f>MASTER_AR_REPORT!J27</f>
        <v/>
      </c>
      <c r="H17" s="239">
        <f>MASTER_AR_REPORT!K27</f>
        <v/>
      </c>
      <c r="I17" s="239">
        <f>MASTER_AR_REPORT!L27</f>
        <v/>
      </c>
      <c r="J17" s="239">
        <f>MASTER_AR_REPORT!M27</f>
        <v/>
      </c>
      <c r="K17" s="238" t="inlineStr">
        <is>
          <t>Pending</t>
        </is>
      </c>
    </row>
    <row r="18">
      <c r="A18" s="234" t="n">
        <v>14</v>
      </c>
      <c r="B18" s="235">
        <f>MASTER_AR_REPORT!E28</f>
        <v/>
      </c>
      <c r="C18" s="235">
        <f>MASTER_AR_REPORT!D28</f>
        <v/>
      </c>
      <c r="D18" s="236">
        <f>MASTER_AR_REPORT!C28</f>
        <v/>
      </c>
      <c r="E18" s="236">
        <f>MASTER_AR_REPORT!G28</f>
        <v/>
      </c>
      <c r="F18" s="237">
        <f>MASTER_AR_REPORT!I28</f>
        <v/>
      </c>
      <c r="G18" s="234">
        <f>MASTER_AR_REPORT!J28</f>
        <v/>
      </c>
      <c r="H18" s="235">
        <f>MASTER_AR_REPORT!K28</f>
        <v/>
      </c>
      <c r="I18" s="235">
        <f>MASTER_AR_REPORT!L28</f>
        <v/>
      </c>
      <c r="J18" s="235">
        <f>MASTER_AR_REPORT!M28</f>
        <v/>
      </c>
      <c r="K18" s="234" t="inlineStr">
        <is>
          <t>Pending</t>
        </is>
      </c>
    </row>
    <row r="19">
      <c r="A19" s="238" t="n">
        <v>15</v>
      </c>
      <c r="B19" s="239">
        <f>MASTER_AR_REPORT!E29</f>
        <v/>
      </c>
      <c r="C19" s="239">
        <f>MASTER_AR_REPORT!D29</f>
        <v/>
      </c>
      <c r="D19" s="240">
        <f>MASTER_AR_REPORT!C29</f>
        <v/>
      </c>
      <c r="E19" s="240">
        <f>MASTER_AR_REPORT!G29</f>
        <v/>
      </c>
      <c r="F19" s="241">
        <f>MASTER_AR_REPORT!I29</f>
        <v/>
      </c>
      <c r="G19" s="238">
        <f>MASTER_AR_REPORT!J29</f>
        <v/>
      </c>
      <c r="H19" s="239">
        <f>MASTER_AR_REPORT!K29</f>
        <v/>
      </c>
      <c r="I19" s="239">
        <f>MASTER_AR_REPORT!L29</f>
        <v/>
      </c>
      <c r="J19" s="239">
        <f>MASTER_AR_REPORT!M29</f>
        <v/>
      </c>
      <c r="K19" s="238" t="inlineStr">
        <is>
          <t>Pending</t>
        </is>
      </c>
    </row>
    <row r="20">
      <c r="A20" s="230" t="n">
        <v>16</v>
      </c>
      <c r="B20" s="231">
        <f>MASTER_AR_REPORT!E52</f>
        <v/>
      </c>
      <c r="C20" s="231">
        <f>MASTER_AR_REPORT!D52</f>
        <v/>
      </c>
      <c r="D20" s="232">
        <f>MASTER_AR_REPORT!C52</f>
        <v/>
      </c>
      <c r="E20" s="232">
        <f>MASTER_AR_REPORT!G52</f>
        <v/>
      </c>
      <c r="F20" s="233">
        <f>MASTER_AR_REPORT!I52</f>
        <v/>
      </c>
      <c r="G20" s="230">
        <f>MASTER_AR_REPORT!J52</f>
        <v/>
      </c>
      <c r="H20" s="231">
        <f>MASTER_AR_REPORT!K52</f>
        <v/>
      </c>
      <c r="I20" s="231">
        <f>MASTER_AR_REPORT!L52</f>
        <v/>
      </c>
      <c r="J20" s="231">
        <f>MASTER_AR_REPORT!M52</f>
        <v/>
      </c>
      <c r="K20" s="230" t="inlineStr">
        <is>
          <t>Pending</t>
        </is>
      </c>
    </row>
    <row r="21">
      <c r="A21" s="226" t="n">
        <v>17</v>
      </c>
      <c r="B21" s="227">
        <f>MASTER_AR_REPORT!E53</f>
        <v/>
      </c>
      <c r="C21" s="227">
        <f>MASTER_AR_REPORT!D53</f>
        <v/>
      </c>
      <c r="D21" s="228">
        <f>MASTER_AR_REPORT!C53</f>
        <v/>
      </c>
      <c r="E21" s="228">
        <f>MASTER_AR_REPORT!G53</f>
        <v/>
      </c>
      <c r="F21" s="229">
        <f>MASTER_AR_REPORT!I53</f>
        <v/>
      </c>
      <c r="G21" s="226">
        <f>MASTER_AR_REPORT!J53</f>
        <v/>
      </c>
      <c r="H21" s="227">
        <f>MASTER_AR_REPORT!K53</f>
        <v/>
      </c>
      <c r="I21" s="227">
        <f>MASTER_AR_REPORT!L53</f>
        <v/>
      </c>
      <c r="J21" s="227">
        <f>MASTER_AR_REPORT!M53</f>
        <v/>
      </c>
      <c r="K21" s="226" t="inlineStr">
        <is>
          <t>Pending</t>
        </is>
      </c>
    </row>
    <row r="22">
      <c r="A22" s="234" t="n">
        <v>18</v>
      </c>
      <c r="B22" s="235">
        <f>MASTER_AR_REPORT!E55</f>
        <v/>
      </c>
      <c r="C22" s="235">
        <f>MASTER_AR_REPORT!D55</f>
        <v/>
      </c>
      <c r="D22" s="236">
        <f>MASTER_AR_REPORT!C55</f>
        <v/>
      </c>
      <c r="E22" s="236">
        <f>MASTER_AR_REPORT!G55</f>
        <v/>
      </c>
      <c r="F22" s="237">
        <f>MASTER_AR_REPORT!I55</f>
        <v/>
      </c>
      <c r="G22" s="234">
        <f>MASTER_AR_REPORT!J55</f>
        <v/>
      </c>
      <c r="H22" s="235">
        <f>MASTER_AR_REPORT!K55</f>
        <v/>
      </c>
      <c r="I22" s="235">
        <f>MASTER_AR_REPORT!L55</f>
        <v/>
      </c>
      <c r="J22" s="235">
        <f>MASTER_AR_REPORT!M55</f>
        <v/>
      </c>
      <c r="K22" s="234" t="inlineStr">
        <is>
          <t>Pending</t>
        </is>
      </c>
    </row>
    <row r="23">
      <c r="A23" s="238" t="n">
        <v>19</v>
      </c>
      <c r="B23" s="239">
        <f>MASTER_AR_REPORT!E58</f>
        <v/>
      </c>
      <c r="C23" s="239">
        <f>MASTER_AR_REPORT!D58</f>
        <v/>
      </c>
      <c r="D23" s="240">
        <f>MASTER_AR_REPORT!C58</f>
        <v/>
      </c>
      <c r="E23" s="240">
        <f>MASTER_AR_REPORT!G58</f>
        <v/>
      </c>
      <c r="F23" s="241">
        <f>MASTER_AR_REPORT!I58</f>
        <v/>
      </c>
      <c r="G23" s="238">
        <f>MASTER_AR_REPORT!J58</f>
        <v/>
      </c>
      <c r="H23" s="239">
        <f>MASTER_AR_REPORT!K58</f>
        <v/>
      </c>
      <c r="I23" s="239">
        <f>MASTER_AR_REPORT!L58</f>
        <v/>
      </c>
      <c r="J23" s="239">
        <f>MASTER_AR_REPORT!M58</f>
        <v/>
      </c>
      <c r="K23" s="238" t="inlineStr">
        <is>
          <t>Pending</t>
        </is>
      </c>
    </row>
    <row r="24">
      <c r="A24" s="230" t="n">
        <v>20</v>
      </c>
      <c r="B24" s="231">
        <f>MASTER_AR_REPORT!E60</f>
        <v/>
      </c>
      <c r="C24" s="231">
        <f>MASTER_AR_REPORT!D60</f>
        <v/>
      </c>
      <c r="D24" s="232">
        <f>MASTER_AR_REPORT!C60</f>
        <v/>
      </c>
      <c r="E24" s="232">
        <f>MASTER_AR_REPORT!G60</f>
        <v/>
      </c>
      <c r="F24" s="233">
        <f>MASTER_AR_REPORT!I60</f>
        <v/>
      </c>
      <c r="G24" s="230">
        <f>MASTER_AR_REPORT!J60</f>
        <v/>
      </c>
      <c r="H24" s="231">
        <f>MASTER_AR_REPORT!K60</f>
        <v/>
      </c>
      <c r="I24" s="231">
        <f>MASTER_AR_REPORT!L60</f>
        <v/>
      </c>
      <c r="J24" s="231">
        <f>MASTER_AR_REPORT!M60</f>
        <v/>
      </c>
      <c r="K24" s="230" t="inlineStr">
        <is>
          <t>Pending</t>
        </is>
      </c>
    </row>
    <row r="25">
      <c r="A25" s="226" t="n">
        <v>21</v>
      </c>
      <c r="B25" s="227">
        <f>MASTER_AR_REPORT!E61</f>
        <v/>
      </c>
      <c r="C25" s="227">
        <f>MASTER_AR_REPORT!D61</f>
        <v/>
      </c>
      <c r="D25" s="228">
        <f>MASTER_AR_REPORT!C61</f>
        <v/>
      </c>
      <c r="E25" s="228">
        <f>MASTER_AR_REPORT!G61</f>
        <v/>
      </c>
      <c r="F25" s="229">
        <f>MASTER_AR_REPORT!I61</f>
        <v/>
      </c>
      <c r="G25" s="226">
        <f>MASTER_AR_REPORT!J61</f>
        <v/>
      </c>
      <c r="H25" s="227">
        <f>MASTER_AR_REPORT!K61</f>
        <v/>
      </c>
      <c r="I25" s="227">
        <f>MASTER_AR_REPORT!L61</f>
        <v/>
      </c>
      <c r="J25" s="227">
        <f>MASTER_AR_REPORT!M61</f>
        <v/>
      </c>
      <c r="K25" s="226" t="inlineStr">
        <is>
          <t>Pending</t>
        </is>
      </c>
    </row>
    <row r="26">
      <c r="A26" s="230" t="n">
        <v>22</v>
      </c>
      <c r="B26" s="231">
        <f>MASTER_AR_REPORT!E88</f>
        <v/>
      </c>
      <c r="C26" s="231">
        <f>MASTER_AR_REPORT!D88</f>
        <v/>
      </c>
      <c r="D26" s="232">
        <f>MASTER_AR_REPORT!C88</f>
        <v/>
      </c>
      <c r="E26" s="232">
        <f>MASTER_AR_REPORT!G88</f>
        <v/>
      </c>
      <c r="F26" s="233">
        <f>MASTER_AR_REPORT!I88</f>
        <v/>
      </c>
      <c r="G26" s="230">
        <f>MASTER_AR_REPORT!J88</f>
        <v/>
      </c>
      <c r="H26" s="231">
        <f>MASTER_AR_REPORT!K88</f>
        <v/>
      </c>
      <c r="I26" s="231">
        <f>MASTER_AR_REPORT!L88</f>
        <v/>
      </c>
      <c r="J26" s="231">
        <f>MASTER_AR_REPORT!M88</f>
        <v/>
      </c>
      <c r="K26" s="230" t="inlineStr">
        <is>
          <t>Pending</t>
        </is>
      </c>
    </row>
    <row r="27">
      <c r="A27" s="238" t="n">
        <v>23</v>
      </c>
      <c r="B27" s="239">
        <f>MASTER_AR_REPORT!E89</f>
        <v/>
      </c>
      <c r="C27" s="239">
        <f>MASTER_AR_REPORT!D89</f>
        <v/>
      </c>
      <c r="D27" s="240">
        <f>MASTER_AR_REPORT!C89</f>
        <v/>
      </c>
      <c r="E27" s="240">
        <f>MASTER_AR_REPORT!G89</f>
        <v/>
      </c>
      <c r="F27" s="241">
        <f>MASTER_AR_REPORT!I89</f>
        <v/>
      </c>
      <c r="G27" s="238">
        <f>MASTER_AR_REPORT!J89</f>
        <v/>
      </c>
      <c r="H27" s="239">
        <f>MASTER_AR_REPORT!K89</f>
        <v/>
      </c>
      <c r="I27" s="239">
        <f>MASTER_AR_REPORT!L89</f>
        <v/>
      </c>
      <c r="J27" s="239">
        <f>MASTER_AR_REPORT!M89</f>
        <v/>
      </c>
      <c r="K27" s="238" t="inlineStr">
        <is>
          <t>Pending</t>
        </is>
      </c>
    </row>
    <row r="28">
      <c r="A28" s="230" t="n">
        <v>24</v>
      </c>
      <c r="B28" s="231">
        <f>MASTER_AR_REPORT!E90</f>
        <v/>
      </c>
      <c r="C28" s="231">
        <f>MASTER_AR_REPORT!D90</f>
        <v/>
      </c>
      <c r="D28" s="232">
        <f>MASTER_AR_REPORT!C90</f>
        <v/>
      </c>
      <c r="E28" s="232">
        <f>MASTER_AR_REPORT!G90</f>
        <v/>
      </c>
      <c r="F28" s="233">
        <f>MASTER_AR_REPORT!I90</f>
        <v/>
      </c>
      <c r="G28" s="230">
        <f>MASTER_AR_REPORT!J90</f>
        <v/>
      </c>
      <c r="H28" s="231">
        <f>MASTER_AR_REPORT!K90</f>
        <v/>
      </c>
      <c r="I28" s="231">
        <f>MASTER_AR_REPORT!L90</f>
        <v/>
      </c>
      <c r="J28" s="231">
        <f>MASTER_AR_REPORT!M90</f>
        <v/>
      </c>
      <c r="K28" s="230" t="inlineStr">
        <is>
          <t>Pending</t>
        </is>
      </c>
    </row>
    <row r="29">
      <c r="A29" s="238" t="n">
        <v>25</v>
      </c>
      <c r="B29" s="239">
        <f>MASTER_AR_REPORT!E93</f>
        <v/>
      </c>
      <c r="C29" s="239">
        <f>MASTER_AR_REPORT!D93</f>
        <v/>
      </c>
      <c r="D29" s="240">
        <f>MASTER_AR_REPORT!C93</f>
        <v/>
      </c>
      <c r="E29" s="240">
        <f>MASTER_AR_REPORT!G93</f>
        <v/>
      </c>
      <c r="F29" s="241">
        <f>MASTER_AR_REPORT!I93</f>
        <v/>
      </c>
      <c r="G29" s="238">
        <f>MASTER_AR_REPORT!J93</f>
        <v/>
      </c>
      <c r="H29" s="239">
        <f>MASTER_AR_REPORT!K93</f>
        <v/>
      </c>
      <c r="I29" s="239">
        <f>MASTER_AR_REPORT!L93</f>
        <v/>
      </c>
      <c r="J29" s="239">
        <f>MASTER_AR_REPORT!M93</f>
        <v/>
      </c>
      <c r="K29" s="238" t="inlineStr">
        <is>
          <t>Pending</t>
        </is>
      </c>
    </row>
    <row r="30">
      <c r="A30" s="234" t="n">
        <v>26</v>
      </c>
      <c r="B30" s="235">
        <f>MASTER_AR_REPORT!E94</f>
        <v/>
      </c>
      <c r="C30" s="235">
        <f>MASTER_AR_REPORT!D94</f>
        <v/>
      </c>
      <c r="D30" s="236">
        <f>MASTER_AR_REPORT!C94</f>
        <v/>
      </c>
      <c r="E30" s="236">
        <f>MASTER_AR_REPORT!G94</f>
        <v/>
      </c>
      <c r="F30" s="237">
        <f>MASTER_AR_REPORT!I94</f>
        <v/>
      </c>
      <c r="G30" s="234">
        <f>MASTER_AR_REPORT!J94</f>
        <v/>
      </c>
      <c r="H30" s="235">
        <f>MASTER_AR_REPORT!K94</f>
        <v/>
      </c>
      <c r="I30" s="235">
        <f>MASTER_AR_REPORT!L94</f>
        <v/>
      </c>
      <c r="J30" s="235">
        <f>MASTER_AR_REPORT!M94</f>
        <v/>
      </c>
      <c r="K30" s="234" t="inlineStr">
        <is>
          <t>Pending</t>
        </is>
      </c>
    </row>
    <row r="31">
      <c r="A31" s="226" t="n">
        <v>27</v>
      </c>
      <c r="B31" s="227">
        <f>MASTER_AR_REPORT!E95</f>
        <v/>
      </c>
      <c r="C31" s="227">
        <f>MASTER_AR_REPORT!D95</f>
        <v/>
      </c>
      <c r="D31" s="228">
        <f>MASTER_AR_REPORT!C95</f>
        <v/>
      </c>
      <c r="E31" s="228">
        <f>MASTER_AR_REPORT!G95</f>
        <v/>
      </c>
      <c r="F31" s="229">
        <f>MASTER_AR_REPORT!I95</f>
        <v/>
      </c>
      <c r="G31" s="226">
        <f>MASTER_AR_REPORT!J95</f>
        <v/>
      </c>
      <c r="H31" s="227">
        <f>MASTER_AR_REPORT!K95</f>
        <v/>
      </c>
      <c r="I31" s="227">
        <f>MASTER_AR_REPORT!L95</f>
        <v/>
      </c>
      <c r="J31" s="227">
        <f>MASTER_AR_REPORT!M95</f>
        <v/>
      </c>
      <c r="K31" s="226" t="inlineStr">
        <is>
          <t>Pending</t>
        </is>
      </c>
    </row>
    <row r="32">
      <c r="A32" s="230" t="n">
        <v>28</v>
      </c>
      <c r="B32" s="231">
        <f>MASTER_AR_REPORT!E96</f>
        <v/>
      </c>
      <c r="C32" s="231">
        <f>MASTER_AR_REPORT!D96</f>
        <v/>
      </c>
      <c r="D32" s="232">
        <f>MASTER_AR_REPORT!C96</f>
        <v/>
      </c>
      <c r="E32" s="232">
        <f>MASTER_AR_REPORT!G96</f>
        <v/>
      </c>
      <c r="F32" s="233">
        <f>MASTER_AR_REPORT!I96</f>
        <v/>
      </c>
      <c r="G32" s="230">
        <f>MASTER_AR_REPORT!J96</f>
        <v/>
      </c>
      <c r="H32" s="231">
        <f>MASTER_AR_REPORT!K96</f>
        <v/>
      </c>
      <c r="I32" s="231">
        <f>MASTER_AR_REPORT!L96</f>
        <v/>
      </c>
      <c r="J32" s="231">
        <f>MASTER_AR_REPORT!M96</f>
        <v/>
      </c>
      <c r="K32" s="230" t="inlineStr">
        <is>
          <t>Pending</t>
        </is>
      </c>
    </row>
    <row r="33">
      <c r="A33" s="226" t="n">
        <v>29</v>
      </c>
      <c r="B33" s="227">
        <f>MASTER_AR_REPORT!E97</f>
        <v/>
      </c>
      <c r="C33" s="227">
        <f>MASTER_AR_REPORT!D97</f>
        <v/>
      </c>
      <c r="D33" s="228">
        <f>MASTER_AR_REPORT!C97</f>
        <v/>
      </c>
      <c r="E33" s="228">
        <f>MASTER_AR_REPORT!G97</f>
        <v/>
      </c>
      <c r="F33" s="229">
        <f>MASTER_AR_REPORT!I97</f>
        <v/>
      </c>
      <c r="G33" s="226">
        <f>MASTER_AR_REPORT!J97</f>
        <v/>
      </c>
      <c r="H33" s="227">
        <f>MASTER_AR_REPORT!K97</f>
        <v/>
      </c>
      <c r="I33" s="227">
        <f>MASTER_AR_REPORT!L97</f>
        <v/>
      </c>
      <c r="J33" s="227">
        <f>MASTER_AR_REPORT!M97</f>
        <v/>
      </c>
      <c r="K33" s="226" t="inlineStr">
        <is>
          <t>Pending</t>
        </is>
      </c>
    </row>
    <row r="34">
      <c r="A34" s="234" t="n">
        <v>30</v>
      </c>
      <c r="B34" s="235">
        <f>MASTER_AR_REPORT!E98</f>
        <v/>
      </c>
      <c r="C34" s="235">
        <f>MASTER_AR_REPORT!D98</f>
        <v/>
      </c>
      <c r="D34" s="236">
        <f>MASTER_AR_REPORT!C98</f>
        <v/>
      </c>
      <c r="E34" s="236">
        <f>MASTER_AR_REPORT!G98</f>
        <v/>
      </c>
      <c r="F34" s="237">
        <f>MASTER_AR_REPORT!I98</f>
        <v/>
      </c>
      <c r="G34" s="234">
        <f>MASTER_AR_REPORT!J98</f>
        <v/>
      </c>
      <c r="H34" s="235">
        <f>MASTER_AR_REPORT!K98</f>
        <v/>
      </c>
      <c r="I34" s="235">
        <f>MASTER_AR_REPORT!L98</f>
        <v/>
      </c>
      <c r="J34" s="235">
        <f>MASTER_AR_REPORT!M98</f>
        <v/>
      </c>
      <c r="K34" s="234" t="inlineStr">
        <is>
          <t>Pending</t>
        </is>
      </c>
    </row>
    <row r="35">
      <c r="A35" s="238" t="n">
        <v>31</v>
      </c>
      <c r="B35" s="239">
        <f>MASTER_AR_REPORT!E99</f>
        <v/>
      </c>
      <c r="C35" s="239">
        <f>MASTER_AR_REPORT!D99</f>
        <v/>
      </c>
      <c r="D35" s="240">
        <f>MASTER_AR_REPORT!C99</f>
        <v/>
      </c>
      <c r="E35" s="240">
        <f>MASTER_AR_REPORT!G99</f>
        <v/>
      </c>
      <c r="F35" s="241">
        <f>MASTER_AR_REPORT!I99</f>
        <v/>
      </c>
      <c r="G35" s="238">
        <f>MASTER_AR_REPORT!J99</f>
        <v/>
      </c>
      <c r="H35" s="239">
        <f>MASTER_AR_REPORT!K99</f>
        <v/>
      </c>
      <c r="I35" s="239">
        <f>MASTER_AR_REPORT!L99</f>
        <v/>
      </c>
      <c r="J35" s="239">
        <f>MASTER_AR_REPORT!M99</f>
        <v/>
      </c>
      <c r="K35" s="238" t="inlineStr">
        <is>
          <t>Pending</t>
        </is>
      </c>
    </row>
    <row r="36">
      <c r="A36" s="230" t="n">
        <v>32</v>
      </c>
      <c r="B36" s="231">
        <f>MASTER_AR_REPORT!E103</f>
        <v/>
      </c>
      <c r="C36" s="231">
        <f>MASTER_AR_REPORT!D103</f>
        <v/>
      </c>
      <c r="D36" s="232">
        <f>MASTER_AR_REPORT!C103</f>
        <v/>
      </c>
      <c r="E36" s="232">
        <f>MASTER_AR_REPORT!G103</f>
        <v/>
      </c>
      <c r="F36" s="233">
        <f>MASTER_AR_REPORT!I103</f>
        <v/>
      </c>
      <c r="G36" s="230">
        <f>MASTER_AR_REPORT!J103</f>
        <v/>
      </c>
      <c r="H36" s="231">
        <f>MASTER_AR_REPORT!K103</f>
        <v/>
      </c>
      <c r="I36" s="231">
        <f>MASTER_AR_REPORT!L103</f>
        <v/>
      </c>
      <c r="J36" s="231">
        <f>MASTER_AR_REPORT!M103</f>
        <v/>
      </c>
      <c r="K36" s="230" t="inlineStr">
        <is>
          <t>Pending</t>
        </is>
      </c>
    </row>
    <row r="37">
      <c r="A37" s="238" t="n">
        <v>33</v>
      </c>
      <c r="B37" s="239">
        <f>MASTER_AR_REPORT!E108</f>
        <v/>
      </c>
      <c r="C37" s="239">
        <f>MASTER_AR_REPORT!D108</f>
        <v/>
      </c>
      <c r="D37" s="240">
        <f>MASTER_AR_REPORT!C108</f>
        <v/>
      </c>
      <c r="E37" s="240">
        <f>MASTER_AR_REPORT!G108</f>
        <v/>
      </c>
      <c r="F37" s="241">
        <f>MASTER_AR_REPORT!I108</f>
        <v/>
      </c>
      <c r="G37" s="238">
        <f>MASTER_AR_REPORT!J108</f>
        <v/>
      </c>
      <c r="H37" s="239">
        <f>MASTER_AR_REPORT!K108</f>
        <v/>
      </c>
      <c r="I37" s="239">
        <f>MASTER_AR_REPORT!L108</f>
        <v/>
      </c>
      <c r="J37" s="239">
        <f>MASTER_AR_REPORT!M108</f>
        <v/>
      </c>
      <c r="K37" s="238" t="inlineStr">
        <is>
          <t>Pending</t>
        </is>
      </c>
    </row>
    <row r="38">
      <c r="A38" s="234" t="n">
        <v>34</v>
      </c>
      <c r="B38" s="235">
        <f>MASTER_AR_REPORT!E110</f>
        <v/>
      </c>
      <c r="C38" s="235">
        <f>MASTER_AR_REPORT!D110</f>
        <v/>
      </c>
      <c r="D38" s="236">
        <f>MASTER_AR_REPORT!C110</f>
        <v/>
      </c>
      <c r="E38" s="236">
        <f>MASTER_AR_REPORT!G110</f>
        <v/>
      </c>
      <c r="F38" s="237">
        <f>MASTER_AR_REPORT!I110</f>
        <v/>
      </c>
      <c r="G38" s="234">
        <f>MASTER_AR_REPORT!J110</f>
        <v/>
      </c>
      <c r="H38" s="235">
        <f>MASTER_AR_REPORT!K110</f>
        <v/>
      </c>
      <c r="I38" s="235">
        <f>MASTER_AR_REPORT!L110</f>
        <v/>
      </c>
      <c r="J38" s="235">
        <f>MASTER_AR_REPORT!M110</f>
        <v/>
      </c>
      <c r="K38" s="234" t="inlineStr">
        <is>
          <t>Pending</t>
        </is>
      </c>
    </row>
    <row r="39">
      <c r="A39" s="238" t="n">
        <v>35</v>
      </c>
      <c r="B39" s="239">
        <f>MASTER_AR_REPORT!E111</f>
        <v/>
      </c>
      <c r="C39" s="239">
        <f>MASTER_AR_REPORT!D111</f>
        <v/>
      </c>
      <c r="D39" s="240">
        <f>MASTER_AR_REPORT!C111</f>
        <v/>
      </c>
      <c r="E39" s="240">
        <f>MASTER_AR_REPORT!G111</f>
        <v/>
      </c>
      <c r="F39" s="241">
        <f>MASTER_AR_REPORT!I111</f>
        <v/>
      </c>
      <c r="G39" s="238">
        <f>MASTER_AR_REPORT!J111</f>
        <v/>
      </c>
      <c r="H39" s="239">
        <f>MASTER_AR_REPORT!K111</f>
        <v/>
      </c>
      <c r="I39" s="239">
        <f>MASTER_AR_REPORT!L111</f>
        <v/>
      </c>
      <c r="J39" s="239">
        <f>MASTER_AR_REPORT!M111</f>
        <v/>
      </c>
      <c r="K39" s="238" t="inlineStr">
        <is>
          <t>Pending</t>
        </is>
      </c>
    </row>
    <row r="40">
      <c r="A40" s="234" t="n">
        <v>36</v>
      </c>
      <c r="B40" s="235">
        <f>MASTER_AR_REPORT!E112</f>
        <v/>
      </c>
      <c r="C40" s="235">
        <f>MASTER_AR_REPORT!D112</f>
        <v/>
      </c>
      <c r="D40" s="236">
        <f>MASTER_AR_REPORT!C112</f>
        <v/>
      </c>
      <c r="E40" s="236">
        <f>MASTER_AR_REPORT!G112</f>
        <v/>
      </c>
      <c r="F40" s="237">
        <f>MASTER_AR_REPORT!I112</f>
        <v/>
      </c>
      <c r="G40" s="234">
        <f>MASTER_AR_REPORT!J112</f>
        <v/>
      </c>
      <c r="H40" s="235">
        <f>MASTER_AR_REPORT!K112</f>
        <v/>
      </c>
      <c r="I40" s="235">
        <f>MASTER_AR_REPORT!L112</f>
        <v/>
      </c>
      <c r="J40" s="235">
        <f>MASTER_AR_REPORT!M112</f>
        <v/>
      </c>
      <c r="K40" s="234" t="inlineStr">
        <is>
          <t>Pending</t>
        </is>
      </c>
    </row>
    <row r="41">
      <c r="A41" s="238" t="n">
        <v>37</v>
      </c>
      <c r="B41" s="239">
        <f>MASTER_AR_REPORT!E113</f>
        <v/>
      </c>
      <c r="C41" s="239">
        <f>MASTER_AR_REPORT!D113</f>
        <v/>
      </c>
      <c r="D41" s="240">
        <f>MASTER_AR_REPORT!C113</f>
        <v/>
      </c>
      <c r="E41" s="240">
        <f>MASTER_AR_REPORT!G113</f>
        <v/>
      </c>
      <c r="F41" s="241">
        <f>MASTER_AR_REPORT!I113</f>
        <v/>
      </c>
      <c r="G41" s="238">
        <f>MASTER_AR_REPORT!J113</f>
        <v/>
      </c>
      <c r="H41" s="239">
        <f>MASTER_AR_REPORT!K113</f>
        <v/>
      </c>
      <c r="I41" s="239">
        <f>MASTER_AR_REPORT!L113</f>
        <v/>
      </c>
      <c r="J41" s="239">
        <f>MASTER_AR_REPORT!M113</f>
        <v/>
      </c>
      <c r="K41" s="238" t="inlineStr">
        <is>
          <t>Pending</t>
        </is>
      </c>
    </row>
    <row r="42">
      <c r="A42" s="230" t="n">
        <v>38</v>
      </c>
      <c r="B42" s="231">
        <f>MASTER_AR_REPORT!E118</f>
        <v/>
      </c>
      <c r="C42" s="231">
        <f>MASTER_AR_REPORT!D118</f>
        <v/>
      </c>
      <c r="D42" s="232">
        <f>MASTER_AR_REPORT!C118</f>
        <v/>
      </c>
      <c r="E42" s="232">
        <f>MASTER_AR_REPORT!G118</f>
        <v/>
      </c>
      <c r="F42" s="233">
        <f>MASTER_AR_REPORT!I118</f>
        <v/>
      </c>
      <c r="G42" s="230">
        <f>MASTER_AR_REPORT!J118</f>
        <v/>
      </c>
      <c r="H42" s="231">
        <f>MASTER_AR_REPORT!K118</f>
        <v/>
      </c>
      <c r="I42" s="231">
        <f>MASTER_AR_REPORT!L118</f>
        <v/>
      </c>
      <c r="J42" s="231">
        <f>MASTER_AR_REPORT!M118</f>
        <v/>
      </c>
      <c r="K42" s="230" t="inlineStr">
        <is>
          <t>Pending</t>
        </is>
      </c>
    </row>
    <row r="43">
      <c r="A43" s="226" t="n">
        <v>39</v>
      </c>
      <c r="B43" s="227">
        <f>MASTER_AR_REPORT!E119</f>
        <v/>
      </c>
      <c r="C43" s="227">
        <f>MASTER_AR_REPORT!D119</f>
        <v/>
      </c>
      <c r="D43" s="228">
        <f>MASTER_AR_REPORT!C119</f>
        <v/>
      </c>
      <c r="E43" s="228">
        <f>MASTER_AR_REPORT!G119</f>
        <v/>
      </c>
      <c r="F43" s="229">
        <f>MASTER_AR_REPORT!I119</f>
        <v/>
      </c>
      <c r="G43" s="226">
        <f>MASTER_AR_REPORT!J119</f>
        <v/>
      </c>
      <c r="H43" s="227">
        <f>MASTER_AR_REPORT!K119</f>
        <v/>
      </c>
      <c r="I43" s="227">
        <f>MASTER_AR_REPORT!L119</f>
        <v/>
      </c>
      <c r="J43" s="227">
        <f>MASTER_AR_REPORT!M119</f>
        <v/>
      </c>
      <c r="K43" s="226" t="inlineStr">
        <is>
          <t>Pending</t>
        </is>
      </c>
    </row>
    <row r="44">
      <c r="A44" s="234" t="n">
        <v>40</v>
      </c>
      <c r="B44" s="235">
        <f>MASTER_AR_REPORT!E120</f>
        <v/>
      </c>
      <c r="C44" s="235">
        <f>MASTER_AR_REPORT!D120</f>
        <v/>
      </c>
      <c r="D44" s="236">
        <f>MASTER_AR_REPORT!C120</f>
        <v/>
      </c>
      <c r="E44" s="236">
        <f>MASTER_AR_REPORT!G120</f>
        <v/>
      </c>
      <c r="F44" s="237">
        <f>MASTER_AR_REPORT!I120</f>
        <v/>
      </c>
      <c r="G44" s="234">
        <f>MASTER_AR_REPORT!J120</f>
        <v/>
      </c>
      <c r="H44" s="235">
        <f>MASTER_AR_REPORT!K120</f>
        <v/>
      </c>
      <c r="I44" s="235">
        <f>MASTER_AR_REPORT!L120</f>
        <v/>
      </c>
      <c r="J44" s="235">
        <f>MASTER_AR_REPORT!M120</f>
        <v/>
      </c>
      <c r="K44" s="234" t="inlineStr">
        <is>
          <t>Pending</t>
        </is>
      </c>
    </row>
    <row r="45">
      <c r="A45" s="226" t="n">
        <v>41</v>
      </c>
      <c r="B45" s="227">
        <f>MASTER_AR_REPORT!E123</f>
        <v/>
      </c>
      <c r="C45" s="227">
        <f>MASTER_AR_REPORT!D123</f>
        <v/>
      </c>
      <c r="D45" s="228">
        <f>MASTER_AR_REPORT!C123</f>
        <v/>
      </c>
      <c r="E45" s="228">
        <f>MASTER_AR_REPORT!G123</f>
        <v/>
      </c>
      <c r="F45" s="229">
        <f>MASTER_AR_REPORT!I123</f>
        <v/>
      </c>
      <c r="G45" s="226">
        <f>MASTER_AR_REPORT!J123</f>
        <v/>
      </c>
      <c r="H45" s="227">
        <f>MASTER_AR_REPORT!K123</f>
        <v/>
      </c>
      <c r="I45" s="227">
        <f>MASTER_AR_REPORT!L123</f>
        <v/>
      </c>
      <c r="J45" s="227">
        <f>MASTER_AR_REPORT!M123</f>
        <v/>
      </c>
      <c r="K45" s="226" t="inlineStr">
        <is>
          <t>Pending</t>
        </is>
      </c>
    </row>
    <row r="46">
      <c r="A46" s="230" t="n">
        <v>42</v>
      </c>
      <c r="B46" s="231">
        <f>MASTER_AR_REPORT!E124</f>
        <v/>
      </c>
      <c r="C46" s="231">
        <f>MASTER_AR_REPORT!D124</f>
        <v/>
      </c>
      <c r="D46" s="232">
        <f>MASTER_AR_REPORT!C124</f>
        <v/>
      </c>
      <c r="E46" s="232">
        <f>MASTER_AR_REPORT!G124</f>
        <v/>
      </c>
      <c r="F46" s="233">
        <f>MASTER_AR_REPORT!I124</f>
        <v/>
      </c>
      <c r="G46" s="230">
        <f>MASTER_AR_REPORT!J124</f>
        <v/>
      </c>
      <c r="H46" s="231">
        <f>MASTER_AR_REPORT!K124</f>
        <v/>
      </c>
      <c r="I46" s="231">
        <f>MASTER_AR_REPORT!L124</f>
        <v/>
      </c>
      <c r="J46" s="231">
        <f>MASTER_AR_REPORT!M124</f>
        <v/>
      </c>
      <c r="K46" s="230" t="inlineStr">
        <is>
          <t>Pending</t>
        </is>
      </c>
    </row>
    <row r="47">
      <c r="A47" s="226" t="n">
        <v>43</v>
      </c>
      <c r="B47" s="227">
        <f>MASTER_AR_REPORT!E125</f>
        <v/>
      </c>
      <c r="C47" s="227">
        <f>MASTER_AR_REPORT!D125</f>
        <v/>
      </c>
      <c r="D47" s="228">
        <f>MASTER_AR_REPORT!C125</f>
        <v/>
      </c>
      <c r="E47" s="228">
        <f>MASTER_AR_REPORT!G125</f>
        <v/>
      </c>
      <c r="F47" s="229">
        <f>MASTER_AR_REPORT!I125</f>
        <v/>
      </c>
      <c r="G47" s="226">
        <f>MASTER_AR_REPORT!J125</f>
        <v/>
      </c>
      <c r="H47" s="227">
        <f>MASTER_AR_REPORT!K125</f>
        <v/>
      </c>
      <c r="I47" s="227">
        <f>MASTER_AR_REPORT!L125</f>
        <v/>
      </c>
      <c r="J47" s="227">
        <f>MASTER_AR_REPORT!M125</f>
        <v/>
      </c>
      <c r="K47" s="226" t="inlineStr">
        <is>
          <t>Pending</t>
        </is>
      </c>
    </row>
    <row r="48">
      <c r="A48" s="230" t="n">
        <v>44</v>
      </c>
      <c r="B48" s="231">
        <f>MASTER_AR_REPORT!E126</f>
        <v/>
      </c>
      <c r="C48" s="231">
        <f>MASTER_AR_REPORT!D126</f>
        <v/>
      </c>
      <c r="D48" s="232">
        <f>MASTER_AR_REPORT!C126</f>
        <v/>
      </c>
      <c r="E48" s="232">
        <f>MASTER_AR_REPORT!G126</f>
        <v/>
      </c>
      <c r="F48" s="233">
        <f>MASTER_AR_REPORT!I126</f>
        <v/>
      </c>
      <c r="G48" s="230">
        <f>MASTER_AR_REPORT!J126</f>
        <v/>
      </c>
      <c r="H48" s="231">
        <f>MASTER_AR_REPORT!K126</f>
        <v/>
      </c>
      <c r="I48" s="231">
        <f>MASTER_AR_REPORT!L126</f>
        <v/>
      </c>
      <c r="J48" s="231">
        <f>MASTER_AR_REPORT!M126</f>
        <v/>
      </c>
      <c r="K48" s="230" t="inlineStr">
        <is>
          <t>Pending</t>
        </is>
      </c>
    </row>
    <row r="49">
      <c r="A49" s="226" t="n">
        <v>45</v>
      </c>
      <c r="B49" s="227">
        <f>MASTER_AR_REPORT!E127</f>
        <v/>
      </c>
      <c r="C49" s="227">
        <f>MASTER_AR_REPORT!D127</f>
        <v/>
      </c>
      <c r="D49" s="228">
        <f>MASTER_AR_REPORT!C127</f>
        <v/>
      </c>
      <c r="E49" s="228">
        <f>MASTER_AR_REPORT!G127</f>
        <v/>
      </c>
      <c r="F49" s="229">
        <f>MASTER_AR_REPORT!I127</f>
        <v/>
      </c>
      <c r="G49" s="226">
        <f>MASTER_AR_REPORT!J127</f>
        <v/>
      </c>
      <c r="H49" s="227">
        <f>MASTER_AR_REPORT!K127</f>
        <v/>
      </c>
      <c r="I49" s="227">
        <f>MASTER_AR_REPORT!L127</f>
        <v/>
      </c>
      <c r="J49" s="227">
        <f>MASTER_AR_REPORT!M127</f>
        <v/>
      </c>
      <c r="K49" s="226" t="inlineStr">
        <is>
          <t>Pending</t>
        </is>
      </c>
    </row>
    <row r="50">
      <c r="A50" s="230" t="n">
        <v>46</v>
      </c>
      <c r="B50" s="231">
        <f>MASTER_AR_REPORT!E128</f>
        <v/>
      </c>
      <c r="C50" s="231">
        <f>MASTER_AR_REPORT!D128</f>
        <v/>
      </c>
      <c r="D50" s="232">
        <f>MASTER_AR_REPORT!C128</f>
        <v/>
      </c>
      <c r="E50" s="232">
        <f>MASTER_AR_REPORT!G128</f>
        <v/>
      </c>
      <c r="F50" s="233">
        <f>MASTER_AR_REPORT!I128</f>
        <v/>
      </c>
      <c r="G50" s="230">
        <f>MASTER_AR_REPORT!J128</f>
        <v/>
      </c>
      <c r="H50" s="231">
        <f>MASTER_AR_REPORT!K128</f>
        <v/>
      </c>
      <c r="I50" s="231">
        <f>MASTER_AR_REPORT!L128</f>
        <v/>
      </c>
      <c r="J50" s="231">
        <f>MASTER_AR_REPORT!M128</f>
        <v/>
      </c>
      <c r="K50" s="230" t="inlineStr">
        <is>
          <t>Pending</t>
        </is>
      </c>
    </row>
    <row r="51">
      <c r="A51" s="226" t="n">
        <v>47</v>
      </c>
      <c r="B51" s="227">
        <f>MASTER_AR_REPORT!E129</f>
        <v/>
      </c>
      <c r="C51" s="227">
        <f>MASTER_AR_REPORT!D129</f>
        <v/>
      </c>
      <c r="D51" s="228">
        <f>MASTER_AR_REPORT!C129</f>
        <v/>
      </c>
      <c r="E51" s="228">
        <f>MASTER_AR_REPORT!G129</f>
        <v/>
      </c>
      <c r="F51" s="229">
        <f>MASTER_AR_REPORT!I129</f>
        <v/>
      </c>
      <c r="G51" s="226">
        <f>MASTER_AR_REPORT!J129</f>
        <v/>
      </c>
      <c r="H51" s="227">
        <f>MASTER_AR_REPORT!K129</f>
        <v/>
      </c>
      <c r="I51" s="227">
        <f>MASTER_AR_REPORT!L129</f>
        <v/>
      </c>
      <c r="J51" s="227">
        <f>MASTER_AR_REPORT!M129</f>
        <v/>
      </c>
      <c r="K51" s="226" t="inlineStr">
        <is>
          <t>Pending</t>
        </is>
      </c>
    </row>
    <row r="52">
      <c r="A52" s="230" t="n">
        <v>48</v>
      </c>
      <c r="B52" s="231">
        <f>MASTER_AR_REPORT!E130</f>
        <v/>
      </c>
      <c r="C52" s="231">
        <f>MASTER_AR_REPORT!D130</f>
        <v/>
      </c>
      <c r="D52" s="232">
        <f>MASTER_AR_REPORT!C130</f>
        <v/>
      </c>
      <c r="E52" s="232">
        <f>MASTER_AR_REPORT!G130</f>
        <v/>
      </c>
      <c r="F52" s="233">
        <f>MASTER_AR_REPORT!I130</f>
        <v/>
      </c>
      <c r="G52" s="230">
        <f>MASTER_AR_REPORT!J130</f>
        <v/>
      </c>
      <c r="H52" s="231">
        <f>MASTER_AR_REPORT!K130</f>
        <v/>
      </c>
      <c r="I52" s="231">
        <f>MASTER_AR_REPORT!L130</f>
        <v/>
      </c>
      <c r="J52" s="231">
        <f>MASTER_AR_REPORT!M130</f>
        <v/>
      </c>
      <c r="K52" s="230" t="inlineStr">
        <is>
          <t>Pending</t>
        </is>
      </c>
    </row>
    <row r="53">
      <c r="A53" s="226" t="n">
        <v>49</v>
      </c>
      <c r="B53" s="227">
        <f>MASTER_AR_REPORT!E131</f>
        <v/>
      </c>
      <c r="C53" s="227">
        <f>MASTER_AR_REPORT!D131</f>
        <v/>
      </c>
      <c r="D53" s="228">
        <f>MASTER_AR_REPORT!C131</f>
        <v/>
      </c>
      <c r="E53" s="228">
        <f>MASTER_AR_REPORT!G131</f>
        <v/>
      </c>
      <c r="F53" s="229">
        <f>MASTER_AR_REPORT!I131</f>
        <v/>
      </c>
      <c r="G53" s="226">
        <f>MASTER_AR_REPORT!J131</f>
        <v/>
      </c>
      <c r="H53" s="227">
        <f>MASTER_AR_REPORT!K131</f>
        <v/>
      </c>
      <c r="I53" s="227">
        <f>MASTER_AR_REPORT!L131</f>
        <v/>
      </c>
      <c r="J53" s="227">
        <f>MASTER_AR_REPORT!M131</f>
        <v/>
      </c>
      <c r="K53" s="226" t="inlineStr">
        <is>
          <t>Pending</t>
        </is>
      </c>
    </row>
    <row r="54">
      <c r="A54" s="230" t="n">
        <v>50</v>
      </c>
      <c r="B54" s="231">
        <f>MASTER_AR_REPORT!E132</f>
        <v/>
      </c>
      <c r="C54" s="231">
        <f>MASTER_AR_REPORT!D132</f>
        <v/>
      </c>
      <c r="D54" s="232">
        <f>MASTER_AR_REPORT!C132</f>
        <v/>
      </c>
      <c r="E54" s="232">
        <f>MASTER_AR_REPORT!G132</f>
        <v/>
      </c>
      <c r="F54" s="233">
        <f>MASTER_AR_REPORT!I132</f>
        <v/>
      </c>
      <c r="G54" s="230">
        <f>MASTER_AR_REPORT!J132</f>
        <v/>
      </c>
      <c r="H54" s="231">
        <f>MASTER_AR_REPORT!K132</f>
        <v/>
      </c>
      <c r="I54" s="231">
        <f>MASTER_AR_REPORT!L132</f>
        <v/>
      </c>
      <c r="J54" s="231">
        <f>MASTER_AR_REPORT!M132</f>
        <v/>
      </c>
      <c r="K54" s="230" t="inlineStr">
        <is>
          <t>Pending</t>
        </is>
      </c>
    </row>
    <row r="55">
      <c r="A55" s="226" t="n">
        <v>51</v>
      </c>
      <c r="B55" s="227">
        <f>MASTER_AR_REPORT!E133</f>
        <v/>
      </c>
      <c r="C55" s="227">
        <f>MASTER_AR_REPORT!D133</f>
        <v/>
      </c>
      <c r="D55" s="228">
        <f>MASTER_AR_REPORT!C133</f>
        <v/>
      </c>
      <c r="E55" s="228">
        <f>MASTER_AR_REPORT!G133</f>
        <v/>
      </c>
      <c r="F55" s="229">
        <f>MASTER_AR_REPORT!I133</f>
        <v/>
      </c>
      <c r="G55" s="226">
        <f>MASTER_AR_REPORT!J133</f>
        <v/>
      </c>
      <c r="H55" s="227">
        <f>MASTER_AR_REPORT!K133</f>
        <v/>
      </c>
      <c r="I55" s="227">
        <f>MASTER_AR_REPORT!L133</f>
        <v/>
      </c>
      <c r="J55" s="227">
        <f>MASTER_AR_REPORT!M133</f>
        <v/>
      </c>
      <c r="K55" s="226" t="inlineStr">
        <is>
          <t>Pending</t>
        </is>
      </c>
    </row>
    <row r="56">
      <c r="A56" s="230" t="n">
        <v>52</v>
      </c>
      <c r="B56" s="231">
        <f>MASTER_AR_REPORT!E134</f>
        <v/>
      </c>
      <c r="C56" s="231">
        <f>MASTER_AR_REPORT!D134</f>
        <v/>
      </c>
      <c r="D56" s="232">
        <f>MASTER_AR_REPORT!C134</f>
        <v/>
      </c>
      <c r="E56" s="232">
        <f>MASTER_AR_REPORT!G134</f>
        <v/>
      </c>
      <c r="F56" s="233">
        <f>MASTER_AR_REPORT!I134</f>
        <v/>
      </c>
      <c r="G56" s="230">
        <f>MASTER_AR_REPORT!J134</f>
        <v/>
      </c>
      <c r="H56" s="231">
        <f>MASTER_AR_REPORT!K134</f>
        <v/>
      </c>
      <c r="I56" s="231">
        <f>MASTER_AR_REPORT!L134</f>
        <v/>
      </c>
      <c r="J56" s="231">
        <f>MASTER_AR_REPORT!M134</f>
        <v/>
      </c>
      <c r="K56" s="230" t="inlineStr">
        <is>
          <t>Pending</t>
        </is>
      </c>
    </row>
    <row r="57">
      <c r="A57" s="238" t="n">
        <v>53</v>
      </c>
      <c r="B57" s="239">
        <f>MASTER_AR_REPORT!E135</f>
        <v/>
      </c>
      <c r="C57" s="239">
        <f>MASTER_AR_REPORT!D135</f>
        <v/>
      </c>
      <c r="D57" s="240">
        <f>MASTER_AR_REPORT!C135</f>
        <v/>
      </c>
      <c r="E57" s="240">
        <f>MASTER_AR_REPORT!G135</f>
        <v/>
      </c>
      <c r="F57" s="241">
        <f>MASTER_AR_REPORT!I135</f>
        <v/>
      </c>
      <c r="G57" s="238">
        <f>MASTER_AR_REPORT!J135</f>
        <v/>
      </c>
      <c r="H57" s="239">
        <f>MASTER_AR_REPORT!K135</f>
        <v/>
      </c>
      <c r="I57" s="239">
        <f>MASTER_AR_REPORT!L135</f>
        <v/>
      </c>
      <c r="J57" s="239">
        <f>MASTER_AR_REPORT!M135</f>
        <v/>
      </c>
      <c r="K57" s="238" t="inlineStr">
        <is>
          <t>Pending</t>
        </is>
      </c>
    </row>
    <row r="58">
      <c r="A58" s="230" t="n">
        <v>54</v>
      </c>
      <c r="B58" s="231">
        <f>MASTER_AR_REPORT!E138</f>
        <v/>
      </c>
      <c r="C58" s="231">
        <f>MASTER_AR_REPORT!D138</f>
        <v/>
      </c>
      <c r="D58" s="232">
        <f>MASTER_AR_REPORT!C138</f>
        <v/>
      </c>
      <c r="E58" s="232">
        <f>MASTER_AR_REPORT!G138</f>
        <v/>
      </c>
      <c r="F58" s="233">
        <f>MASTER_AR_REPORT!I138</f>
        <v/>
      </c>
      <c r="G58" s="230">
        <f>MASTER_AR_REPORT!J138</f>
        <v/>
      </c>
      <c r="H58" s="231">
        <f>MASTER_AR_REPORT!K138</f>
        <v/>
      </c>
      <c r="I58" s="231">
        <f>MASTER_AR_REPORT!L138</f>
        <v/>
      </c>
      <c r="J58" s="231">
        <f>MASTER_AR_REPORT!M138</f>
        <v/>
      </c>
      <c r="K58" s="230" t="inlineStr">
        <is>
          <t>Pending</t>
        </is>
      </c>
    </row>
    <row r="59">
      <c r="A59" s="238" t="n">
        <v>55</v>
      </c>
      <c r="B59" s="239">
        <f>MASTER_AR_REPORT!E139</f>
        <v/>
      </c>
      <c r="C59" s="239">
        <f>MASTER_AR_REPORT!D139</f>
        <v/>
      </c>
      <c r="D59" s="240">
        <f>MASTER_AR_REPORT!C139</f>
        <v/>
      </c>
      <c r="E59" s="240">
        <f>MASTER_AR_REPORT!G139</f>
        <v/>
      </c>
      <c r="F59" s="241">
        <f>MASTER_AR_REPORT!I139</f>
        <v/>
      </c>
      <c r="G59" s="238">
        <f>MASTER_AR_REPORT!J139</f>
        <v/>
      </c>
      <c r="H59" s="239">
        <f>MASTER_AR_REPORT!K139</f>
        <v/>
      </c>
      <c r="I59" s="239">
        <f>MASTER_AR_REPORT!L139</f>
        <v/>
      </c>
      <c r="J59" s="239">
        <f>MASTER_AR_REPORT!M139</f>
        <v/>
      </c>
      <c r="K59" s="238" t="inlineStr">
        <is>
          <t>Pending</t>
        </is>
      </c>
    </row>
    <row r="60">
      <c r="A60" s="234" t="n">
        <v>56</v>
      </c>
      <c r="B60" s="235">
        <f>MASTER_AR_REPORT!E141</f>
        <v/>
      </c>
      <c r="C60" s="235">
        <f>MASTER_AR_REPORT!D141</f>
        <v/>
      </c>
      <c r="D60" s="236">
        <f>MASTER_AR_REPORT!C141</f>
        <v/>
      </c>
      <c r="E60" s="236">
        <f>MASTER_AR_REPORT!G141</f>
        <v/>
      </c>
      <c r="F60" s="237">
        <f>MASTER_AR_REPORT!I141</f>
        <v/>
      </c>
      <c r="G60" s="234">
        <f>MASTER_AR_REPORT!J141</f>
        <v/>
      </c>
      <c r="H60" s="235">
        <f>MASTER_AR_REPORT!K141</f>
        <v/>
      </c>
      <c r="I60" s="235">
        <f>MASTER_AR_REPORT!L141</f>
        <v/>
      </c>
      <c r="J60" s="235">
        <f>MASTER_AR_REPORT!M141</f>
        <v/>
      </c>
      <c r="K60" s="234" t="inlineStr">
        <is>
          <t>Pending</t>
        </is>
      </c>
    </row>
    <row r="61">
      <c r="A61" s="238" t="n">
        <v>57</v>
      </c>
      <c r="B61" s="239">
        <f>MASTER_AR_REPORT!E144</f>
        <v/>
      </c>
      <c r="C61" s="239">
        <f>MASTER_AR_REPORT!D144</f>
        <v/>
      </c>
      <c r="D61" s="240">
        <f>MASTER_AR_REPORT!C144</f>
        <v/>
      </c>
      <c r="E61" s="240">
        <f>MASTER_AR_REPORT!G144</f>
        <v/>
      </c>
      <c r="F61" s="241">
        <f>MASTER_AR_REPORT!I144</f>
        <v/>
      </c>
      <c r="G61" s="238">
        <f>MASTER_AR_REPORT!J144</f>
        <v/>
      </c>
      <c r="H61" s="239">
        <f>MASTER_AR_REPORT!K144</f>
        <v/>
      </c>
      <c r="I61" s="239">
        <f>MASTER_AR_REPORT!L144</f>
        <v/>
      </c>
      <c r="J61" s="239">
        <f>MASTER_AR_REPORT!M144</f>
        <v/>
      </c>
      <c r="K61" s="238" t="inlineStr">
        <is>
          <t>Pending</t>
        </is>
      </c>
    </row>
    <row r="62">
      <c r="A62" s="234" t="n">
        <v>58</v>
      </c>
      <c r="B62" s="235">
        <f>MASTER_AR_REPORT!E145</f>
        <v/>
      </c>
      <c r="C62" s="235">
        <f>MASTER_AR_REPORT!D145</f>
        <v/>
      </c>
      <c r="D62" s="236">
        <f>MASTER_AR_REPORT!C145</f>
        <v/>
      </c>
      <c r="E62" s="236">
        <f>MASTER_AR_REPORT!G145</f>
        <v/>
      </c>
      <c r="F62" s="237">
        <f>MASTER_AR_REPORT!I145</f>
        <v/>
      </c>
      <c r="G62" s="234">
        <f>MASTER_AR_REPORT!J145</f>
        <v/>
      </c>
      <c r="H62" s="235">
        <f>MASTER_AR_REPORT!K145</f>
        <v/>
      </c>
      <c r="I62" s="235">
        <f>MASTER_AR_REPORT!L145</f>
        <v/>
      </c>
      <c r="J62" s="235">
        <f>MASTER_AR_REPORT!M145</f>
        <v/>
      </c>
      <c r="K62" s="234" t="inlineStr">
        <is>
          <t>Pending</t>
        </is>
      </c>
    </row>
    <row r="63">
      <c r="A63" s="238" t="n">
        <v>59</v>
      </c>
      <c r="B63" s="239">
        <f>MASTER_AR_REPORT!E147</f>
        <v/>
      </c>
      <c r="C63" s="239">
        <f>MASTER_AR_REPORT!D147</f>
        <v/>
      </c>
      <c r="D63" s="240">
        <f>MASTER_AR_REPORT!C147</f>
        <v/>
      </c>
      <c r="E63" s="240">
        <f>MASTER_AR_REPORT!G147</f>
        <v/>
      </c>
      <c r="F63" s="241">
        <f>MASTER_AR_REPORT!I147</f>
        <v/>
      </c>
      <c r="G63" s="238">
        <f>MASTER_AR_REPORT!J147</f>
        <v/>
      </c>
      <c r="H63" s="239">
        <f>MASTER_AR_REPORT!K147</f>
        <v/>
      </c>
      <c r="I63" s="239">
        <f>MASTER_AR_REPORT!L147</f>
        <v/>
      </c>
      <c r="J63" s="239">
        <f>MASTER_AR_REPORT!M147</f>
        <v/>
      </c>
      <c r="K63" s="238" t="inlineStr">
        <is>
          <t>Pending</t>
        </is>
      </c>
    </row>
    <row r="64">
      <c r="A64" s="234" t="n">
        <v>60</v>
      </c>
      <c r="B64" s="235">
        <f>MASTER_AR_REPORT!E148</f>
        <v/>
      </c>
      <c r="C64" s="235">
        <f>MASTER_AR_REPORT!D148</f>
        <v/>
      </c>
      <c r="D64" s="236">
        <f>MASTER_AR_REPORT!C148</f>
        <v/>
      </c>
      <c r="E64" s="236">
        <f>MASTER_AR_REPORT!G148</f>
        <v/>
      </c>
      <c r="F64" s="237">
        <f>MASTER_AR_REPORT!I148</f>
        <v/>
      </c>
      <c r="G64" s="234">
        <f>MASTER_AR_REPORT!J148</f>
        <v/>
      </c>
      <c r="H64" s="235">
        <f>MASTER_AR_REPORT!K148</f>
        <v/>
      </c>
      <c r="I64" s="235">
        <f>MASTER_AR_REPORT!L148</f>
        <v/>
      </c>
      <c r="J64" s="235">
        <f>MASTER_AR_REPORT!M148</f>
        <v/>
      </c>
      <c r="K64" s="234" t="inlineStr">
        <is>
          <t>Pending</t>
        </is>
      </c>
    </row>
    <row r="65">
      <c r="A65" s="238" t="n">
        <v>61</v>
      </c>
      <c r="B65" s="239">
        <f>MASTER_AR_REPORT!E149</f>
        <v/>
      </c>
      <c r="C65" s="239">
        <f>MASTER_AR_REPORT!D149</f>
        <v/>
      </c>
      <c r="D65" s="240">
        <f>MASTER_AR_REPORT!C149</f>
        <v/>
      </c>
      <c r="E65" s="240">
        <f>MASTER_AR_REPORT!G149</f>
        <v/>
      </c>
      <c r="F65" s="241">
        <f>MASTER_AR_REPORT!I149</f>
        <v/>
      </c>
      <c r="G65" s="238">
        <f>MASTER_AR_REPORT!J149</f>
        <v/>
      </c>
      <c r="H65" s="239">
        <f>MASTER_AR_REPORT!K149</f>
        <v/>
      </c>
      <c r="I65" s="239">
        <f>MASTER_AR_REPORT!L149</f>
        <v/>
      </c>
      <c r="J65" s="239">
        <f>MASTER_AR_REPORT!M149</f>
        <v/>
      </c>
      <c r="K65" s="238" t="inlineStr">
        <is>
          <t>Pending</t>
        </is>
      </c>
    </row>
    <row r="66">
      <c r="A66" s="230" t="n">
        <v>62</v>
      </c>
      <c r="B66" s="231">
        <f>MASTER_AR_REPORT!E151</f>
        <v/>
      </c>
      <c r="C66" s="231">
        <f>MASTER_AR_REPORT!D151</f>
        <v/>
      </c>
      <c r="D66" s="232">
        <f>MASTER_AR_REPORT!C151</f>
        <v/>
      </c>
      <c r="E66" s="232">
        <f>MASTER_AR_REPORT!G151</f>
        <v/>
      </c>
      <c r="F66" s="233">
        <f>MASTER_AR_REPORT!I151</f>
        <v/>
      </c>
      <c r="G66" s="230">
        <f>MASTER_AR_REPORT!J151</f>
        <v/>
      </c>
      <c r="H66" s="231">
        <f>MASTER_AR_REPORT!K151</f>
        <v/>
      </c>
      <c r="I66" s="231">
        <f>MASTER_AR_REPORT!L151</f>
        <v/>
      </c>
      <c r="J66" s="231">
        <f>MASTER_AR_REPORT!M151</f>
        <v/>
      </c>
      <c r="K66" s="230" t="inlineStr">
        <is>
          <t>Pending</t>
        </is>
      </c>
    </row>
    <row r="67">
      <c r="A67" s="238" t="n">
        <v>63</v>
      </c>
      <c r="B67" s="239">
        <f>MASTER_AR_REPORT!E152</f>
        <v/>
      </c>
      <c r="C67" s="239">
        <f>MASTER_AR_REPORT!D152</f>
        <v/>
      </c>
      <c r="D67" s="240">
        <f>MASTER_AR_REPORT!C152</f>
        <v/>
      </c>
      <c r="E67" s="240">
        <f>MASTER_AR_REPORT!G152</f>
        <v/>
      </c>
      <c r="F67" s="241">
        <f>MASTER_AR_REPORT!I152</f>
        <v/>
      </c>
      <c r="G67" s="238">
        <f>MASTER_AR_REPORT!J152</f>
        <v/>
      </c>
      <c r="H67" s="239">
        <f>MASTER_AR_REPORT!K152</f>
        <v/>
      </c>
      <c r="I67" s="239">
        <f>MASTER_AR_REPORT!L152</f>
        <v/>
      </c>
      <c r="J67" s="239">
        <f>MASTER_AR_REPORT!M152</f>
        <v/>
      </c>
      <c r="K67" s="238" t="inlineStr">
        <is>
          <t>Pending</t>
        </is>
      </c>
    </row>
    <row r="68">
      <c r="A68" s="234" t="n">
        <v>64</v>
      </c>
      <c r="B68" s="235">
        <f>MASTER_AR_REPORT!E153</f>
        <v/>
      </c>
      <c r="C68" s="235">
        <f>MASTER_AR_REPORT!D153</f>
        <v/>
      </c>
      <c r="D68" s="236">
        <f>MASTER_AR_REPORT!C153</f>
        <v/>
      </c>
      <c r="E68" s="236">
        <f>MASTER_AR_REPORT!G153</f>
        <v/>
      </c>
      <c r="F68" s="237">
        <f>MASTER_AR_REPORT!I153</f>
        <v/>
      </c>
      <c r="G68" s="234">
        <f>MASTER_AR_REPORT!J153</f>
        <v/>
      </c>
      <c r="H68" s="235">
        <f>MASTER_AR_REPORT!K153</f>
        <v/>
      </c>
      <c r="I68" s="235">
        <f>MASTER_AR_REPORT!L153</f>
        <v/>
      </c>
      <c r="J68" s="235">
        <f>MASTER_AR_REPORT!M153</f>
        <v/>
      </c>
      <c r="K68" s="234" t="inlineStr">
        <is>
          <t>Pending</t>
        </is>
      </c>
    </row>
    <row r="69">
      <c r="A69" s="238" t="n">
        <v>65</v>
      </c>
      <c r="B69" s="239">
        <f>MASTER_AR_REPORT!E154</f>
        <v/>
      </c>
      <c r="C69" s="239">
        <f>MASTER_AR_REPORT!D154</f>
        <v/>
      </c>
      <c r="D69" s="240">
        <f>MASTER_AR_REPORT!C154</f>
        <v/>
      </c>
      <c r="E69" s="240">
        <f>MASTER_AR_REPORT!G154</f>
        <v/>
      </c>
      <c r="F69" s="241">
        <f>MASTER_AR_REPORT!I154</f>
        <v/>
      </c>
      <c r="G69" s="238">
        <f>MASTER_AR_REPORT!J154</f>
        <v/>
      </c>
      <c r="H69" s="239">
        <f>MASTER_AR_REPORT!K154</f>
        <v/>
      </c>
      <c r="I69" s="239">
        <f>MASTER_AR_REPORT!L154</f>
        <v/>
      </c>
      <c r="J69" s="239">
        <f>MASTER_AR_REPORT!M154</f>
        <v/>
      </c>
      <c r="K69" s="238" t="inlineStr">
        <is>
          <t>Pending</t>
        </is>
      </c>
    </row>
    <row r="70">
      <c r="A70" s="234" t="n">
        <v>66</v>
      </c>
      <c r="B70" s="235">
        <f>MASTER_AR_REPORT!E156</f>
        <v/>
      </c>
      <c r="C70" s="235">
        <f>MASTER_AR_REPORT!D156</f>
        <v/>
      </c>
      <c r="D70" s="236">
        <f>MASTER_AR_REPORT!C156</f>
        <v/>
      </c>
      <c r="E70" s="236">
        <f>MASTER_AR_REPORT!G156</f>
        <v/>
      </c>
      <c r="F70" s="237">
        <f>MASTER_AR_REPORT!I156</f>
        <v/>
      </c>
      <c r="G70" s="234">
        <f>MASTER_AR_REPORT!J156</f>
        <v/>
      </c>
      <c r="H70" s="235">
        <f>MASTER_AR_REPORT!K156</f>
        <v/>
      </c>
      <c r="I70" s="235">
        <f>MASTER_AR_REPORT!L156</f>
        <v/>
      </c>
      <c r="J70" s="235">
        <f>MASTER_AR_REPORT!M156</f>
        <v/>
      </c>
      <c r="K70" s="234" t="inlineStr">
        <is>
          <t>Pending</t>
        </is>
      </c>
    </row>
    <row r="71">
      <c r="A71" s="238" t="n">
        <v>67</v>
      </c>
      <c r="B71" s="239">
        <f>MASTER_AR_REPORT!E157</f>
        <v/>
      </c>
      <c r="C71" s="239">
        <f>MASTER_AR_REPORT!D157</f>
        <v/>
      </c>
      <c r="D71" s="240">
        <f>MASTER_AR_REPORT!C157</f>
        <v/>
      </c>
      <c r="E71" s="240">
        <f>MASTER_AR_REPORT!G157</f>
        <v/>
      </c>
      <c r="F71" s="241">
        <f>MASTER_AR_REPORT!I157</f>
        <v/>
      </c>
      <c r="G71" s="238">
        <f>MASTER_AR_REPORT!J157</f>
        <v/>
      </c>
      <c r="H71" s="239">
        <f>MASTER_AR_REPORT!K157</f>
        <v/>
      </c>
      <c r="I71" s="239">
        <f>MASTER_AR_REPORT!L157</f>
        <v/>
      </c>
      <c r="J71" s="239">
        <f>MASTER_AR_REPORT!M157</f>
        <v/>
      </c>
      <c r="K71" s="238" t="inlineStr">
        <is>
          <t>Pending</t>
        </is>
      </c>
    </row>
    <row r="72">
      <c r="A72" s="234" t="n">
        <v>68</v>
      </c>
      <c r="B72" s="235">
        <f>MASTER_AR_REPORT!E160</f>
        <v/>
      </c>
      <c r="C72" s="235">
        <f>MASTER_AR_REPORT!D160</f>
        <v/>
      </c>
      <c r="D72" s="236">
        <f>MASTER_AR_REPORT!C160</f>
        <v/>
      </c>
      <c r="E72" s="236">
        <f>MASTER_AR_REPORT!G160</f>
        <v/>
      </c>
      <c r="F72" s="237">
        <f>MASTER_AR_REPORT!I160</f>
        <v/>
      </c>
      <c r="G72" s="234">
        <f>MASTER_AR_REPORT!J160</f>
        <v/>
      </c>
      <c r="H72" s="235">
        <f>MASTER_AR_REPORT!K160</f>
        <v/>
      </c>
      <c r="I72" s="235">
        <f>MASTER_AR_REPORT!L160</f>
        <v/>
      </c>
      <c r="J72" s="235">
        <f>MASTER_AR_REPORT!M160</f>
        <v/>
      </c>
      <c r="K72" s="234" t="inlineStr">
        <is>
          <t>Pending</t>
        </is>
      </c>
    </row>
    <row r="73">
      <c r="A73" s="238" t="n">
        <v>69</v>
      </c>
      <c r="B73" s="239">
        <f>MASTER_AR_REPORT!E164</f>
        <v/>
      </c>
      <c r="C73" s="239">
        <f>MASTER_AR_REPORT!D164</f>
        <v/>
      </c>
      <c r="D73" s="240">
        <f>MASTER_AR_REPORT!C164</f>
        <v/>
      </c>
      <c r="E73" s="240">
        <f>MASTER_AR_REPORT!G164</f>
        <v/>
      </c>
      <c r="F73" s="241">
        <f>MASTER_AR_REPORT!I164</f>
        <v/>
      </c>
      <c r="G73" s="238">
        <f>MASTER_AR_REPORT!J164</f>
        <v/>
      </c>
      <c r="H73" s="239">
        <f>MASTER_AR_REPORT!K164</f>
        <v/>
      </c>
      <c r="I73" s="239">
        <f>MASTER_AR_REPORT!L164</f>
        <v/>
      </c>
      <c r="J73" s="239">
        <f>MASTER_AR_REPORT!M164</f>
        <v/>
      </c>
      <c r="K73" s="238" t="inlineStr">
        <is>
          <t>Pending</t>
        </is>
      </c>
    </row>
    <row r="74">
      <c r="A74" s="234" t="n">
        <v>70</v>
      </c>
      <c r="B74" s="235">
        <f>MASTER_AR_REPORT!E167</f>
        <v/>
      </c>
      <c r="C74" s="235">
        <f>MASTER_AR_REPORT!D167</f>
        <v/>
      </c>
      <c r="D74" s="236">
        <f>MASTER_AR_REPORT!C167</f>
        <v/>
      </c>
      <c r="E74" s="236">
        <f>MASTER_AR_REPORT!G167</f>
        <v/>
      </c>
      <c r="F74" s="237">
        <f>MASTER_AR_REPORT!I167</f>
        <v/>
      </c>
      <c r="G74" s="234">
        <f>MASTER_AR_REPORT!J167</f>
        <v/>
      </c>
      <c r="H74" s="235">
        <f>MASTER_AR_REPORT!K167</f>
        <v/>
      </c>
      <c r="I74" s="235">
        <f>MASTER_AR_REPORT!L167</f>
        <v/>
      </c>
      <c r="J74" s="235">
        <f>MASTER_AR_REPORT!M167</f>
        <v/>
      </c>
      <c r="K74" s="234" t="inlineStr">
        <is>
          <t>Pending</t>
        </is>
      </c>
    </row>
    <row r="75">
      <c r="A75" s="238" t="n">
        <v>71</v>
      </c>
      <c r="B75" s="239">
        <f>MASTER_AR_REPORT!E177</f>
        <v/>
      </c>
      <c r="C75" s="239">
        <f>MASTER_AR_REPORT!D177</f>
        <v/>
      </c>
      <c r="D75" s="240">
        <f>MASTER_AR_REPORT!C177</f>
        <v/>
      </c>
      <c r="E75" s="240">
        <f>MASTER_AR_REPORT!G177</f>
        <v/>
      </c>
      <c r="F75" s="241">
        <f>MASTER_AR_REPORT!I177</f>
        <v/>
      </c>
      <c r="G75" s="238">
        <f>MASTER_AR_REPORT!J177</f>
        <v/>
      </c>
      <c r="H75" s="239">
        <f>MASTER_AR_REPORT!K177</f>
        <v/>
      </c>
      <c r="I75" s="239">
        <f>MASTER_AR_REPORT!L177</f>
        <v/>
      </c>
      <c r="J75" s="239">
        <f>MASTER_AR_REPORT!M177</f>
        <v/>
      </c>
      <c r="K75" s="238" t="inlineStr">
        <is>
          <t>Pending</t>
        </is>
      </c>
    </row>
    <row r="76">
      <c r="A76" s="230" t="n">
        <v>72</v>
      </c>
      <c r="B76" s="231">
        <f>MASTER_AR_REPORT!E178</f>
        <v/>
      </c>
      <c r="C76" s="231">
        <f>MASTER_AR_REPORT!D178</f>
        <v/>
      </c>
      <c r="D76" s="232">
        <f>MASTER_AR_REPORT!C178</f>
        <v/>
      </c>
      <c r="E76" s="232">
        <f>MASTER_AR_REPORT!G178</f>
        <v/>
      </c>
      <c r="F76" s="233">
        <f>MASTER_AR_REPORT!I178</f>
        <v/>
      </c>
      <c r="G76" s="230">
        <f>MASTER_AR_REPORT!J178</f>
        <v/>
      </c>
      <c r="H76" s="231">
        <f>MASTER_AR_REPORT!K178</f>
        <v/>
      </c>
      <c r="I76" s="231">
        <f>MASTER_AR_REPORT!L178</f>
        <v/>
      </c>
      <c r="J76" s="231">
        <f>MASTER_AR_REPORT!M178</f>
        <v/>
      </c>
      <c r="K76" s="230" t="inlineStr">
        <is>
          <t>Pending</t>
        </is>
      </c>
    </row>
    <row r="77">
      <c r="A77" s="238" t="n">
        <v>73</v>
      </c>
      <c r="B77" s="239">
        <f>MASTER_AR_REPORT!E179</f>
        <v/>
      </c>
      <c r="C77" s="239">
        <f>MASTER_AR_REPORT!D179</f>
        <v/>
      </c>
      <c r="D77" s="240">
        <f>MASTER_AR_REPORT!C179</f>
        <v/>
      </c>
      <c r="E77" s="240">
        <f>MASTER_AR_REPORT!G179</f>
        <v/>
      </c>
      <c r="F77" s="241">
        <f>MASTER_AR_REPORT!I179</f>
        <v/>
      </c>
      <c r="G77" s="238">
        <f>MASTER_AR_REPORT!J179</f>
        <v/>
      </c>
      <c r="H77" s="239">
        <f>MASTER_AR_REPORT!K179</f>
        <v/>
      </c>
      <c r="I77" s="239">
        <f>MASTER_AR_REPORT!L179</f>
        <v/>
      </c>
      <c r="J77" s="239">
        <f>MASTER_AR_REPORT!M179</f>
        <v/>
      </c>
      <c r="K77" s="238" t="inlineStr">
        <is>
          <t>Pending</t>
        </is>
      </c>
    </row>
    <row r="78">
      <c r="A78" s="234" t="n">
        <v>74</v>
      </c>
      <c r="B78" s="235">
        <f>MASTER_AR_REPORT!E181</f>
        <v/>
      </c>
      <c r="C78" s="235">
        <f>MASTER_AR_REPORT!D181</f>
        <v/>
      </c>
      <c r="D78" s="236">
        <f>MASTER_AR_REPORT!C181</f>
        <v/>
      </c>
      <c r="E78" s="236">
        <f>MASTER_AR_REPORT!G181</f>
        <v/>
      </c>
      <c r="F78" s="237">
        <f>MASTER_AR_REPORT!I181</f>
        <v/>
      </c>
      <c r="G78" s="234">
        <f>MASTER_AR_REPORT!J181</f>
        <v/>
      </c>
      <c r="H78" s="235">
        <f>MASTER_AR_REPORT!K181</f>
        <v/>
      </c>
      <c r="I78" s="235">
        <f>MASTER_AR_REPORT!L181</f>
        <v/>
      </c>
      <c r="J78" s="235">
        <f>MASTER_AR_REPORT!M181</f>
        <v/>
      </c>
      <c r="K78" s="234" t="inlineStr">
        <is>
          <t>Pending</t>
        </is>
      </c>
    </row>
    <row r="79">
      <c r="A79" s="226" t="n">
        <v>75</v>
      </c>
      <c r="B79" s="227">
        <f>MASTER_AR_REPORT!E182</f>
        <v/>
      </c>
      <c r="C79" s="227">
        <f>MASTER_AR_REPORT!D182</f>
        <v/>
      </c>
      <c r="D79" s="228">
        <f>MASTER_AR_REPORT!C182</f>
        <v/>
      </c>
      <c r="E79" s="228">
        <f>MASTER_AR_REPORT!G182</f>
        <v/>
      </c>
      <c r="F79" s="229">
        <f>MASTER_AR_REPORT!I182</f>
        <v/>
      </c>
      <c r="G79" s="226">
        <f>MASTER_AR_REPORT!J182</f>
        <v/>
      </c>
      <c r="H79" s="227">
        <f>MASTER_AR_REPORT!K182</f>
        <v/>
      </c>
      <c r="I79" s="227">
        <f>MASTER_AR_REPORT!L182</f>
        <v/>
      </c>
      <c r="J79" s="227">
        <f>MASTER_AR_REPORT!M182</f>
        <v/>
      </c>
      <c r="K79" s="226" t="inlineStr">
        <is>
          <t>Pending</t>
        </is>
      </c>
    </row>
    <row r="80">
      <c r="A80" s="234" t="n">
        <v>76</v>
      </c>
      <c r="B80" s="235">
        <f>MASTER_AR_REPORT!E183</f>
        <v/>
      </c>
      <c r="C80" s="235">
        <f>MASTER_AR_REPORT!D183</f>
        <v/>
      </c>
      <c r="D80" s="236">
        <f>MASTER_AR_REPORT!C183</f>
        <v/>
      </c>
      <c r="E80" s="236">
        <f>MASTER_AR_REPORT!G183</f>
        <v/>
      </c>
      <c r="F80" s="237">
        <f>MASTER_AR_REPORT!I183</f>
        <v/>
      </c>
      <c r="G80" s="234">
        <f>MASTER_AR_REPORT!J183</f>
        <v/>
      </c>
      <c r="H80" s="235">
        <f>MASTER_AR_REPORT!K183</f>
        <v/>
      </c>
      <c r="I80" s="235">
        <f>MASTER_AR_REPORT!L183</f>
        <v/>
      </c>
      <c r="J80" s="235">
        <f>MASTER_AR_REPORT!M183</f>
        <v/>
      </c>
      <c r="K80" s="234" t="inlineStr">
        <is>
          <t>Pending</t>
        </is>
      </c>
    </row>
    <row r="81">
      <c r="A81" s="238" t="n">
        <v>77</v>
      </c>
      <c r="B81" s="239">
        <f>MASTER_AR_REPORT!E184</f>
        <v/>
      </c>
      <c r="C81" s="239">
        <f>MASTER_AR_REPORT!D184</f>
        <v/>
      </c>
      <c r="D81" s="240">
        <f>MASTER_AR_REPORT!C184</f>
        <v/>
      </c>
      <c r="E81" s="240">
        <f>MASTER_AR_REPORT!G184</f>
        <v/>
      </c>
      <c r="F81" s="241">
        <f>MASTER_AR_REPORT!I184</f>
        <v/>
      </c>
      <c r="G81" s="238">
        <f>MASTER_AR_REPORT!J184</f>
        <v/>
      </c>
      <c r="H81" s="239">
        <f>MASTER_AR_REPORT!K184</f>
        <v/>
      </c>
      <c r="I81" s="239">
        <f>MASTER_AR_REPORT!L184</f>
        <v/>
      </c>
      <c r="J81" s="239">
        <f>MASTER_AR_REPORT!M184</f>
        <v/>
      </c>
      <c r="K81" s="238" t="inlineStr">
        <is>
          <t>Pending</t>
        </is>
      </c>
    </row>
    <row r="82">
      <c r="A82" s="234" t="n">
        <v>78</v>
      </c>
      <c r="B82" s="235">
        <f>MASTER_AR_REPORT!E185</f>
        <v/>
      </c>
      <c r="C82" s="235">
        <f>MASTER_AR_REPORT!D185</f>
        <v/>
      </c>
      <c r="D82" s="236">
        <f>MASTER_AR_REPORT!C185</f>
        <v/>
      </c>
      <c r="E82" s="236">
        <f>MASTER_AR_REPORT!G185</f>
        <v/>
      </c>
      <c r="F82" s="237">
        <f>MASTER_AR_REPORT!I185</f>
        <v/>
      </c>
      <c r="G82" s="234">
        <f>MASTER_AR_REPORT!J185</f>
        <v/>
      </c>
      <c r="H82" s="235">
        <f>MASTER_AR_REPORT!K185</f>
        <v/>
      </c>
      <c r="I82" s="235">
        <f>MASTER_AR_REPORT!L185</f>
        <v/>
      </c>
      <c r="J82" s="235">
        <f>MASTER_AR_REPORT!M185</f>
        <v/>
      </c>
      <c r="K82" s="234" t="inlineStr">
        <is>
          <t>Pending</t>
        </is>
      </c>
    </row>
    <row r="83">
      <c r="A83" s="238" t="n">
        <v>79</v>
      </c>
      <c r="B83" s="239">
        <f>MASTER_AR_REPORT!E187</f>
        <v/>
      </c>
      <c r="C83" s="239">
        <f>MASTER_AR_REPORT!D187</f>
        <v/>
      </c>
      <c r="D83" s="240">
        <f>MASTER_AR_REPORT!C187</f>
        <v/>
      </c>
      <c r="E83" s="240">
        <f>MASTER_AR_REPORT!G187</f>
        <v/>
      </c>
      <c r="F83" s="241">
        <f>MASTER_AR_REPORT!I187</f>
        <v/>
      </c>
      <c r="G83" s="238">
        <f>MASTER_AR_REPORT!J187</f>
        <v/>
      </c>
      <c r="H83" s="239">
        <f>MASTER_AR_REPORT!K187</f>
        <v/>
      </c>
      <c r="I83" s="239">
        <f>MASTER_AR_REPORT!L187</f>
        <v/>
      </c>
      <c r="J83" s="239">
        <f>MASTER_AR_REPORT!M187</f>
        <v/>
      </c>
      <c r="K83" s="238" t="inlineStr">
        <is>
          <t>Pending</t>
        </is>
      </c>
    </row>
    <row r="84">
      <c r="A84" s="234" t="n">
        <v>80</v>
      </c>
      <c r="B84" s="235">
        <f>MASTER_AR_REPORT!E188</f>
        <v/>
      </c>
      <c r="C84" s="235">
        <f>MASTER_AR_REPORT!D188</f>
        <v/>
      </c>
      <c r="D84" s="236">
        <f>MASTER_AR_REPORT!C188</f>
        <v/>
      </c>
      <c r="E84" s="236">
        <f>MASTER_AR_REPORT!G188</f>
        <v/>
      </c>
      <c r="F84" s="237">
        <f>MASTER_AR_REPORT!I188</f>
        <v/>
      </c>
      <c r="G84" s="234">
        <f>MASTER_AR_REPORT!J188</f>
        <v/>
      </c>
      <c r="H84" s="235">
        <f>MASTER_AR_REPORT!K188</f>
        <v/>
      </c>
      <c r="I84" s="235">
        <f>MASTER_AR_REPORT!L188</f>
        <v/>
      </c>
      <c r="J84" s="235">
        <f>MASTER_AR_REPORT!M188</f>
        <v/>
      </c>
      <c r="K84" s="234" t="inlineStr">
        <is>
          <t>Pending</t>
        </is>
      </c>
    </row>
    <row r="85">
      <c r="A85" s="238" t="n">
        <v>81</v>
      </c>
      <c r="B85" s="239">
        <f>MASTER_AR_REPORT!E189</f>
        <v/>
      </c>
      <c r="C85" s="239">
        <f>MASTER_AR_REPORT!D189</f>
        <v/>
      </c>
      <c r="D85" s="240">
        <f>MASTER_AR_REPORT!C189</f>
        <v/>
      </c>
      <c r="E85" s="240">
        <f>MASTER_AR_REPORT!G189</f>
        <v/>
      </c>
      <c r="F85" s="241">
        <f>MASTER_AR_REPORT!I189</f>
        <v/>
      </c>
      <c r="G85" s="238">
        <f>MASTER_AR_REPORT!J189</f>
        <v/>
      </c>
      <c r="H85" s="239">
        <f>MASTER_AR_REPORT!K189</f>
        <v/>
      </c>
      <c r="I85" s="239">
        <f>MASTER_AR_REPORT!L189</f>
        <v/>
      </c>
      <c r="J85" s="239">
        <f>MASTER_AR_REPORT!M189</f>
        <v/>
      </c>
      <c r="K85" s="238" t="inlineStr">
        <is>
          <t>Pending</t>
        </is>
      </c>
    </row>
    <row r="86">
      <c r="A86" s="234" t="n">
        <v>82</v>
      </c>
      <c r="B86" s="235">
        <f>MASTER_AR_REPORT!E190</f>
        <v/>
      </c>
      <c r="C86" s="235">
        <f>MASTER_AR_REPORT!D190</f>
        <v/>
      </c>
      <c r="D86" s="236">
        <f>MASTER_AR_REPORT!C190</f>
        <v/>
      </c>
      <c r="E86" s="236">
        <f>MASTER_AR_REPORT!G190</f>
        <v/>
      </c>
      <c r="F86" s="237">
        <f>MASTER_AR_REPORT!I190</f>
        <v/>
      </c>
      <c r="G86" s="234">
        <f>MASTER_AR_REPORT!J190</f>
        <v/>
      </c>
      <c r="H86" s="235">
        <f>MASTER_AR_REPORT!K190</f>
        <v/>
      </c>
      <c r="I86" s="235">
        <f>MASTER_AR_REPORT!L190</f>
        <v/>
      </c>
      <c r="J86" s="235">
        <f>MASTER_AR_REPORT!M190</f>
        <v/>
      </c>
      <c r="K86" s="234" t="inlineStr">
        <is>
          <t>Pending</t>
        </is>
      </c>
    </row>
    <row r="87">
      <c r="A87" s="226" t="n">
        <v>83</v>
      </c>
      <c r="B87" s="227">
        <f>MASTER_AR_REPORT!E191</f>
        <v/>
      </c>
      <c r="C87" s="227">
        <f>MASTER_AR_REPORT!D191</f>
        <v/>
      </c>
      <c r="D87" s="228">
        <f>MASTER_AR_REPORT!C191</f>
        <v/>
      </c>
      <c r="E87" s="228">
        <f>MASTER_AR_REPORT!G191</f>
        <v/>
      </c>
      <c r="F87" s="229">
        <f>MASTER_AR_REPORT!I191</f>
        <v/>
      </c>
      <c r="G87" s="226">
        <f>MASTER_AR_REPORT!J191</f>
        <v/>
      </c>
      <c r="H87" s="227">
        <f>MASTER_AR_REPORT!K191</f>
        <v/>
      </c>
      <c r="I87" s="227">
        <f>MASTER_AR_REPORT!L191</f>
        <v/>
      </c>
      <c r="J87" s="227">
        <f>MASTER_AR_REPORT!M191</f>
        <v/>
      </c>
      <c r="K87" s="226" t="inlineStr">
        <is>
          <t>Pending</t>
        </is>
      </c>
    </row>
    <row r="88">
      <c r="A88" s="230" t="n">
        <v>84</v>
      </c>
      <c r="B88" s="231">
        <f>MASTER_AR_REPORT!E192</f>
        <v/>
      </c>
      <c r="C88" s="231">
        <f>MASTER_AR_REPORT!D192</f>
        <v/>
      </c>
      <c r="D88" s="232">
        <f>MASTER_AR_REPORT!C192</f>
        <v/>
      </c>
      <c r="E88" s="232">
        <f>MASTER_AR_REPORT!G192</f>
        <v/>
      </c>
      <c r="F88" s="233">
        <f>MASTER_AR_REPORT!I192</f>
        <v/>
      </c>
      <c r="G88" s="230">
        <f>MASTER_AR_REPORT!J192</f>
        <v/>
      </c>
      <c r="H88" s="231">
        <f>MASTER_AR_REPORT!K192</f>
        <v/>
      </c>
      <c r="I88" s="231">
        <f>MASTER_AR_REPORT!L192</f>
        <v/>
      </c>
      <c r="J88" s="231">
        <f>MASTER_AR_REPORT!M192</f>
        <v/>
      </c>
      <c r="K88" s="230" t="inlineStr">
        <is>
          <t>Pending</t>
        </is>
      </c>
    </row>
    <row r="89">
      <c r="A89" s="226" t="n">
        <v>85</v>
      </c>
      <c r="B89" s="227">
        <f>MASTER_AR_REPORT!E193</f>
        <v/>
      </c>
      <c r="C89" s="227">
        <f>MASTER_AR_REPORT!D193</f>
        <v/>
      </c>
      <c r="D89" s="228">
        <f>MASTER_AR_REPORT!C193</f>
        <v/>
      </c>
      <c r="E89" s="228">
        <f>MASTER_AR_REPORT!G193</f>
        <v/>
      </c>
      <c r="F89" s="229">
        <f>MASTER_AR_REPORT!I193</f>
        <v/>
      </c>
      <c r="G89" s="226">
        <f>MASTER_AR_REPORT!J193</f>
        <v/>
      </c>
      <c r="H89" s="227">
        <f>MASTER_AR_REPORT!K193</f>
        <v/>
      </c>
      <c r="I89" s="227">
        <f>MASTER_AR_REPORT!L193</f>
        <v/>
      </c>
      <c r="J89" s="227">
        <f>MASTER_AR_REPORT!M193</f>
        <v/>
      </c>
      <c r="K89" s="226" t="inlineStr">
        <is>
          <t>Pending</t>
        </is>
      </c>
    </row>
    <row r="90">
      <c r="A90" s="230" t="n">
        <v>86</v>
      </c>
      <c r="B90" s="231">
        <f>MASTER_AR_REPORT!E197</f>
        <v/>
      </c>
      <c r="C90" s="231">
        <f>MASTER_AR_REPORT!D197</f>
        <v/>
      </c>
      <c r="D90" s="232">
        <f>MASTER_AR_REPORT!C197</f>
        <v/>
      </c>
      <c r="E90" s="232">
        <f>MASTER_AR_REPORT!G197</f>
        <v/>
      </c>
      <c r="F90" s="233">
        <f>MASTER_AR_REPORT!I197</f>
        <v/>
      </c>
      <c r="G90" s="230">
        <f>MASTER_AR_REPORT!J197</f>
        <v/>
      </c>
      <c r="H90" s="231">
        <f>MASTER_AR_REPORT!K197</f>
        <v/>
      </c>
      <c r="I90" s="231">
        <f>MASTER_AR_REPORT!L197</f>
        <v/>
      </c>
      <c r="J90" s="231">
        <f>MASTER_AR_REPORT!M197</f>
        <v/>
      </c>
      <c r="K90" s="230" t="inlineStr">
        <is>
          <t>Pending</t>
        </is>
      </c>
    </row>
    <row r="91">
      <c r="A91" s="226" t="n">
        <v>87</v>
      </c>
      <c r="B91" s="227">
        <f>MASTER_AR_REPORT!E201</f>
        <v/>
      </c>
      <c r="C91" s="227">
        <f>MASTER_AR_REPORT!D201</f>
        <v/>
      </c>
      <c r="D91" s="228">
        <f>MASTER_AR_REPORT!C201</f>
        <v/>
      </c>
      <c r="E91" s="228">
        <f>MASTER_AR_REPORT!G201</f>
        <v/>
      </c>
      <c r="F91" s="229">
        <f>MASTER_AR_REPORT!I201</f>
        <v/>
      </c>
      <c r="G91" s="226">
        <f>MASTER_AR_REPORT!J201</f>
        <v/>
      </c>
      <c r="H91" s="227">
        <f>MASTER_AR_REPORT!K201</f>
        <v/>
      </c>
      <c r="I91" s="227">
        <f>MASTER_AR_REPORT!L201</f>
        <v/>
      </c>
      <c r="J91" s="227">
        <f>MASTER_AR_REPORT!M201</f>
        <v/>
      </c>
      <c r="K91" s="226" t="inlineStr">
        <is>
          <t>Pending</t>
        </is>
      </c>
    </row>
    <row r="92">
      <c r="A92" s="234" t="n">
        <v>88</v>
      </c>
      <c r="B92" s="235">
        <f>MASTER_AR_REPORT!E202</f>
        <v/>
      </c>
      <c r="C92" s="235">
        <f>MASTER_AR_REPORT!D202</f>
        <v/>
      </c>
      <c r="D92" s="236">
        <f>MASTER_AR_REPORT!C202</f>
        <v/>
      </c>
      <c r="E92" s="236">
        <f>MASTER_AR_REPORT!G202</f>
        <v/>
      </c>
      <c r="F92" s="237">
        <f>MASTER_AR_REPORT!I202</f>
        <v/>
      </c>
      <c r="G92" s="234">
        <f>MASTER_AR_REPORT!J202</f>
        <v/>
      </c>
      <c r="H92" s="235">
        <f>MASTER_AR_REPORT!K202</f>
        <v/>
      </c>
      <c r="I92" s="235">
        <f>MASTER_AR_REPORT!L202</f>
        <v/>
      </c>
      <c r="J92" s="235">
        <f>MASTER_AR_REPORT!M202</f>
        <v/>
      </c>
      <c r="K92" s="234" t="inlineStr">
        <is>
          <t>Pending</t>
        </is>
      </c>
    </row>
    <row r="93">
      <c r="A93" s="238" t="n">
        <v>89</v>
      </c>
      <c r="B93" s="239">
        <f>MASTER_AR_REPORT!E203</f>
        <v/>
      </c>
      <c r="C93" s="239">
        <f>MASTER_AR_REPORT!D203</f>
        <v/>
      </c>
      <c r="D93" s="240">
        <f>MASTER_AR_REPORT!C203</f>
        <v/>
      </c>
      <c r="E93" s="240">
        <f>MASTER_AR_REPORT!G203</f>
        <v/>
      </c>
      <c r="F93" s="241">
        <f>MASTER_AR_REPORT!I203</f>
        <v/>
      </c>
      <c r="G93" s="238">
        <f>MASTER_AR_REPORT!J203</f>
        <v/>
      </c>
      <c r="H93" s="239">
        <f>MASTER_AR_REPORT!K203</f>
        <v/>
      </c>
      <c r="I93" s="239">
        <f>MASTER_AR_REPORT!L203</f>
        <v/>
      </c>
      <c r="J93" s="239">
        <f>MASTER_AR_REPORT!M203</f>
        <v/>
      </c>
      <c r="K93" s="238" t="inlineStr">
        <is>
          <t>Pending</t>
        </is>
      </c>
    </row>
    <row r="94">
      <c r="A94" s="230" t="n">
        <v>90</v>
      </c>
      <c r="B94" s="231">
        <f>MASTER_AR_REPORT!E204</f>
        <v/>
      </c>
      <c r="C94" s="231">
        <f>MASTER_AR_REPORT!D204</f>
        <v/>
      </c>
      <c r="D94" s="232">
        <f>MASTER_AR_REPORT!C204</f>
        <v/>
      </c>
      <c r="E94" s="232">
        <f>MASTER_AR_REPORT!G204</f>
        <v/>
      </c>
      <c r="F94" s="233">
        <f>MASTER_AR_REPORT!I204</f>
        <v/>
      </c>
      <c r="G94" s="230">
        <f>MASTER_AR_REPORT!J204</f>
        <v/>
      </c>
      <c r="H94" s="231">
        <f>MASTER_AR_REPORT!K204</f>
        <v/>
      </c>
      <c r="I94" s="231">
        <f>MASTER_AR_REPORT!L204</f>
        <v/>
      </c>
      <c r="J94" s="231">
        <f>MASTER_AR_REPORT!M204</f>
        <v/>
      </c>
      <c r="K94" s="230" t="inlineStr">
        <is>
          <t>Pending</t>
        </is>
      </c>
    </row>
    <row r="95">
      <c r="A95" s="238" t="n">
        <v>91</v>
      </c>
      <c r="B95" s="239">
        <f>MASTER_AR_REPORT!E205</f>
        <v/>
      </c>
      <c r="C95" s="239">
        <f>MASTER_AR_REPORT!D205</f>
        <v/>
      </c>
      <c r="D95" s="240">
        <f>MASTER_AR_REPORT!C205</f>
        <v/>
      </c>
      <c r="E95" s="240">
        <f>MASTER_AR_REPORT!G205</f>
        <v/>
      </c>
      <c r="F95" s="241">
        <f>MASTER_AR_REPORT!I205</f>
        <v/>
      </c>
      <c r="G95" s="238">
        <f>MASTER_AR_REPORT!J205</f>
        <v/>
      </c>
      <c r="H95" s="239">
        <f>MASTER_AR_REPORT!K205</f>
        <v/>
      </c>
      <c r="I95" s="239">
        <f>MASTER_AR_REPORT!L205</f>
        <v/>
      </c>
      <c r="J95" s="239">
        <f>MASTER_AR_REPORT!M205</f>
        <v/>
      </c>
      <c r="K95" s="238" t="inlineStr">
        <is>
          <t>Pending</t>
        </is>
      </c>
    </row>
    <row r="96">
      <c r="A96" s="234" t="n">
        <v>92</v>
      </c>
      <c r="B96" s="235">
        <f>MASTER_AR_REPORT!E206</f>
        <v/>
      </c>
      <c r="C96" s="235">
        <f>MASTER_AR_REPORT!D206</f>
        <v/>
      </c>
      <c r="D96" s="236">
        <f>MASTER_AR_REPORT!C206</f>
        <v/>
      </c>
      <c r="E96" s="236">
        <f>MASTER_AR_REPORT!G206</f>
        <v/>
      </c>
      <c r="F96" s="237">
        <f>MASTER_AR_REPORT!I206</f>
        <v/>
      </c>
      <c r="G96" s="234">
        <f>MASTER_AR_REPORT!J206</f>
        <v/>
      </c>
      <c r="H96" s="235">
        <f>MASTER_AR_REPORT!K206</f>
        <v/>
      </c>
      <c r="I96" s="235">
        <f>MASTER_AR_REPORT!L206</f>
        <v/>
      </c>
      <c r="J96" s="235">
        <f>MASTER_AR_REPORT!M206</f>
        <v/>
      </c>
      <c r="K96" s="234" t="inlineStr">
        <is>
          <t>Pending</t>
        </is>
      </c>
    </row>
    <row r="97">
      <c r="A97" s="238" t="n">
        <v>93</v>
      </c>
      <c r="B97" s="239">
        <f>MASTER_AR_REPORT!E207</f>
        <v/>
      </c>
      <c r="C97" s="239">
        <f>MASTER_AR_REPORT!D207</f>
        <v/>
      </c>
      <c r="D97" s="240">
        <f>MASTER_AR_REPORT!C207</f>
        <v/>
      </c>
      <c r="E97" s="240">
        <f>MASTER_AR_REPORT!G207</f>
        <v/>
      </c>
      <c r="F97" s="241">
        <f>MASTER_AR_REPORT!I207</f>
        <v/>
      </c>
      <c r="G97" s="238">
        <f>MASTER_AR_REPORT!J207</f>
        <v/>
      </c>
      <c r="H97" s="239">
        <f>MASTER_AR_REPORT!K207</f>
        <v/>
      </c>
      <c r="I97" s="239">
        <f>MASTER_AR_REPORT!L207</f>
        <v/>
      </c>
      <c r="J97" s="239">
        <f>MASTER_AR_REPORT!M207</f>
        <v/>
      </c>
      <c r="K97" s="238" t="inlineStr">
        <is>
          <t>Pending</t>
        </is>
      </c>
    </row>
    <row r="98">
      <c r="A98" s="234" t="n">
        <v>94</v>
      </c>
      <c r="B98" s="235">
        <f>MASTER_AR_REPORT!E208</f>
        <v/>
      </c>
      <c r="C98" s="235">
        <f>MASTER_AR_REPORT!D208</f>
        <v/>
      </c>
      <c r="D98" s="236">
        <f>MASTER_AR_REPORT!C208</f>
        <v/>
      </c>
      <c r="E98" s="236">
        <f>MASTER_AR_REPORT!G208</f>
        <v/>
      </c>
      <c r="F98" s="237">
        <f>MASTER_AR_REPORT!I208</f>
        <v/>
      </c>
      <c r="G98" s="234">
        <f>MASTER_AR_REPORT!J208</f>
        <v/>
      </c>
      <c r="H98" s="235">
        <f>MASTER_AR_REPORT!K208</f>
        <v/>
      </c>
      <c r="I98" s="235">
        <f>MASTER_AR_REPORT!L208</f>
        <v/>
      </c>
      <c r="J98" s="235">
        <f>MASTER_AR_REPORT!M208</f>
        <v/>
      </c>
      <c r="K98" s="234" t="inlineStr">
        <is>
          <t>Pending</t>
        </is>
      </c>
    </row>
    <row r="99">
      <c r="A99" s="226" t="n">
        <v>95</v>
      </c>
      <c r="B99" s="227">
        <f>MASTER_AR_REPORT!E209</f>
        <v/>
      </c>
      <c r="C99" s="227">
        <f>MASTER_AR_REPORT!D209</f>
        <v/>
      </c>
      <c r="D99" s="228">
        <f>MASTER_AR_REPORT!C209</f>
        <v/>
      </c>
      <c r="E99" s="228">
        <f>MASTER_AR_REPORT!G209</f>
        <v/>
      </c>
      <c r="F99" s="229">
        <f>MASTER_AR_REPORT!I209</f>
        <v/>
      </c>
      <c r="G99" s="226">
        <f>MASTER_AR_REPORT!J209</f>
        <v/>
      </c>
      <c r="H99" s="227">
        <f>MASTER_AR_REPORT!K209</f>
        <v/>
      </c>
      <c r="I99" s="227">
        <f>MASTER_AR_REPORT!L209</f>
        <v/>
      </c>
      <c r="J99" s="227">
        <f>MASTER_AR_REPORT!M209</f>
        <v/>
      </c>
      <c r="K99" s="226" t="inlineStr">
        <is>
          <t>Pending</t>
        </is>
      </c>
    </row>
    <row r="100">
      <c r="A100" s="234" t="n">
        <v>96</v>
      </c>
      <c r="B100" s="235">
        <f>MASTER_AR_REPORT!E210</f>
        <v/>
      </c>
      <c r="C100" s="235">
        <f>MASTER_AR_REPORT!D210</f>
        <v/>
      </c>
      <c r="D100" s="236">
        <f>MASTER_AR_REPORT!C210</f>
        <v/>
      </c>
      <c r="E100" s="236">
        <f>MASTER_AR_REPORT!G210</f>
        <v/>
      </c>
      <c r="F100" s="237">
        <f>MASTER_AR_REPORT!I210</f>
        <v/>
      </c>
      <c r="G100" s="234">
        <f>MASTER_AR_REPORT!J210</f>
        <v/>
      </c>
      <c r="H100" s="235">
        <f>MASTER_AR_REPORT!K210</f>
        <v/>
      </c>
      <c r="I100" s="235">
        <f>MASTER_AR_REPORT!L210</f>
        <v/>
      </c>
      <c r="J100" s="235">
        <f>MASTER_AR_REPORT!M210</f>
        <v/>
      </c>
      <c r="K100" s="234" t="inlineStr">
        <is>
          <t>Pending</t>
        </is>
      </c>
    </row>
    <row r="101">
      <c r="A101" s="238" t="n">
        <v>97</v>
      </c>
      <c r="B101" s="239">
        <f>MASTER_AR_REPORT!E211</f>
        <v/>
      </c>
      <c r="C101" s="239">
        <f>MASTER_AR_REPORT!D211</f>
        <v/>
      </c>
      <c r="D101" s="240">
        <f>MASTER_AR_REPORT!C211</f>
        <v/>
      </c>
      <c r="E101" s="240">
        <f>MASTER_AR_REPORT!G211</f>
        <v/>
      </c>
      <c r="F101" s="241">
        <f>MASTER_AR_REPORT!I211</f>
        <v/>
      </c>
      <c r="G101" s="238">
        <f>MASTER_AR_REPORT!J211</f>
        <v/>
      </c>
      <c r="H101" s="239">
        <f>MASTER_AR_REPORT!K211</f>
        <v/>
      </c>
      <c r="I101" s="239">
        <f>MASTER_AR_REPORT!L211</f>
        <v/>
      </c>
      <c r="J101" s="239">
        <f>MASTER_AR_REPORT!M211</f>
        <v/>
      </c>
      <c r="K101" s="238" t="inlineStr">
        <is>
          <t>Pending</t>
        </is>
      </c>
    </row>
    <row r="102">
      <c r="A102" s="234" t="n">
        <v>98</v>
      </c>
      <c r="B102" s="235">
        <f>MASTER_AR_REPORT!E212</f>
        <v/>
      </c>
      <c r="C102" s="235">
        <f>MASTER_AR_REPORT!D212</f>
        <v/>
      </c>
      <c r="D102" s="236">
        <f>MASTER_AR_REPORT!C212</f>
        <v/>
      </c>
      <c r="E102" s="236">
        <f>MASTER_AR_REPORT!G212</f>
        <v/>
      </c>
      <c r="F102" s="237">
        <f>MASTER_AR_REPORT!I212</f>
        <v/>
      </c>
      <c r="G102" s="234">
        <f>MASTER_AR_REPORT!J212</f>
        <v/>
      </c>
      <c r="H102" s="235">
        <f>MASTER_AR_REPORT!K212</f>
        <v/>
      </c>
      <c r="I102" s="235">
        <f>MASTER_AR_REPORT!L212</f>
        <v/>
      </c>
      <c r="J102" s="235">
        <f>MASTER_AR_REPORT!M212</f>
        <v/>
      </c>
      <c r="K102" s="234" t="inlineStr">
        <is>
          <t>Pending</t>
        </is>
      </c>
    </row>
    <row r="103">
      <c r="A103" s="226" t="n">
        <v>99</v>
      </c>
      <c r="B103" s="227">
        <f>MASTER_AR_REPORT!E213</f>
        <v/>
      </c>
      <c r="C103" s="227">
        <f>MASTER_AR_REPORT!D213</f>
        <v/>
      </c>
      <c r="D103" s="228">
        <f>MASTER_AR_REPORT!C213</f>
        <v/>
      </c>
      <c r="E103" s="228">
        <f>MASTER_AR_REPORT!G213</f>
        <v/>
      </c>
      <c r="F103" s="229">
        <f>MASTER_AR_REPORT!I213</f>
        <v/>
      </c>
      <c r="G103" s="226">
        <f>MASTER_AR_REPORT!J213</f>
        <v/>
      </c>
      <c r="H103" s="227">
        <f>MASTER_AR_REPORT!K213</f>
        <v/>
      </c>
      <c r="I103" s="227">
        <f>MASTER_AR_REPORT!L213</f>
        <v/>
      </c>
      <c r="J103" s="227">
        <f>MASTER_AR_REPORT!M213</f>
        <v/>
      </c>
      <c r="K103" s="226" t="inlineStr">
        <is>
          <t>Pending</t>
        </is>
      </c>
    </row>
    <row r="104">
      <c r="A104" s="234" t="n">
        <v>100</v>
      </c>
      <c r="B104" s="235">
        <f>MASTER_AR_REPORT!E214</f>
        <v/>
      </c>
      <c r="C104" s="235">
        <f>MASTER_AR_REPORT!D214</f>
        <v/>
      </c>
      <c r="D104" s="236">
        <f>MASTER_AR_REPORT!C214</f>
        <v/>
      </c>
      <c r="E104" s="236">
        <f>MASTER_AR_REPORT!G214</f>
        <v/>
      </c>
      <c r="F104" s="237">
        <f>MASTER_AR_REPORT!I214</f>
        <v/>
      </c>
      <c r="G104" s="234">
        <f>MASTER_AR_REPORT!J214</f>
        <v/>
      </c>
      <c r="H104" s="235">
        <f>MASTER_AR_REPORT!K214</f>
        <v/>
      </c>
      <c r="I104" s="235">
        <f>MASTER_AR_REPORT!L214</f>
        <v/>
      </c>
      <c r="J104" s="235">
        <f>MASTER_AR_REPORT!M214</f>
        <v/>
      </c>
      <c r="K104" s="234" t="inlineStr">
        <is>
          <t>Pending</t>
        </is>
      </c>
    </row>
    <row r="105">
      <c r="A105" s="226" t="n">
        <v>101</v>
      </c>
      <c r="B105" s="227">
        <f>MASTER_AR_REPORT!E215</f>
        <v/>
      </c>
      <c r="C105" s="227">
        <f>MASTER_AR_REPORT!D215</f>
        <v/>
      </c>
      <c r="D105" s="228">
        <f>MASTER_AR_REPORT!C215</f>
        <v/>
      </c>
      <c r="E105" s="228">
        <f>MASTER_AR_REPORT!G215</f>
        <v/>
      </c>
      <c r="F105" s="229">
        <f>MASTER_AR_REPORT!I215</f>
        <v/>
      </c>
      <c r="G105" s="226">
        <f>MASTER_AR_REPORT!J215</f>
        <v/>
      </c>
      <c r="H105" s="227">
        <f>MASTER_AR_REPORT!K215</f>
        <v/>
      </c>
      <c r="I105" s="227">
        <f>MASTER_AR_REPORT!L215</f>
        <v/>
      </c>
      <c r="J105" s="227">
        <f>MASTER_AR_REPORT!M215</f>
        <v/>
      </c>
      <c r="K105" s="226" t="inlineStr">
        <is>
          <t>Pending</t>
        </is>
      </c>
    </row>
    <row r="106">
      <c r="A106" s="234" t="n">
        <v>102</v>
      </c>
      <c r="B106" s="235">
        <f>MASTER_AR_REPORT!E216</f>
        <v/>
      </c>
      <c r="C106" s="235">
        <f>MASTER_AR_REPORT!D216</f>
        <v/>
      </c>
      <c r="D106" s="236">
        <f>MASTER_AR_REPORT!C216</f>
        <v/>
      </c>
      <c r="E106" s="236">
        <f>MASTER_AR_REPORT!G216</f>
        <v/>
      </c>
      <c r="F106" s="237">
        <f>MASTER_AR_REPORT!I216</f>
        <v/>
      </c>
      <c r="G106" s="234">
        <f>MASTER_AR_REPORT!J216</f>
        <v/>
      </c>
      <c r="H106" s="235">
        <f>MASTER_AR_REPORT!K216</f>
        <v/>
      </c>
      <c r="I106" s="235">
        <f>MASTER_AR_REPORT!L216</f>
        <v/>
      </c>
      <c r="J106" s="235">
        <f>MASTER_AR_REPORT!M216</f>
        <v/>
      </c>
      <c r="K106" s="234" t="inlineStr">
        <is>
          <t>Pending</t>
        </is>
      </c>
    </row>
    <row r="107">
      <c r="A107" s="226" t="n">
        <v>103</v>
      </c>
      <c r="B107" s="227">
        <f>MASTER_AR_REPORT!E217</f>
        <v/>
      </c>
      <c r="C107" s="227">
        <f>MASTER_AR_REPORT!D217</f>
        <v/>
      </c>
      <c r="D107" s="228">
        <f>MASTER_AR_REPORT!C217</f>
        <v/>
      </c>
      <c r="E107" s="228">
        <f>MASTER_AR_REPORT!G217</f>
        <v/>
      </c>
      <c r="F107" s="229">
        <f>MASTER_AR_REPORT!I217</f>
        <v/>
      </c>
      <c r="G107" s="226">
        <f>MASTER_AR_REPORT!J217</f>
        <v/>
      </c>
      <c r="H107" s="227">
        <f>MASTER_AR_REPORT!K217</f>
        <v/>
      </c>
      <c r="I107" s="227">
        <f>MASTER_AR_REPORT!L217</f>
        <v/>
      </c>
      <c r="J107" s="227">
        <f>MASTER_AR_REPORT!M217</f>
        <v/>
      </c>
      <c r="K107" s="226" t="inlineStr">
        <is>
          <t>Pending</t>
        </is>
      </c>
    </row>
    <row r="108">
      <c r="A108" s="230" t="n">
        <v>104</v>
      </c>
      <c r="B108" s="231">
        <f>MASTER_AR_REPORT!E218</f>
        <v/>
      </c>
      <c r="C108" s="231">
        <f>MASTER_AR_REPORT!D218</f>
        <v/>
      </c>
      <c r="D108" s="232">
        <f>MASTER_AR_REPORT!C218</f>
        <v/>
      </c>
      <c r="E108" s="232">
        <f>MASTER_AR_REPORT!G218</f>
        <v/>
      </c>
      <c r="F108" s="233">
        <f>MASTER_AR_REPORT!I218</f>
        <v/>
      </c>
      <c r="G108" s="230">
        <f>MASTER_AR_REPORT!J218</f>
        <v/>
      </c>
      <c r="H108" s="231">
        <f>MASTER_AR_REPORT!K218</f>
        <v/>
      </c>
      <c r="I108" s="231">
        <f>MASTER_AR_REPORT!L218</f>
        <v/>
      </c>
      <c r="J108" s="231">
        <f>MASTER_AR_REPORT!M218</f>
        <v/>
      </c>
      <c r="K108" s="230" t="inlineStr">
        <is>
          <t>Pending</t>
        </is>
      </c>
    </row>
    <row r="109">
      <c r="A109" s="238" t="n">
        <v>105</v>
      </c>
      <c r="B109" s="239">
        <f>MASTER_AR_REPORT!E220</f>
        <v/>
      </c>
      <c r="C109" s="239">
        <f>MASTER_AR_REPORT!D220</f>
        <v/>
      </c>
      <c r="D109" s="240">
        <f>MASTER_AR_REPORT!C220</f>
        <v/>
      </c>
      <c r="E109" s="240">
        <f>MASTER_AR_REPORT!G220</f>
        <v/>
      </c>
      <c r="F109" s="241">
        <f>MASTER_AR_REPORT!I220</f>
        <v/>
      </c>
      <c r="G109" s="238">
        <f>MASTER_AR_REPORT!J220</f>
        <v/>
      </c>
      <c r="H109" s="239">
        <f>MASTER_AR_REPORT!K220</f>
        <v/>
      </c>
      <c r="I109" s="239">
        <f>MASTER_AR_REPORT!L220</f>
        <v/>
      </c>
      <c r="J109" s="239">
        <f>MASTER_AR_REPORT!M220</f>
        <v/>
      </c>
      <c r="K109" s="238" t="inlineStr">
        <is>
          <t>Pending</t>
        </is>
      </c>
    </row>
    <row r="110">
      <c r="A110" s="234" t="n">
        <v>106</v>
      </c>
      <c r="B110" s="235">
        <f>MASTER_AR_REPORT!E221</f>
        <v/>
      </c>
      <c r="C110" s="235">
        <f>MASTER_AR_REPORT!D221</f>
        <v/>
      </c>
      <c r="D110" s="236">
        <f>MASTER_AR_REPORT!C221</f>
        <v/>
      </c>
      <c r="E110" s="236">
        <f>MASTER_AR_REPORT!G221</f>
        <v/>
      </c>
      <c r="F110" s="237">
        <f>MASTER_AR_REPORT!I221</f>
        <v/>
      </c>
      <c r="G110" s="234">
        <f>MASTER_AR_REPORT!J221</f>
        <v/>
      </c>
      <c r="H110" s="235">
        <f>MASTER_AR_REPORT!K221</f>
        <v/>
      </c>
      <c r="I110" s="235">
        <f>MASTER_AR_REPORT!L221</f>
        <v/>
      </c>
      <c r="J110" s="235">
        <f>MASTER_AR_REPORT!M221</f>
        <v/>
      </c>
      <c r="K110" s="234" t="inlineStr">
        <is>
          <t>Pending</t>
        </is>
      </c>
    </row>
    <row r="111">
      <c r="A111" s="238" t="n">
        <v>107</v>
      </c>
      <c r="B111" s="239">
        <f>MASTER_AR_REPORT!E223</f>
        <v/>
      </c>
      <c r="C111" s="239">
        <f>MASTER_AR_REPORT!D223</f>
        <v/>
      </c>
      <c r="D111" s="240">
        <f>MASTER_AR_REPORT!C223</f>
        <v/>
      </c>
      <c r="E111" s="240">
        <f>MASTER_AR_REPORT!G223</f>
        <v/>
      </c>
      <c r="F111" s="241">
        <f>MASTER_AR_REPORT!I223</f>
        <v/>
      </c>
      <c r="G111" s="238">
        <f>MASTER_AR_REPORT!J223</f>
        <v/>
      </c>
      <c r="H111" s="239">
        <f>MASTER_AR_REPORT!K223</f>
        <v/>
      </c>
      <c r="I111" s="239">
        <f>MASTER_AR_REPORT!L223</f>
        <v/>
      </c>
      <c r="J111" s="239">
        <f>MASTER_AR_REPORT!M223</f>
        <v/>
      </c>
      <c r="K111" s="238" t="inlineStr">
        <is>
          <t>Pending</t>
        </is>
      </c>
    </row>
    <row r="112">
      <c r="A112" s="230" t="n">
        <v>108</v>
      </c>
      <c r="B112" s="231">
        <f>MASTER_AR_REPORT!E224</f>
        <v/>
      </c>
      <c r="C112" s="231">
        <f>MASTER_AR_REPORT!D224</f>
        <v/>
      </c>
      <c r="D112" s="232">
        <f>MASTER_AR_REPORT!C224</f>
        <v/>
      </c>
      <c r="E112" s="232">
        <f>MASTER_AR_REPORT!G224</f>
        <v/>
      </c>
      <c r="F112" s="233">
        <f>MASTER_AR_REPORT!I224</f>
        <v/>
      </c>
      <c r="G112" s="230">
        <f>MASTER_AR_REPORT!J224</f>
        <v/>
      </c>
      <c r="H112" s="231">
        <f>MASTER_AR_REPORT!K224</f>
        <v/>
      </c>
      <c r="I112" s="231">
        <f>MASTER_AR_REPORT!L224</f>
        <v/>
      </c>
      <c r="J112" s="231">
        <f>MASTER_AR_REPORT!M224</f>
        <v/>
      </c>
      <c r="K112" s="230" t="inlineStr">
        <is>
          <t>Pending</t>
        </is>
      </c>
    </row>
    <row r="113">
      <c r="A113" s="226" t="n">
        <v>109</v>
      </c>
      <c r="B113" s="227">
        <f>MASTER_AR_REPORT!E225</f>
        <v/>
      </c>
      <c r="C113" s="227">
        <f>MASTER_AR_REPORT!D225</f>
        <v/>
      </c>
      <c r="D113" s="228">
        <f>MASTER_AR_REPORT!C225</f>
        <v/>
      </c>
      <c r="E113" s="228">
        <f>MASTER_AR_REPORT!G225</f>
        <v/>
      </c>
      <c r="F113" s="229">
        <f>MASTER_AR_REPORT!I225</f>
        <v/>
      </c>
      <c r="G113" s="226">
        <f>MASTER_AR_REPORT!J225</f>
        <v/>
      </c>
      <c r="H113" s="227">
        <f>MASTER_AR_REPORT!K225</f>
        <v/>
      </c>
      <c r="I113" s="227">
        <f>MASTER_AR_REPORT!L225</f>
        <v/>
      </c>
      <c r="J113" s="227">
        <f>MASTER_AR_REPORT!M225</f>
        <v/>
      </c>
      <c r="K113" s="226" t="inlineStr">
        <is>
          <t>Pending</t>
        </is>
      </c>
    </row>
    <row r="114">
      <c r="A114" s="230" t="n">
        <v>110</v>
      </c>
      <c r="B114" s="231">
        <f>MASTER_AR_REPORT!E226</f>
        <v/>
      </c>
      <c r="C114" s="231">
        <f>MASTER_AR_REPORT!D226</f>
        <v/>
      </c>
      <c r="D114" s="232">
        <f>MASTER_AR_REPORT!C226</f>
        <v/>
      </c>
      <c r="E114" s="232">
        <f>MASTER_AR_REPORT!G226</f>
        <v/>
      </c>
      <c r="F114" s="233">
        <f>MASTER_AR_REPORT!I226</f>
        <v/>
      </c>
      <c r="G114" s="230">
        <f>MASTER_AR_REPORT!J226</f>
        <v/>
      </c>
      <c r="H114" s="231">
        <f>MASTER_AR_REPORT!K226</f>
        <v/>
      </c>
      <c r="I114" s="231">
        <f>MASTER_AR_REPORT!L226</f>
        <v/>
      </c>
      <c r="J114" s="231">
        <f>MASTER_AR_REPORT!M226</f>
        <v/>
      </c>
      <c r="K114" s="230" t="inlineStr">
        <is>
          <t>Pending</t>
        </is>
      </c>
    </row>
    <row r="115">
      <c r="A115" s="226" t="n">
        <v>111</v>
      </c>
      <c r="B115" s="227">
        <f>MASTER_AR_REPORT!E227</f>
        <v/>
      </c>
      <c r="C115" s="227">
        <f>MASTER_AR_REPORT!D227</f>
        <v/>
      </c>
      <c r="D115" s="228">
        <f>MASTER_AR_REPORT!C227</f>
        <v/>
      </c>
      <c r="E115" s="228">
        <f>MASTER_AR_REPORT!G227</f>
        <v/>
      </c>
      <c r="F115" s="229">
        <f>MASTER_AR_REPORT!I227</f>
        <v/>
      </c>
      <c r="G115" s="226">
        <f>MASTER_AR_REPORT!J227</f>
        <v/>
      </c>
      <c r="H115" s="227">
        <f>MASTER_AR_REPORT!K227</f>
        <v/>
      </c>
      <c r="I115" s="227">
        <f>MASTER_AR_REPORT!L227</f>
        <v/>
      </c>
      <c r="J115" s="227">
        <f>MASTER_AR_REPORT!M227</f>
        <v/>
      </c>
      <c r="K115" s="226" t="inlineStr">
        <is>
          <t>Pending</t>
        </is>
      </c>
    </row>
    <row r="116">
      <c r="A116" s="230" t="n">
        <v>112</v>
      </c>
      <c r="B116" s="231">
        <f>MASTER_AR_REPORT!E228</f>
        <v/>
      </c>
      <c r="C116" s="231">
        <f>MASTER_AR_REPORT!D228</f>
        <v/>
      </c>
      <c r="D116" s="232">
        <f>MASTER_AR_REPORT!C228</f>
        <v/>
      </c>
      <c r="E116" s="232">
        <f>MASTER_AR_REPORT!G228</f>
        <v/>
      </c>
      <c r="F116" s="233">
        <f>MASTER_AR_REPORT!I228</f>
        <v/>
      </c>
      <c r="G116" s="230">
        <f>MASTER_AR_REPORT!J228</f>
        <v/>
      </c>
      <c r="H116" s="231">
        <f>MASTER_AR_REPORT!K228</f>
        <v/>
      </c>
      <c r="I116" s="231">
        <f>MASTER_AR_REPORT!L228</f>
        <v/>
      </c>
      <c r="J116" s="231">
        <f>MASTER_AR_REPORT!M228</f>
        <v/>
      </c>
      <c r="K116" s="230" t="inlineStr">
        <is>
          <t>Pending</t>
        </is>
      </c>
    </row>
    <row r="117">
      <c r="A117" s="226" t="n">
        <v>113</v>
      </c>
      <c r="B117" s="227">
        <f>MASTER_AR_REPORT!E229</f>
        <v/>
      </c>
      <c r="C117" s="227">
        <f>MASTER_AR_REPORT!D229</f>
        <v/>
      </c>
      <c r="D117" s="228">
        <f>MASTER_AR_REPORT!C229</f>
        <v/>
      </c>
      <c r="E117" s="228">
        <f>MASTER_AR_REPORT!G229</f>
        <v/>
      </c>
      <c r="F117" s="229">
        <f>MASTER_AR_REPORT!I229</f>
        <v/>
      </c>
      <c r="G117" s="226">
        <f>MASTER_AR_REPORT!J229</f>
        <v/>
      </c>
      <c r="H117" s="227">
        <f>MASTER_AR_REPORT!K229</f>
        <v/>
      </c>
      <c r="I117" s="227">
        <f>MASTER_AR_REPORT!L229</f>
        <v/>
      </c>
      <c r="J117" s="227">
        <f>MASTER_AR_REPORT!M229</f>
        <v/>
      </c>
      <c r="K117" s="226" t="inlineStr">
        <is>
          <t>Pending</t>
        </is>
      </c>
    </row>
    <row r="118">
      <c r="A118" s="234" t="n">
        <v>114</v>
      </c>
      <c r="B118" s="235">
        <f>MASTER_AR_REPORT!E231</f>
        <v/>
      </c>
      <c r="C118" s="235">
        <f>MASTER_AR_REPORT!D231</f>
        <v/>
      </c>
      <c r="D118" s="236">
        <f>MASTER_AR_REPORT!C231</f>
        <v/>
      </c>
      <c r="E118" s="236">
        <f>MASTER_AR_REPORT!G231</f>
        <v/>
      </c>
      <c r="F118" s="237">
        <f>MASTER_AR_REPORT!I231</f>
        <v/>
      </c>
      <c r="G118" s="234">
        <f>MASTER_AR_REPORT!J231</f>
        <v/>
      </c>
      <c r="H118" s="235">
        <f>MASTER_AR_REPORT!K231</f>
        <v/>
      </c>
      <c r="I118" s="235">
        <f>MASTER_AR_REPORT!L231</f>
        <v/>
      </c>
      <c r="J118" s="235">
        <f>MASTER_AR_REPORT!M231</f>
        <v/>
      </c>
      <c r="K118" s="234" t="inlineStr">
        <is>
          <t>Pending</t>
        </is>
      </c>
    </row>
    <row r="119">
      <c r="A119" s="238" t="n">
        <v>115</v>
      </c>
      <c r="B119" s="239">
        <f>MASTER_AR_REPORT!E234</f>
        <v/>
      </c>
      <c r="C119" s="239">
        <f>MASTER_AR_REPORT!D234</f>
        <v/>
      </c>
      <c r="D119" s="240">
        <f>MASTER_AR_REPORT!C234</f>
        <v/>
      </c>
      <c r="E119" s="240">
        <f>MASTER_AR_REPORT!G234</f>
        <v/>
      </c>
      <c r="F119" s="241">
        <f>MASTER_AR_REPORT!I234</f>
        <v/>
      </c>
      <c r="G119" s="238">
        <f>MASTER_AR_REPORT!J234</f>
        <v/>
      </c>
      <c r="H119" s="239">
        <f>MASTER_AR_REPORT!K234</f>
        <v/>
      </c>
      <c r="I119" s="239">
        <f>MASTER_AR_REPORT!L234</f>
        <v/>
      </c>
      <c r="J119" s="239">
        <f>MASTER_AR_REPORT!M234</f>
        <v/>
      </c>
      <c r="K119" s="238" t="inlineStr">
        <is>
          <t>Pending</t>
        </is>
      </c>
    </row>
    <row r="120">
      <c r="A120" s="234" t="n">
        <v>116</v>
      </c>
      <c r="B120" s="235">
        <f>MASTER_AR_REPORT!E235</f>
        <v/>
      </c>
      <c r="C120" s="235">
        <f>MASTER_AR_REPORT!D235</f>
        <v/>
      </c>
      <c r="D120" s="236">
        <f>MASTER_AR_REPORT!C235</f>
        <v/>
      </c>
      <c r="E120" s="236">
        <f>MASTER_AR_REPORT!G235</f>
        <v/>
      </c>
      <c r="F120" s="237">
        <f>MASTER_AR_REPORT!I235</f>
        <v/>
      </c>
      <c r="G120" s="234">
        <f>MASTER_AR_REPORT!J235</f>
        <v/>
      </c>
      <c r="H120" s="235">
        <f>MASTER_AR_REPORT!K235</f>
        <v/>
      </c>
      <c r="I120" s="235">
        <f>MASTER_AR_REPORT!L235</f>
        <v/>
      </c>
      <c r="J120" s="235">
        <f>MASTER_AR_REPORT!M235</f>
        <v/>
      </c>
      <c r="K120" s="234" t="inlineStr">
        <is>
          <t>Pending</t>
        </is>
      </c>
    </row>
    <row r="121">
      <c r="A121" s="238" t="n">
        <v>117</v>
      </c>
      <c r="B121" s="239">
        <f>MASTER_AR_REPORT!E237</f>
        <v/>
      </c>
      <c r="C121" s="239">
        <f>MASTER_AR_REPORT!D237</f>
        <v/>
      </c>
      <c r="D121" s="240">
        <f>MASTER_AR_REPORT!C237</f>
        <v/>
      </c>
      <c r="E121" s="240">
        <f>MASTER_AR_REPORT!G237</f>
        <v/>
      </c>
      <c r="F121" s="241">
        <f>MASTER_AR_REPORT!I237</f>
        <v/>
      </c>
      <c r="G121" s="238">
        <f>MASTER_AR_REPORT!J237</f>
        <v/>
      </c>
      <c r="H121" s="239">
        <f>MASTER_AR_REPORT!K237</f>
        <v/>
      </c>
      <c r="I121" s="239">
        <f>MASTER_AR_REPORT!L237</f>
        <v/>
      </c>
      <c r="J121" s="239">
        <f>MASTER_AR_REPORT!M237</f>
        <v/>
      </c>
      <c r="K121" s="238" t="inlineStr">
        <is>
          <t>Pending</t>
        </is>
      </c>
    </row>
    <row r="122">
      <c r="A122" s="230" t="n">
        <v>118</v>
      </c>
      <c r="B122" s="231">
        <f>MASTER_AR_REPORT!E240</f>
        <v/>
      </c>
      <c r="C122" s="231">
        <f>MASTER_AR_REPORT!D240</f>
        <v/>
      </c>
      <c r="D122" s="232">
        <f>MASTER_AR_REPORT!C240</f>
        <v/>
      </c>
      <c r="E122" s="232">
        <f>MASTER_AR_REPORT!G240</f>
        <v/>
      </c>
      <c r="F122" s="233">
        <f>MASTER_AR_REPORT!I240</f>
        <v/>
      </c>
      <c r="G122" s="230">
        <f>MASTER_AR_REPORT!J240</f>
        <v/>
      </c>
      <c r="H122" s="231">
        <f>MASTER_AR_REPORT!K240</f>
        <v/>
      </c>
      <c r="I122" s="231">
        <f>MASTER_AR_REPORT!L240</f>
        <v/>
      </c>
      <c r="J122" s="231">
        <f>MASTER_AR_REPORT!M240</f>
        <v/>
      </c>
      <c r="K122" s="230" t="inlineStr">
        <is>
          <t>Pending</t>
        </is>
      </c>
    </row>
    <row r="123">
      <c r="A123" s="226" t="n">
        <v>119</v>
      </c>
      <c r="B123" s="227">
        <f>MASTER_AR_REPORT!E241</f>
        <v/>
      </c>
      <c r="C123" s="227">
        <f>MASTER_AR_REPORT!D241</f>
        <v/>
      </c>
      <c r="D123" s="228">
        <f>MASTER_AR_REPORT!C241</f>
        <v/>
      </c>
      <c r="E123" s="228">
        <f>MASTER_AR_REPORT!G241</f>
        <v/>
      </c>
      <c r="F123" s="229">
        <f>MASTER_AR_REPORT!I241</f>
        <v/>
      </c>
      <c r="G123" s="226">
        <f>MASTER_AR_REPORT!J241</f>
        <v/>
      </c>
      <c r="H123" s="227">
        <f>MASTER_AR_REPORT!K241</f>
        <v/>
      </c>
      <c r="I123" s="227">
        <f>MASTER_AR_REPORT!L241</f>
        <v/>
      </c>
      <c r="J123" s="227">
        <f>MASTER_AR_REPORT!M241</f>
        <v/>
      </c>
      <c r="K123" s="226" t="inlineStr">
        <is>
          <t>Pending</t>
        </is>
      </c>
    </row>
    <row r="124">
      <c r="A124" s="234" t="n">
        <v>120</v>
      </c>
      <c r="B124" s="235">
        <f>MASTER_AR_REPORT!E242</f>
        <v/>
      </c>
      <c r="C124" s="235">
        <f>MASTER_AR_REPORT!D242</f>
        <v/>
      </c>
      <c r="D124" s="236">
        <f>MASTER_AR_REPORT!C242</f>
        <v/>
      </c>
      <c r="E124" s="236">
        <f>MASTER_AR_REPORT!G242</f>
        <v/>
      </c>
      <c r="F124" s="237">
        <f>MASTER_AR_REPORT!I242</f>
        <v/>
      </c>
      <c r="G124" s="234">
        <f>MASTER_AR_REPORT!J242</f>
        <v/>
      </c>
      <c r="H124" s="235">
        <f>MASTER_AR_REPORT!K242</f>
        <v/>
      </c>
      <c r="I124" s="235">
        <f>MASTER_AR_REPORT!L242</f>
        <v/>
      </c>
      <c r="J124" s="235">
        <f>MASTER_AR_REPORT!M242</f>
        <v/>
      </c>
      <c r="K124" s="234" t="inlineStr">
        <is>
          <t>Pending</t>
        </is>
      </c>
    </row>
    <row r="125">
      <c r="A125" s="238" t="n">
        <v>121</v>
      </c>
      <c r="B125" s="239">
        <f>MASTER_AR_REPORT!E243</f>
        <v/>
      </c>
      <c r="C125" s="239">
        <f>MASTER_AR_REPORT!D243</f>
        <v/>
      </c>
      <c r="D125" s="240">
        <f>MASTER_AR_REPORT!C243</f>
        <v/>
      </c>
      <c r="E125" s="240">
        <f>MASTER_AR_REPORT!G243</f>
        <v/>
      </c>
      <c r="F125" s="241">
        <f>MASTER_AR_REPORT!I243</f>
        <v/>
      </c>
      <c r="G125" s="238">
        <f>MASTER_AR_REPORT!J243</f>
        <v/>
      </c>
      <c r="H125" s="239">
        <f>MASTER_AR_REPORT!K243</f>
        <v/>
      </c>
      <c r="I125" s="239">
        <f>MASTER_AR_REPORT!L243</f>
        <v/>
      </c>
      <c r="J125" s="239">
        <f>MASTER_AR_REPORT!M243</f>
        <v/>
      </c>
      <c r="K125" s="238" t="inlineStr">
        <is>
          <t>Pending</t>
        </is>
      </c>
    </row>
    <row r="126">
      <c r="A126" s="234" t="n">
        <v>122</v>
      </c>
      <c r="B126" s="235">
        <f>MASTER_AR_REPORT!E244</f>
        <v/>
      </c>
      <c r="C126" s="235">
        <f>MASTER_AR_REPORT!D244</f>
        <v/>
      </c>
      <c r="D126" s="236">
        <f>MASTER_AR_REPORT!C244</f>
        <v/>
      </c>
      <c r="E126" s="236">
        <f>MASTER_AR_REPORT!G244</f>
        <v/>
      </c>
      <c r="F126" s="237">
        <f>MASTER_AR_REPORT!I244</f>
        <v/>
      </c>
      <c r="G126" s="234">
        <f>MASTER_AR_REPORT!J244</f>
        <v/>
      </c>
      <c r="H126" s="235">
        <f>MASTER_AR_REPORT!K244</f>
        <v/>
      </c>
      <c r="I126" s="235">
        <f>MASTER_AR_REPORT!L244</f>
        <v/>
      </c>
      <c r="J126" s="235">
        <f>MASTER_AR_REPORT!M244</f>
        <v/>
      </c>
      <c r="K126" s="234" t="inlineStr">
        <is>
          <t>Pending</t>
        </is>
      </c>
    </row>
    <row r="127">
      <c r="A127" s="238" t="n">
        <v>123</v>
      </c>
      <c r="B127" s="239">
        <f>MASTER_AR_REPORT!E245</f>
        <v/>
      </c>
      <c r="C127" s="239">
        <f>MASTER_AR_REPORT!D245</f>
        <v/>
      </c>
      <c r="D127" s="240">
        <f>MASTER_AR_REPORT!C245</f>
        <v/>
      </c>
      <c r="E127" s="240">
        <f>MASTER_AR_REPORT!G245</f>
        <v/>
      </c>
      <c r="F127" s="241">
        <f>MASTER_AR_REPORT!I245</f>
        <v/>
      </c>
      <c r="G127" s="238">
        <f>MASTER_AR_REPORT!J245</f>
        <v/>
      </c>
      <c r="H127" s="239">
        <f>MASTER_AR_REPORT!K245</f>
        <v/>
      </c>
      <c r="I127" s="239">
        <f>MASTER_AR_REPORT!L245</f>
        <v/>
      </c>
      <c r="J127" s="239">
        <f>MASTER_AR_REPORT!M245</f>
        <v/>
      </c>
      <c r="K127" s="238" t="inlineStr">
        <is>
          <t>Pending</t>
        </is>
      </c>
    </row>
    <row r="128">
      <c r="A128" s="234" t="n">
        <v>124</v>
      </c>
      <c r="B128" s="235">
        <f>MASTER_AR_REPORT!E246</f>
        <v/>
      </c>
      <c r="C128" s="235">
        <f>MASTER_AR_REPORT!D246</f>
        <v/>
      </c>
      <c r="D128" s="236">
        <f>MASTER_AR_REPORT!C246</f>
        <v/>
      </c>
      <c r="E128" s="236">
        <f>MASTER_AR_REPORT!G246</f>
        <v/>
      </c>
      <c r="F128" s="237">
        <f>MASTER_AR_REPORT!I246</f>
        <v/>
      </c>
      <c r="G128" s="234">
        <f>MASTER_AR_REPORT!J246</f>
        <v/>
      </c>
      <c r="H128" s="235">
        <f>MASTER_AR_REPORT!K246</f>
        <v/>
      </c>
      <c r="I128" s="235">
        <f>MASTER_AR_REPORT!L246</f>
        <v/>
      </c>
      <c r="J128" s="235">
        <f>MASTER_AR_REPORT!M246</f>
        <v/>
      </c>
      <c r="K128" s="234" t="inlineStr">
        <is>
          <t>Pending</t>
        </is>
      </c>
    </row>
    <row r="129">
      <c r="A129" s="238" t="n">
        <v>125</v>
      </c>
      <c r="B129" s="239">
        <f>MASTER_AR_REPORT!E247</f>
        <v/>
      </c>
      <c r="C129" s="239">
        <f>MASTER_AR_REPORT!D247</f>
        <v/>
      </c>
      <c r="D129" s="240">
        <f>MASTER_AR_REPORT!C247</f>
        <v/>
      </c>
      <c r="E129" s="240">
        <f>MASTER_AR_REPORT!G247</f>
        <v/>
      </c>
      <c r="F129" s="241">
        <f>MASTER_AR_REPORT!I247</f>
        <v/>
      </c>
      <c r="G129" s="238">
        <f>MASTER_AR_REPORT!J247</f>
        <v/>
      </c>
      <c r="H129" s="239">
        <f>MASTER_AR_REPORT!K247</f>
        <v/>
      </c>
      <c r="I129" s="239">
        <f>MASTER_AR_REPORT!L247</f>
        <v/>
      </c>
      <c r="J129" s="239">
        <f>MASTER_AR_REPORT!M247</f>
        <v/>
      </c>
      <c r="K129" s="238" t="inlineStr">
        <is>
          <t>Pending</t>
        </is>
      </c>
    </row>
    <row r="130">
      <c r="A130" s="234" t="n">
        <v>126</v>
      </c>
      <c r="B130" s="235">
        <f>MASTER_AR_REPORT!E248</f>
        <v/>
      </c>
      <c r="C130" s="235">
        <f>MASTER_AR_REPORT!D248</f>
        <v/>
      </c>
      <c r="D130" s="236">
        <f>MASTER_AR_REPORT!C248</f>
        <v/>
      </c>
      <c r="E130" s="236">
        <f>MASTER_AR_REPORT!G248</f>
        <v/>
      </c>
      <c r="F130" s="237">
        <f>MASTER_AR_REPORT!I248</f>
        <v/>
      </c>
      <c r="G130" s="234">
        <f>MASTER_AR_REPORT!J248</f>
        <v/>
      </c>
      <c r="H130" s="235">
        <f>MASTER_AR_REPORT!K248</f>
        <v/>
      </c>
      <c r="I130" s="235">
        <f>MASTER_AR_REPORT!L248</f>
        <v/>
      </c>
      <c r="J130" s="235">
        <f>MASTER_AR_REPORT!M248</f>
        <v/>
      </c>
      <c r="K130" s="234" t="inlineStr">
        <is>
          <t>Pending</t>
        </is>
      </c>
    </row>
    <row r="131">
      <c r="A131" s="226" t="n">
        <v>127</v>
      </c>
      <c r="B131" s="227">
        <f>MASTER_AR_REPORT!E249</f>
        <v/>
      </c>
      <c r="C131" s="227">
        <f>MASTER_AR_REPORT!D249</f>
        <v/>
      </c>
      <c r="D131" s="228">
        <f>MASTER_AR_REPORT!C249</f>
        <v/>
      </c>
      <c r="E131" s="228">
        <f>MASTER_AR_REPORT!G249</f>
        <v/>
      </c>
      <c r="F131" s="229">
        <f>MASTER_AR_REPORT!I249</f>
        <v/>
      </c>
      <c r="G131" s="226">
        <f>MASTER_AR_REPORT!J249</f>
        <v/>
      </c>
      <c r="H131" s="227">
        <f>MASTER_AR_REPORT!K249</f>
        <v/>
      </c>
      <c r="I131" s="227">
        <f>MASTER_AR_REPORT!L249</f>
        <v/>
      </c>
      <c r="J131" s="227">
        <f>MASTER_AR_REPORT!M249</f>
        <v/>
      </c>
      <c r="K131" s="226" t="inlineStr">
        <is>
          <t>Pending</t>
        </is>
      </c>
    </row>
    <row r="132">
      <c r="A132" s="234" t="n">
        <v>128</v>
      </c>
      <c r="B132" s="235">
        <f>MASTER_AR_REPORT!E250</f>
        <v/>
      </c>
      <c r="C132" s="235">
        <f>MASTER_AR_REPORT!D250</f>
        <v/>
      </c>
      <c r="D132" s="236">
        <f>MASTER_AR_REPORT!C250</f>
        <v/>
      </c>
      <c r="E132" s="236">
        <f>MASTER_AR_REPORT!G250</f>
        <v/>
      </c>
      <c r="F132" s="237">
        <f>MASTER_AR_REPORT!I250</f>
        <v/>
      </c>
      <c r="G132" s="234">
        <f>MASTER_AR_REPORT!J250</f>
        <v/>
      </c>
      <c r="H132" s="235">
        <f>MASTER_AR_REPORT!K250</f>
        <v/>
      </c>
      <c r="I132" s="235">
        <f>MASTER_AR_REPORT!L250</f>
        <v/>
      </c>
      <c r="J132" s="235">
        <f>MASTER_AR_REPORT!M250</f>
        <v/>
      </c>
      <c r="K132" s="234" t="inlineStr">
        <is>
          <t>Pending</t>
        </is>
      </c>
    </row>
    <row r="133">
      <c r="A133" s="226" t="n">
        <v>129</v>
      </c>
      <c r="B133" s="227">
        <f>MASTER_AR_REPORT!E251</f>
        <v/>
      </c>
      <c r="C133" s="227">
        <f>MASTER_AR_REPORT!D251</f>
        <v/>
      </c>
      <c r="D133" s="228">
        <f>MASTER_AR_REPORT!C251</f>
        <v/>
      </c>
      <c r="E133" s="228">
        <f>MASTER_AR_REPORT!G251</f>
        <v/>
      </c>
      <c r="F133" s="229">
        <f>MASTER_AR_REPORT!I251</f>
        <v/>
      </c>
      <c r="G133" s="226">
        <f>MASTER_AR_REPORT!J251</f>
        <v/>
      </c>
      <c r="H133" s="227">
        <f>MASTER_AR_REPORT!K251</f>
        <v/>
      </c>
      <c r="I133" s="227">
        <f>MASTER_AR_REPORT!L251</f>
        <v/>
      </c>
      <c r="J133" s="227">
        <f>MASTER_AR_REPORT!M251</f>
        <v/>
      </c>
      <c r="K133" s="226" t="inlineStr">
        <is>
          <t>Pending</t>
        </is>
      </c>
    </row>
    <row r="134">
      <c r="A134" s="234" t="n">
        <v>130</v>
      </c>
      <c r="B134" s="235">
        <f>MASTER_AR_REPORT!E267</f>
        <v/>
      </c>
      <c r="C134" s="235">
        <f>MASTER_AR_REPORT!D267</f>
        <v/>
      </c>
      <c r="D134" s="236">
        <f>MASTER_AR_REPORT!C267</f>
        <v/>
      </c>
      <c r="E134" s="236">
        <f>MASTER_AR_REPORT!G267</f>
        <v/>
      </c>
      <c r="F134" s="237">
        <f>MASTER_AR_REPORT!I267</f>
        <v/>
      </c>
      <c r="G134" s="234">
        <f>MASTER_AR_REPORT!J267</f>
        <v/>
      </c>
      <c r="H134" s="235">
        <f>MASTER_AR_REPORT!K267</f>
        <v/>
      </c>
      <c r="I134" s="235">
        <f>MASTER_AR_REPORT!L267</f>
        <v/>
      </c>
      <c r="J134" s="235">
        <f>MASTER_AR_REPORT!M267</f>
        <v/>
      </c>
      <c r="K134" s="234" t="inlineStr">
        <is>
          <t>Pending</t>
        </is>
      </c>
    </row>
    <row r="135">
      <c r="A135" s="238" t="n">
        <v>131</v>
      </c>
      <c r="B135" s="239">
        <f>MASTER_AR_REPORT!E270</f>
        <v/>
      </c>
      <c r="C135" s="239">
        <f>MASTER_AR_REPORT!D270</f>
        <v/>
      </c>
      <c r="D135" s="240">
        <f>MASTER_AR_REPORT!C270</f>
        <v/>
      </c>
      <c r="E135" s="240">
        <f>MASTER_AR_REPORT!G270</f>
        <v/>
      </c>
      <c r="F135" s="241">
        <f>MASTER_AR_REPORT!I270</f>
        <v/>
      </c>
      <c r="G135" s="238">
        <f>MASTER_AR_REPORT!J270</f>
        <v/>
      </c>
      <c r="H135" s="239">
        <f>MASTER_AR_REPORT!K270</f>
        <v/>
      </c>
      <c r="I135" s="239">
        <f>MASTER_AR_REPORT!L270</f>
        <v/>
      </c>
      <c r="J135" s="239">
        <f>MASTER_AR_REPORT!M270</f>
        <v/>
      </c>
      <c r="K135" s="238" t="inlineStr">
        <is>
          <t>Pending</t>
        </is>
      </c>
    </row>
    <row r="136">
      <c r="A136" s="230" t="n">
        <v>132</v>
      </c>
      <c r="B136" s="231">
        <f>MASTER_AR_REPORT!E271</f>
        <v/>
      </c>
      <c r="C136" s="231">
        <f>MASTER_AR_REPORT!D271</f>
        <v/>
      </c>
      <c r="D136" s="232">
        <f>MASTER_AR_REPORT!C271</f>
        <v/>
      </c>
      <c r="E136" s="232">
        <f>MASTER_AR_REPORT!G271</f>
        <v/>
      </c>
      <c r="F136" s="233">
        <f>MASTER_AR_REPORT!I271</f>
        <v/>
      </c>
      <c r="G136" s="230">
        <f>MASTER_AR_REPORT!J271</f>
        <v/>
      </c>
      <c r="H136" s="231">
        <f>MASTER_AR_REPORT!K271</f>
        <v/>
      </c>
      <c r="I136" s="231">
        <f>MASTER_AR_REPORT!L271</f>
        <v/>
      </c>
      <c r="J136" s="231">
        <f>MASTER_AR_REPORT!M271</f>
        <v/>
      </c>
      <c r="K136" s="230" t="inlineStr">
        <is>
          <t>Pending</t>
        </is>
      </c>
    </row>
    <row r="137">
      <c r="A137" s="226" t="n">
        <v>133</v>
      </c>
      <c r="B137" s="227">
        <f>MASTER_AR_REPORT!E272</f>
        <v/>
      </c>
      <c r="C137" s="227">
        <f>MASTER_AR_REPORT!D272</f>
        <v/>
      </c>
      <c r="D137" s="228">
        <f>MASTER_AR_REPORT!C272</f>
        <v/>
      </c>
      <c r="E137" s="228">
        <f>MASTER_AR_REPORT!G272</f>
        <v/>
      </c>
      <c r="F137" s="229">
        <f>MASTER_AR_REPORT!I272</f>
        <v/>
      </c>
      <c r="G137" s="226">
        <f>MASTER_AR_REPORT!J272</f>
        <v/>
      </c>
      <c r="H137" s="227">
        <f>MASTER_AR_REPORT!K272</f>
        <v/>
      </c>
      <c r="I137" s="227">
        <f>MASTER_AR_REPORT!L272</f>
        <v/>
      </c>
      <c r="J137" s="227">
        <f>MASTER_AR_REPORT!M272</f>
        <v/>
      </c>
      <c r="K137" s="226" t="inlineStr">
        <is>
          <t>Pending</t>
        </is>
      </c>
    </row>
    <row r="138">
      <c r="A138" s="230" t="n">
        <v>134</v>
      </c>
      <c r="B138" s="231">
        <f>MASTER_AR_REPORT!E273</f>
        <v/>
      </c>
      <c r="C138" s="231">
        <f>MASTER_AR_REPORT!D273</f>
        <v/>
      </c>
      <c r="D138" s="232">
        <f>MASTER_AR_REPORT!C273</f>
        <v/>
      </c>
      <c r="E138" s="232">
        <f>MASTER_AR_REPORT!G273</f>
        <v/>
      </c>
      <c r="F138" s="233">
        <f>MASTER_AR_REPORT!I273</f>
        <v/>
      </c>
      <c r="G138" s="230">
        <f>MASTER_AR_REPORT!J273</f>
        <v/>
      </c>
      <c r="H138" s="231">
        <f>MASTER_AR_REPORT!K273</f>
        <v/>
      </c>
      <c r="I138" s="231">
        <f>MASTER_AR_REPORT!L273</f>
        <v/>
      </c>
      <c r="J138" s="231">
        <f>MASTER_AR_REPORT!M273</f>
        <v/>
      </c>
      <c r="K138" s="230" t="inlineStr">
        <is>
          <t>Pending</t>
        </is>
      </c>
    </row>
    <row r="139">
      <c r="A139" s="226" t="n">
        <v>135</v>
      </c>
      <c r="B139" s="227">
        <f>MASTER_AR_REPORT!E274</f>
        <v/>
      </c>
      <c r="C139" s="227">
        <f>MASTER_AR_REPORT!D274</f>
        <v/>
      </c>
      <c r="D139" s="228">
        <f>MASTER_AR_REPORT!C274</f>
        <v/>
      </c>
      <c r="E139" s="228">
        <f>MASTER_AR_REPORT!G274</f>
        <v/>
      </c>
      <c r="F139" s="229">
        <f>MASTER_AR_REPORT!I274</f>
        <v/>
      </c>
      <c r="G139" s="226">
        <f>MASTER_AR_REPORT!J274</f>
        <v/>
      </c>
      <c r="H139" s="227">
        <f>MASTER_AR_REPORT!K274</f>
        <v/>
      </c>
      <c r="I139" s="227">
        <f>MASTER_AR_REPORT!L274</f>
        <v/>
      </c>
      <c r="J139" s="227">
        <f>MASTER_AR_REPORT!M274</f>
        <v/>
      </c>
      <c r="K139" s="226" t="inlineStr">
        <is>
          <t>Pending</t>
        </is>
      </c>
    </row>
    <row r="140">
      <c r="A140" s="234" t="n">
        <v>136</v>
      </c>
      <c r="B140" s="235">
        <f>MASTER_AR_REPORT!E275</f>
        <v/>
      </c>
      <c r="C140" s="235">
        <f>MASTER_AR_REPORT!D275</f>
        <v/>
      </c>
      <c r="D140" s="236">
        <f>MASTER_AR_REPORT!C275</f>
        <v/>
      </c>
      <c r="E140" s="236">
        <f>MASTER_AR_REPORT!G275</f>
        <v/>
      </c>
      <c r="F140" s="237">
        <f>MASTER_AR_REPORT!I275</f>
        <v/>
      </c>
      <c r="G140" s="234">
        <f>MASTER_AR_REPORT!J275</f>
        <v/>
      </c>
      <c r="H140" s="235">
        <f>MASTER_AR_REPORT!K275</f>
        <v/>
      </c>
      <c r="I140" s="235">
        <f>MASTER_AR_REPORT!L275</f>
        <v/>
      </c>
      <c r="J140" s="235">
        <f>MASTER_AR_REPORT!M275</f>
        <v/>
      </c>
      <c r="K140" s="234" t="inlineStr">
        <is>
          <t>Pending</t>
        </is>
      </c>
    </row>
    <row r="141">
      <c r="A141" s="226" t="n">
        <v>137</v>
      </c>
      <c r="B141" s="227">
        <f>MASTER_AR_REPORT!E278</f>
        <v/>
      </c>
      <c r="C141" s="227">
        <f>MASTER_AR_REPORT!D278</f>
        <v/>
      </c>
      <c r="D141" s="228">
        <f>MASTER_AR_REPORT!C278</f>
        <v/>
      </c>
      <c r="E141" s="228">
        <f>MASTER_AR_REPORT!G278</f>
        <v/>
      </c>
      <c r="F141" s="229">
        <f>MASTER_AR_REPORT!I278</f>
        <v/>
      </c>
      <c r="G141" s="226">
        <f>MASTER_AR_REPORT!J278</f>
        <v/>
      </c>
      <c r="H141" s="227">
        <f>MASTER_AR_REPORT!K278</f>
        <v/>
      </c>
      <c r="I141" s="227">
        <f>MASTER_AR_REPORT!L278</f>
        <v/>
      </c>
      <c r="J141" s="227">
        <f>MASTER_AR_REPORT!M278</f>
        <v/>
      </c>
      <c r="K141" s="226" t="inlineStr">
        <is>
          <t>Pending</t>
        </is>
      </c>
    </row>
    <row r="142">
      <c r="A142" s="234" t="n">
        <v>138</v>
      </c>
      <c r="B142" s="235">
        <f>MASTER_AR_REPORT!E279</f>
        <v/>
      </c>
      <c r="C142" s="235">
        <f>MASTER_AR_REPORT!D279</f>
        <v/>
      </c>
      <c r="D142" s="236">
        <f>MASTER_AR_REPORT!C279</f>
        <v/>
      </c>
      <c r="E142" s="236">
        <f>MASTER_AR_REPORT!G279</f>
        <v/>
      </c>
      <c r="F142" s="237">
        <f>MASTER_AR_REPORT!I279</f>
        <v/>
      </c>
      <c r="G142" s="234">
        <f>MASTER_AR_REPORT!J279</f>
        <v/>
      </c>
      <c r="H142" s="235">
        <f>MASTER_AR_REPORT!K279</f>
        <v/>
      </c>
      <c r="I142" s="235">
        <f>MASTER_AR_REPORT!L279</f>
        <v/>
      </c>
      <c r="J142" s="235">
        <f>MASTER_AR_REPORT!M279</f>
        <v/>
      </c>
      <c r="K142" s="234" t="inlineStr">
        <is>
          <t>Pending</t>
        </is>
      </c>
    </row>
    <row r="143">
      <c r="A143" s="238" t="n">
        <v>139</v>
      </c>
      <c r="B143" s="239">
        <f>MASTER_AR_REPORT!E284</f>
        <v/>
      </c>
      <c r="C143" s="239">
        <f>MASTER_AR_REPORT!D284</f>
        <v/>
      </c>
      <c r="D143" s="240">
        <f>MASTER_AR_REPORT!C284</f>
        <v/>
      </c>
      <c r="E143" s="240">
        <f>MASTER_AR_REPORT!G284</f>
        <v/>
      </c>
      <c r="F143" s="241">
        <f>MASTER_AR_REPORT!I284</f>
        <v/>
      </c>
      <c r="G143" s="238">
        <f>MASTER_AR_REPORT!J284</f>
        <v/>
      </c>
      <c r="H143" s="239">
        <f>MASTER_AR_REPORT!K284</f>
        <v/>
      </c>
      <c r="I143" s="239">
        <f>MASTER_AR_REPORT!L284</f>
        <v/>
      </c>
      <c r="J143" s="239">
        <f>MASTER_AR_REPORT!M284</f>
        <v/>
      </c>
      <c r="K143" s="238" t="inlineStr">
        <is>
          <t>Pending</t>
        </is>
      </c>
    </row>
    <row r="144">
      <c r="A144" s="234" t="n">
        <v>140</v>
      </c>
      <c r="B144" s="235">
        <f>MASTER_AR_REPORT!E285</f>
        <v/>
      </c>
      <c r="C144" s="235">
        <f>MASTER_AR_REPORT!D285</f>
        <v/>
      </c>
      <c r="D144" s="236">
        <f>MASTER_AR_REPORT!C285</f>
        <v/>
      </c>
      <c r="E144" s="236">
        <f>MASTER_AR_REPORT!G285</f>
        <v/>
      </c>
      <c r="F144" s="237">
        <f>MASTER_AR_REPORT!I285</f>
        <v/>
      </c>
      <c r="G144" s="234">
        <f>MASTER_AR_REPORT!J285</f>
        <v/>
      </c>
      <c r="H144" s="235">
        <f>MASTER_AR_REPORT!K285</f>
        <v/>
      </c>
      <c r="I144" s="235">
        <f>MASTER_AR_REPORT!L285</f>
        <v/>
      </c>
      <c r="J144" s="235">
        <f>MASTER_AR_REPORT!M285</f>
        <v/>
      </c>
      <c r="K144" s="234" t="inlineStr">
        <is>
          <t>Pending</t>
        </is>
      </c>
    </row>
    <row r="145">
      <c r="A145" s="238" t="n">
        <v>141</v>
      </c>
      <c r="B145" s="239">
        <f>MASTER_AR_REPORT!E286</f>
        <v/>
      </c>
      <c r="C145" s="239">
        <f>MASTER_AR_REPORT!D286</f>
        <v/>
      </c>
      <c r="D145" s="240">
        <f>MASTER_AR_REPORT!C286</f>
        <v/>
      </c>
      <c r="E145" s="240">
        <f>MASTER_AR_REPORT!G286</f>
        <v/>
      </c>
      <c r="F145" s="241">
        <f>MASTER_AR_REPORT!I286</f>
        <v/>
      </c>
      <c r="G145" s="238">
        <f>MASTER_AR_REPORT!J286</f>
        <v/>
      </c>
      <c r="H145" s="239">
        <f>MASTER_AR_REPORT!K286</f>
        <v/>
      </c>
      <c r="I145" s="239">
        <f>MASTER_AR_REPORT!L286</f>
        <v/>
      </c>
      <c r="J145" s="239">
        <f>MASTER_AR_REPORT!M286</f>
        <v/>
      </c>
      <c r="K145" s="238" t="inlineStr">
        <is>
          <t>Pending</t>
        </is>
      </c>
    </row>
    <row r="146">
      <c r="A146" s="230" t="n">
        <v>142</v>
      </c>
      <c r="B146" s="231">
        <f>MASTER_AR_REPORT!E287</f>
        <v/>
      </c>
      <c r="C146" s="231">
        <f>MASTER_AR_REPORT!D287</f>
        <v/>
      </c>
      <c r="D146" s="232">
        <f>MASTER_AR_REPORT!C287</f>
        <v/>
      </c>
      <c r="E146" s="232">
        <f>MASTER_AR_REPORT!G287</f>
        <v/>
      </c>
      <c r="F146" s="233">
        <f>MASTER_AR_REPORT!I287</f>
        <v/>
      </c>
      <c r="G146" s="230">
        <f>MASTER_AR_REPORT!J287</f>
        <v/>
      </c>
      <c r="H146" s="231">
        <f>MASTER_AR_REPORT!K287</f>
        <v/>
      </c>
      <c r="I146" s="231">
        <f>MASTER_AR_REPORT!L287</f>
        <v/>
      </c>
      <c r="J146" s="231">
        <f>MASTER_AR_REPORT!M287</f>
        <v/>
      </c>
      <c r="K146" s="230" t="inlineStr">
        <is>
          <t>Pending</t>
        </is>
      </c>
    </row>
    <row r="147">
      <c r="A147" s="226" t="n">
        <v>143</v>
      </c>
      <c r="B147" s="227">
        <f>MASTER_AR_REPORT!E289</f>
        <v/>
      </c>
      <c r="C147" s="227">
        <f>MASTER_AR_REPORT!D289</f>
        <v/>
      </c>
      <c r="D147" s="228">
        <f>MASTER_AR_REPORT!C289</f>
        <v/>
      </c>
      <c r="E147" s="228">
        <f>MASTER_AR_REPORT!G289</f>
        <v/>
      </c>
      <c r="F147" s="229">
        <f>MASTER_AR_REPORT!I289</f>
        <v/>
      </c>
      <c r="G147" s="226">
        <f>MASTER_AR_REPORT!J289</f>
        <v/>
      </c>
      <c r="H147" s="227">
        <f>MASTER_AR_REPORT!K289</f>
        <v/>
      </c>
      <c r="I147" s="227">
        <f>MASTER_AR_REPORT!L289</f>
        <v/>
      </c>
      <c r="J147" s="227">
        <f>MASTER_AR_REPORT!M289</f>
        <v/>
      </c>
      <c r="K147" s="226" t="inlineStr">
        <is>
          <t>Pending</t>
        </is>
      </c>
    </row>
    <row r="148">
      <c r="A148" s="234" t="n">
        <v>144</v>
      </c>
      <c r="B148" s="235">
        <f>MASTER_AR_REPORT!E290</f>
        <v/>
      </c>
      <c r="C148" s="235">
        <f>MASTER_AR_REPORT!D290</f>
        <v/>
      </c>
      <c r="D148" s="236">
        <f>MASTER_AR_REPORT!C290</f>
        <v/>
      </c>
      <c r="E148" s="236">
        <f>MASTER_AR_REPORT!G290</f>
        <v/>
      </c>
      <c r="F148" s="237">
        <f>MASTER_AR_REPORT!I290</f>
        <v/>
      </c>
      <c r="G148" s="234">
        <f>MASTER_AR_REPORT!J290</f>
        <v/>
      </c>
      <c r="H148" s="235">
        <f>MASTER_AR_REPORT!K290</f>
        <v/>
      </c>
      <c r="I148" s="235">
        <f>MASTER_AR_REPORT!L290</f>
        <v/>
      </c>
      <c r="J148" s="235">
        <f>MASTER_AR_REPORT!M290</f>
        <v/>
      </c>
      <c r="K148" s="234" t="inlineStr">
        <is>
          <t>Pending</t>
        </is>
      </c>
    </row>
    <row r="149">
      <c r="A149" s="238" t="n">
        <v>145</v>
      </c>
      <c r="B149" s="239">
        <f>MASTER_AR_REPORT!E291</f>
        <v/>
      </c>
      <c r="C149" s="239">
        <f>MASTER_AR_REPORT!D291</f>
        <v/>
      </c>
      <c r="D149" s="240">
        <f>MASTER_AR_REPORT!C291</f>
        <v/>
      </c>
      <c r="E149" s="240">
        <f>MASTER_AR_REPORT!G291</f>
        <v/>
      </c>
      <c r="F149" s="241">
        <f>MASTER_AR_REPORT!I291</f>
        <v/>
      </c>
      <c r="G149" s="238">
        <f>MASTER_AR_REPORT!J291</f>
        <v/>
      </c>
      <c r="H149" s="239">
        <f>MASTER_AR_REPORT!K291</f>
        <v/>
      </c>
      <c r="I149" s="239">
        <f>MASTER_AR_REPORT!L291</f>
        <v/>
      </c>
      <c r="J149" s="239">
        <f>MASTER_AR_REPORT!M291</f>
        <v/>
      </c>
      <c r="K149" s="238" t="inlineStr">
        <is>
          <t>Pending</t>
        </is>
      </c>
    </row>
    <row r="150">
      <c r="A150" s="234" t="n">
        <v>146</v>
      </c>
      <c r="B150" s="235">
        <f>MASTER_AR_REPORT!E293</f>
        <v/>
      </c>
      <c r="C150" s="235">
        <f>MASTER_AR_REPORT!D293</f>
        <v/>
      </c>
      <c r="D150" s="236">
        <f>MASTER_AR_REPORT!C293</f>
        <v/>
      </c>
      <c r="E150" s="236">
        <f>MASTER_AR_REPORT!G293</f>
        <v/>
      </c>
      <c r="F150" s="237">
        <f>MASTER_AR_REPORT!I293</f>
        <v/>
      </c>
      <c r="G150" s="234">
        <f>MASTER_AR_REPORT!J293</f>
        <v/>
      </c>
      <c r="H150" s="235">
        <f>MASTER_AR_REPORT!K293</f>
        <v/>
      </c>
      <c r="I150" s="235">
        <f>MASTER_AR_REPORT!L293</f>
        <v/>
      </c>
      <c r="J150" s="235">
        <f>MASTER_AR_REPORT!M293</f>
        <v/>
      </c>
      <c r="K150" s="234" t="inlineStr">
        <is>
          <t>Pending</t>
        </is>
      </c>
    </row>
    <row r="151">
      <c r="A151" s="238" t="n">
        <v>147</v>
      </c>
      <c r="B151" s="239">
        <f>MASTER_AR_REPORT!E296</f>
        <v/>
      </c>
      <c r="C151" s="239">
        <f>MASTER_AR_REPORT!D296</f>
        <v/>
      </c>
      <c r="D151" s="240">
        <f>MASTER_AR_REPORT!C296</f>
        <v/>
      </c>
      <c r="E151" s="240">
        <f>MASTER_AR_REPORT!G296</f>
        <v/>
      </c>
      <c r="F151" s="241">
        <f>MASTER_AR_REPORT!I296</f>
        <v/>
      </c>
      <c r="G151" s="238">
        <f>MASTER_AR_REPORT!J296</f>
        <v/>
      </c>
      <c r="H151" s="239">
        <f>MASTER_AR_REPORT!K296</f>
        <v/>
      </c>
      <c r="I151" s="239">
        <f>MASTER_AR_REPORT!L296</f>
        <v/>
      </c>
      <c r="J151" s="239">
        <f>MASTER_AR_REPORT!M296</f>
        <v/>
      </c>
      <c r="K151" s="238" t="inlineStr">
        <is>
          <t>Pending</t>
        </is>
      </c>
    </row>
    <row r="152">
      <c r="A152" s="234" t="n">
        <v>148</v>
      </c>
      <c r="B152" s="235">
        <f>MASTER_AR_REPORT!E297</f>
        <v/>
      </c>
      <c r="C152" s="235">
        <f>MASTER_AR_REPORT!D297</f>
        <v/>
      </c>
      <c r="D152" s="236">
        <f>MASTER_AR_REPORT!C297</f>
        <v/>
      </c>
      <c r="E152" s="236">
        <f>MASTER_AR_REPORT!G297</f>
        <v/>
      </c>
      <c r="F152" s="237">
        <f>MASTER_AR_REPORT!I297</f>
        <v/>
      </c>
      <c r="G152" s="234">
        <f>MASTER_AR_REPORT!J297</f>
        <v/>
      </c>
      <c r="H152" s="235">
        <f>MASTER_AR_REPORT!K297</f>
        <v/>
      </c>
      <c r="I152" s="235">
        <f>MASTER_AR_REPORT!L297</f>
        <v/>
      </c>
      <c r="J152" s="235">
        <f>MASTER_AR_REPORT!M297</f>
        <v/>
      </c>
      <c r="K152" s="234" t="inlineStr">
        <is>
          <t>Pending</t>
        </is>
      </c>
    </row>
    <row r="153">
      <c r="A153" s="238" t="n">
        <v>149</v>
      </c>
      <c r="B153" s="239">
        <f>MASTER_AR_REPORT!E298</f>
        <v/>
      </c>
      <c r="C153" s="239">
        <f>MASTER_AR_REPORT!D298</f>
        <v/>
      </c>
      <c r="D153" s="240">
        <f>MASTER_AR_REPORT!C298</f>
        <v/>
      </c>
      <c r="E153" s="240">
        <f>MASTER_AR_REPORT!G298</f>
        <v/>
      </c>
      <c r="F153" s="241">
        <f>MASTER_AR_REPORT!I298</f>
        <v/>
      </c>
      <c r="G153" s="238">
        <f>MASTER_AR_REPORT!J298</f>
        <v/>
      </c>
      <c r="H153" s="239">
        <f>MASTER_AR_REPORT!K298</f>
        <v/>
      </c>
      <c r="I153" s="239">
        <f>MASTER_AR_REPORT!L298</f>
        <v/>
      </c>
      <c r="J153" s="239">
        <f>MASTER_AR_REPORT!M298</f>
        <v/>
      </c>
      <c r="K153" s="238" t="inlineStr">
        <is>
          <t>Pending</t>
        </is>
      </c>
    </row>
    <row r="154">
      <c r="A154" s="230" t="n">
        <v>150</v>
      </c>
      <c r="B154" s="231">
        <f>MASTER_AR_REPORT!E299</f>
        <v/>
      </c>
      <c r="C154" s="231">
        <f>MASTER_AR_REPORT!D299</f>
        <v/>
      </c>
      <c r="D154" s="232">
        <f>MASTER_AR_REPORT!C299</f>
        <v/>
      </c>
      <c r="E154" s="232">
        <f>MASTER_AR_REPORT!G299</f>
        <v/>
      </c>
      <c r="F154" s="233">
        <f>MASTER_AR_REPORT!I299</f>
        <v/>
      </c>
      <c r="G154" s="230">
        <f>MASTER_AR_REPORT!J299</f>
        <v/>
      </c>
      <c r="H154" s="231">
        <f>MASTER_AR_REPORT!K299</f>
        <v/>
      </c>
      <c r="I154" s="231">
        <f>MASTER_AR_REPORT!L299</f>
        <v/>
      </c>
      <c r="J154" s="231">
        <f>MASTER_AR_REPORT!M299</f>
        <v/>
      </c>
      <c r="K154" s="230" t="inlineStr">
        <is>
          <t>Pending</t>
        </is>
      </c>
    </row>
    <row r="155">
      <c r="A155" s="238" t="n">
        <v>151</v>
      </c>
      <c r="B155" s="239">
        <f>MASTER_AR_REPORT!E301</f>
        <v/>
      </c>
      <c r="C155" s="239">
        <f>MASTER_AR_REPORT!D301</f>
        <v/>
      </c>
      <c r="D155" s="240">
        <f>MASTER_AR_REPORT!C301</f>
        <v/>
      </c>
      <c r="E155" s="240">
        <f>MASTER_AR_REPORT!G301</f>
        <v/>
      </c>
      <c r="F155" s="241">
        <f>MASTER_AR_REPORT!I301</f>
        <v/>
      </c>
      <c r="G155" s="238">
        <f>MASTER_AR_REPORT!J301</f>
        <v/>
      </c>
      <c r="H155" s="239">
        <f>MASTER_AR_REPORT!K301</f>
        <v/>
      </c>
      <c r="I155" s="239">
        <f>MASTER_AR_REPORT!L301</f>
        <v/>
      </c>
      <c r="J155" s="239">
        <f>MASTER_AR_REPORT!M301</f>
        <v/>
      </c>
      <c r="K155" s="238" t="inlineStr">
        <is>
          <t>Pending</t>
        </is>
      </c>
    </row>
    <row r="156">
      <c r="A156" s="234" t="n">
        <v>152</v>
      </c>
      <c r="B156" s="235">
        <f>MASTER_AR_REPORT!E302</f>
        <v/>
      </c>
      <c r="C156" s="235">
        <f>MASTER_AR_REPORT!D302</f>
        <v/>
      </c>
      <c r="D156" s="236">
        <f>MASTER_AR_REPORT!C302</f>
        <v/>
      </c>
      <c r="E156" s="236">
        <f>MASTER_AR_REPORT!G302</f>
        <v/>
      </c>
      <c r="F156" s="237">
        <f>MASTER_AR_REPORT!I302</f>
        <v/>
      </c>
      <c r="G156" s="234">
        <f>MASTER_AR_REPORT!J302</f>
        <v/>
      </c>
      <c r="H156" s="235">
        <f>MASTER_AR_REPORT!K302</f>
        <v/>
      </c>
      <c r="I156" s="235">
        <f>MASTER_AR_REPORT!L302</f>
        <v/>
      </c>
      <c r="J156" s="235">
        <f>MASTER_AR_REPORT!M302</f>
        <v/>
      </c>
      <c r="K156" s="234" t="inlineStr">
        <is>
          <t>Pending</t>
        </is>
      </c>
    </row>
    <row r="157">
      <c r="A157" s="238" t="n">
        <v>153</v>
      </c>
      <c r="B157" s="239">
        <f>MASTER_AR_REPORT!E303</f>
        <v/>
      </c>
      <c r="C157" s="239">
        <f>MASTER_AR_REPORT!D303</f>
        <v/>
      </c>
      <c r="D157" s="240">
        <f>MASTER_AR_REPORT!C303</f>
        <v/>
      </c>
      <c r="E157" s="240">
        <f>MASTER_AR_REPORT!G303</f>
        <v/>
      </c>
      <c r="F157" s="241">
        <f>MASTER_AR_REPORT!I303</f>
        <v/>
      </c>
      <c r="G157" s="238">
        <f>MASTER_AR_REPORT!J303</f>
        <v/>
      </c>
      <c r="H157" s="239">
        <f>MASTER_AR_REPORT!K303</f>
        <v/>
      </c>
      <c r="I157" s="239">
        <f>MASTER_AR_REPORT!L303</f>
        <v/>
      </c>
      <c r="J157" s="239">
        <f>MASTER_AR_REPORT!M303</f>
        <v/>
      </c>
      <c r="K157" s="238" t="inlineStr">
        <is>
          <t>Pending</t>
        </is>
      </c>
    </row>
    <row r="158">
      <c r="A158" s="234" t="n">
        <v>154</v>
      </c>
      <c r="B158" s="235">
        <f>MASTER_AR_REPORT!E304</f>
        <v/>
      </c>
      <c r="C158" s="235">
        <f>MASTER_AR_REPORT!D304</f>
        <v/>
      </c>
      <c r="D158" s="236">
        <f>MASTER_AR_REPORT!C304</f>
        <v/>
      </c>
      <c r="E158" s="236">
        <f>MASTER_AR_REPORT!G304</f>
        <v/>
      </c>
      <c r="F158" s="237">
        <f>MASTER_AR_REPORT!I304</f>
        <v/>
      </c>
      <c r="G158" s="234">
        <f>MASTER_AR_REPORT!J304</f>
        <v/>
      </c>
      <c r="H158" s="235">
        <f>MASTER_AR_REPORT!K304</f>
        <v/>
      </c>
      <c r="I158" s="235">
        <f>MASTER_AR_REPORT!L304</f>
        <v/>
      </c>
      <c r="J158" s="235">
        <f>MASTER_AR_REPORT!M304</f>
        <v/>
      </c>
      <c r="K158" s="234" t="inlineStr">
        <is>
          <t>Pending</t>
        </is>
      </c>
    </row>
    <row r="159">
      <c r="A159" s="238" t="n">
        <v>155</v>
      </c>
      <c r="B159" s="239">
        <f>MASTER_AR_REPORT!E305</f>
        <v/>
      </c>
      <c r="C159" s="239">
        <f>MASTER_AR_REPORT!D305</f>
        <v/>
      </c>
      <c r="D159" s="240">
        <f>MASTER_AR_REPORT!C305</f>
        <v/>
      </c>
      <c r="E159" s="240">
        <f>MASTER_AR_REPORT!G305</f>
        <v/>
      </c>
      <c r="F159" s="241">
        <f>MASTER_AR_REPORT!I305</f>
        <v/>
      </c>
      <c r="G159" s="238">
        <f>MASTER_AR_REPORT!J305</f>
        <v/>
      </c>
      <c r="H159" s="239">
        <f>MASTER_AR_REPORT!K305</f>
        <v/>
      </c>
      <c r="I159" s="239">
        <f>MASTER_AR_REPORT!L305</f>
        <v/>
      </c>
      <c r="J159" s="239">
        <f>MASTER_AR_REPORT!M305</f>
        <v/>
      </c>
      <c r="K159" s="238" t="inlineStr">
        <is>
          <t>Pending</t>
        </is>
      </c>
    </row>
    <row r="160">
      <c r="A160" s="234" t="n">
        <v>156</v>
      </c>
      <c r="B160" s="235">
        <f>MASTER_AR_REPORT!E306</f>
        <v/>
      </c>
      <c r="C160" s="235">
        <f>MASTER_AR_REPORT!D306</f>
        <v/>
      </c>
      <c r="D160" s="236">
        <f>MASTER_AR_REPORT!C306</f>
        <v/>
      </c>
      <c r="E160" s="236">
        <f>MASTER_AR_REPORT!G306</f>
        <v/>
      </c>
      <c r="F160" s="237">
        <f>MASTER_AR_REPORT!I306</f>
        <v/>
      </c>
      <c r="G160" s="234">
        <f>MASTER_AR_REPORT!J306</f>
        <v/>
      </c>
      <c r="H160" s="235">
        <f>MASTER_AR_REPORT!K306</f>
        <v/>
      </c>
      <c r="I160" s="235">
        <f>MASTER_AR_REPORT!L306</f>
        <v/>
      </c>
      <c r="J160" s="235">
        <f>MASTER_AR_REPORT!M306</f>
        <v/>
      </c>
      <c r="K160" s="234" t="inlineStr">
        <is>
          <t>Pending</t>
        </is>
      </c>
    </row>
    <row r="161">
      <c r="A161" s="226" t="n">
        <v>157</v>
      </c>
      <c r="B161" s="227">
        <f>MASTER_AR_REPORT!E307</f>
        <v/>
      </c>
      <c r="C161" s="227">
        <f>MASTER_AR_REPORT!D307</f>
        <v/>
      </c>
      <c r="D161" s="228">
        <f>MASTER_AR_REPORT!C307</f>
        <v/>
      </c>
      <c r="E161" s="228">
        <f>MASTER_AR_REPORT!G307</f>
        <v/>
      </c>
      <c r="F161" s="229">
        <f>MASTER_AR_REPORT!I307</f>
        <v/>
      </c>
      <c r="G161" s="226">
        <f>MASTER_AR_REPORT!J307</f>
        <v/>
      </c>
      <c r="H161" s="227">
        <f>MASTER_AR_REPORT!K307</f>
        <v/>
      </c>
      <c r="I161" s="227">
        <f>MASTER_AR_REPORT!L307</f>
        <v/>
      </c>
      <c r="J161" s="227">
        <f>MASTER_AR_REPORT!M307</f>
        <v/>
      </c>
      <c r="K161" s="226" t="inlineStr">
        <is>
          <t>Pending</t>
        </is>
      </c>
    </row>
    <row r="162">
      <c r="A162" s="230" t="n">
        <v>158</v>
      </c>
      <c r="B162" s="231">
        <f>MASTER_AR_REPORT!E309</f>
        <v/>
      </c>
      <c r="C162" s="231">
        <f>MASTER_AR_REPORT!D309</f>
        <v/>
      </c>
      <c r="D162" s="232">
        <f>MASTER_AR_REPORT!C309</f>
        <v/>
      </c>
      <c r="E162" s="232">
        <f>MASTER_AR_REPORT!G309</f>
        <v/>
      </c>
      <c r="F162" s="233">
        <f>MASTER_AR_REPORT!I309</f>
        <v/>
      </c>
      <c r="G162" s="230">
        <f>MASTER_AR_REPORT!J309</f>
        <v/>
      </c>
      <c r="H162" s="231">
        <f>MASTER_AR_REPORT!K309</f>
        <v/>
      </c>
      <c r="I162" s="231">
        <f>MASTER_AR_REPORT!L309</f>
        <v/>
      </c>
      <c r="J162" s="231">
        <f>MASTER_AR_REPORT!M309</f>
        <v/>
      </c>
      <c r="K162" s="230" t="inlineStr">
        <is>
          <t>Pending</t>
        </is>
      </c>
    </row>
    <row r="163">
      <c r="A163" s="238" t="n">
        <v>159</v>
      </c>
      <c r="B163" s="239">
        <f>MASTER_AR_REPORT!E311</f>
        <v/>
      </c>
      <c r="C163" s="239">
        <f>MASTER_AR_REPORT!D311</f>
        <v/>
      </c>
      <c r="D163" s="240">
        <f>MASTER_AR_REPORT!C311</f>
        <v/>
      </c>
      <c r="E163" s="240">
        <f>MASTER_AR_REPORT!G311</f>
        <v/>
      </c>
      <c r="F163" s="241">
        <f>MASTER_AR_REPORT!I311</f>
        <v/>
      </c>
      <c r="G163" s="238">
        <f>MASTER_AR_REPORT!J311</f>
        <v/>
      </c>
      <c r="H163" s="239">
        <f>MASTER_AR_REPORT!K311</f>
        <v/>
      </c>
      <c r="I163" s="239">
        <f>MASTER_AR_REPORT!L311</f>
        <v/>
      </c>
      <c r="J163" s="239">
        <f>MASTER_AR_REPORT!M311</f>
        <v/>
      </c>
      <c r="K163" s="238" t="inlineStr">
        <is>
          <t>Pending</t>
        </is>
      </c>
    </row>
    <row r="164">
      <c r="A164" s="234" t="n">
        <v>160</v>
      </c>
      <c r="B164" s="235">
        <f>MASTER_AR_REPORT!E312</f>
        <v/>
      </c>
      <c r="C164" s="235">
        <f>MASTER_AR_REPORT!D312</f>
        <v/>
      </c>
      <c r="D164" s="236">
        <f>MASTER_AR_REPORT!C312</f>
        <v/>
      </c>
      <c r="E164" s="236">
        <f>MASTER_AR_REPORT!G312</f>
        <v/>
      </c>
      <c r="F164" s="237">
        <f>MASTER_AR_REPORT!I312</f>
        <v/>
      </c>
      <c r="G164" s="234">
        <f>MASTER_AR_REPORT!J312</f>
        <v/>
      </c>
      <c r="H164" s="235">
        <f>MASTER_AR_REPORT!K312</f>
        <v/>
      </c>
      <c r="I164" s="235">
        <f>MASTER_AR_REPORT!L312</f>
        <v/>
      </c>
      <c r="J164" s="235">
        <f>MASTER_AR_REPORT!M312</f>
        <v/>
      </c>
      <c r="K164" s="234" t="inlineStr">
        <is>
          <t>Pending</t>
        </is>
      </c>
    </row>
    <row r="165">
      <c r="A165" s="226" t="n">
        <v>161</v>
      </c>
      <c r="B165" s="227">
        <f>MASTER_AR_REPORT!E314</f>
        <v/>
      </c>
      <c r="C165" s="227">
        <f>MASTER_AR_REPORT!D314</f>
        <v/>
      </c>
      <c r="D165" s="228">
        <f>MASTER_AR_REPORT!C314</f>
        <v/>
      </c>
      <c r="E165" s="228">
        <f>MASTER_AR_REPORT!G314</f>
        <v/>
      </c>
      <c r="F165" s="229">
        <f>MASTER_AR_REPORT!I314</f>
        <v/>
      </c>
      <c r="G165" s="226">
        <f>MASTER_AR_REPORT!J314</f>
        <v/>
      </c>
      <c r="H165" s="227">
        <f>MASTER_AR_REPORT!K314</f>
        <v/>
      </c>
      <c r="I165" s="227">
        <f>MASTER_AR_REPORT!L314</f>
        <v/>
      </c>
      <c r="J165" s="227">
        <f>MASTER_AR_REPORT!M314</f>
        <v/>
      </c>
      <c r="K165" s="226" t="inlineStr">
        <is>
          <t>Pending</t>
        </is>
      </c>
    </row>
    <row r="166">
      <c r="A166" s="234" t="n">
        <v>162</v>
      </c>
      <c r="B166" s="235">
        <f>MASTER_AR_REPORT!E325</f>
        <v/>
      </c>
      <c r="C166" s="235">
        <f>MASTER_AR_REPORT!D325</f>
        <v/>
      </c>
      <c r="D166" s="236">
        <f>MASTER_AR_REPORT!C325</f>
        <v/>
      </c>
      <c r="E166" s="236">
        <f>MASTER_AR_REPORT!G325</f>
        <v/>
      </c>
      <c r="F166" s="237">
        <f>MASTER_AR_REPORT!I325</f>
        <v/>
      </c>
      <c r="G166" s="234">
        <f>MASTER_AR_REPORT!J325</f>
        <v/>
      </c>
      <c r="H166" s="235">
        <f>MASTER_AR_REPORT!K325</f>
        <v/>
      </c>
      <c r="I166" s="235">
        <f>MASTER_AR_REPORT!L325</f>
        <v/>
      </c>
      <c r="J166" s="235">
        <f>MASTER_AR_REPORT!M325</f>
        <v/>
      </c>
      <c r="K166" s="234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"/>
  <sheetViews>
    <sheetView topLeftCell="C1" workbookViewId="0">
      <pane ySplit="4" topLeftCell="A5" activePane="bottomLeft" state="frozen"/>
      <selection pane="bottomLeft" activeCell="J71" sqref="J71"/>
    </sheetView>
  </sheetViews>
  <sheetFormatPr baseColWidth="8" defaultRowHeight="14.4"/>
  <cols>
    <col width="6" customWidth="1" style="243" min="1" max="1"/>
    <col width="14" customWidth="1" style="243" min="2" max="3"/>
    <col width="20" customWidth="1" style="243" min="4" max="4"/>
    <col width="33.109375" bestFit="1" customWidth="1" style="243" min="5" max="5"/>
    <col width="14" customWidth="1" style="243" min="6" max="8"/>
    <col width="16" customWidth="1" style="243" min="9" max="9"/>
    <col width="14" customWidth="1" style="243" min="10" max="10"/>
    <col width="16" customWidth="1" style="243" min="11" max="11"/>
    <col width="14" customWidth="1" style="243" min="12" max="12"/>
    <col width="18" customWidth="1" style="243" min="13" max="13"/>
    <col width="12" customWidth="1" style="243" min="14" max="14"/>
    <col width="30" customWidth="1" style="243" min="15" max="15"/>
  </cols>
  <sheetData>
    <row r="1" ht="36" customHeight="1" s="243">
      <c r="A1" s="242" t="inlineStr">
        <is>
          <t>AR Aging Report - Watches</t>
        </is>
      </c>
    </row>
    <row r="2" ht="22.2" customHeight="1" s="243">
      <c r="A2" s="244" t="inlineStr">
        <is>
          <t>Report Date: 21-May-2026</t>
        </is>
      </c>
    </row>
    <row r="3" ht="6" customHeight="1" s="243"/>
    <row r="4" ht="30" customHeight="1" s="243">
      <c r="A4" s="105" t="inlineStr">
        <is>
          <t>S.No</t>
        </is>
      </c>
      <c r="B4" s="105" t="inlineStr">
        <is>
          <t>Source Sheet</t>
        </is>
      </c>
      <c r="C4" s="105" t="inlineStr">
        <is>
          <t>Date</t>
        </is>
      </c>
      <c r="D4" s="105" t="inlineStr">
        <is>
          <t>Invoice No</t>
        </is>
      </c>
      <c r="E4" s="105" t="inlineStr">
        <is>
          <t>Customer Name</t>
        </is>
      </c>
      <c r="F4" s="105" t="inlineStr">
        <is>
          <t>Invoice Amount</t>
        </is>
      </c>
      <c r="G4" s="105" t="inlineStr">
        <is>
          <t>Due Date</t>
        </is>
      </c>
      <c r="H4" s="105" t="inlineStr">
        <is>
          <t>Paid Amount</t>
        </is>
      </c>
      <c r="I4" s="105" t="inlineStr">
        <is>
          <t>Outstanding Amount</t>
        </is>
      </c>
      <c r="J4" s="105" t="inlineStr">
        <is>
          <t>Days Overdue</t>
        </is>
      </c>
      <c r="K4" s="105" t="inlineStr">
        <is>
          <t>Aging Bucket</t>
        </is>
      </c>
      <c r="L4" s="105" t="inlineStr">
        <is>
          <t>Risk Level</t>
        </is>
      </c>
      <c r="M4" s="105" t="inlineStr">
        <is>
          <t>Follow-up Priority</t>
        </is>
      </c>
      <c r="N4" s="105" t="inlineStr">
        <is>
          <t>Call Status</t>
        </is>
      </c>
      <c r="O4" s="105" t="inlineStr">
        <is>
          <t>Last Follow-up Notes</t>
        </is>
      </c>
    </row>
    <row r="5">
      <c r="A5" s="1" t="n">
        <v>1</v>
      </c>
      <c r="B5" s="1">
        <f>IF(MASTER_AR_REPORT!B2="","",MASTER_AR_REPORT!B2)</f>
        <v/>
      </c>
      <c r="C5" s="9">
        <f>MASTER_AR_REPORT!C2</f>
        <v/>
      </c>
      <c r="D5" s="1">
        <f>IF(MASTER_AR_REPORT!D2="","",MASTER_AR_REPORT!D2)</f>
        <v/>
      </c>
      <c r="E5" s="1">
        <f>IF(MASTER_AR_REPORT!E2="","",MASTER_AR_REPORT!E2)</f>
        <v/>
      </c>
      <c r="F5" s="2">
        <f>MASTER_AR_REPORT!F2</f>
        <v/>
      </c>
      <c r="G5" s="9">
        <f>MASTER_AR_REPORT!G2</f>
        <v/>
      </c>
      <c r="H5" s="2">
        <f>MASTER_AR_REPORT!H2</f>
        <v/>
      </c>
      <c r="I5" s="2">
        <f>MASTER_AR_REPORT!I2</f>
        <v/>
      </c>
      <c r="J5" s="1">
        <f>MASTER_AR_REPORT!J2</f>
        <v/>
      </c>
      <c r="K5" s="1">
        <f>MASTER_AR_REPORT!K2</f>
        <v/>
      </c>
      <c r="L5" s="1">
        <f>MASTER_AR_REPORT!L2</f>
        <v/>
      </c>
      <c r="M5" s="1">
        <f>MASTER_AR_REPORT!M2</f>
        <v/>
      </c>
      <c r="N5" s="1">
        <f>MASTER_AR_REPORT!N2</f>
        <v/>
      </c>
      <c r="O5" s="1">
        <f>MASTER_AR_REPORT!O2</f>
        <v/>
      </c>
    </row>
    <row r="6">
      <c r="A6" s="3" t="n">
        <v>2</v>
      </c>
      <c r="B6" s="3">
        <f>IF(MASTER_AR_REPORT!B3="","",MASTER_AR_REPORT!B3)</f>
        <v/>
      </c>
      <c r="C6" s="8">
        <f>MASTER_AR_REPORT!C3</f>
        <v/>
      </c>
      <c r="D6" s="3">
        <f>IF(MASTER_AR_REPORT!D3="","",MASTER_AR_REPORT!D3)</f>
        <v/>
      </c>
      <c r="E6" s="3">
        <f>IF(MASTER_AR_REPORT!E3="","",MASTER_AR_REPORT!E3)</f>
        <v/>
      </c>
      <c r="F6" s="4">
        <f>MASTER_AR_REPORT!F3</f>
        <v/>
      </c>
      <c r="G6" s="8">
        <f>MASTER_AR_REPORT!G3</f>
        <v/>
      </c>
      <c r="H6" s="4">
        <f>MASTER_AR_REPORT!H3</f>
        <v/>
      </c>
      <c r="I6" s="4">
        <f>MASTER_AR_REPORT!I3</f>
        <v/>
      </c>
      <c r="J6" s="3">
        <f>MASTER_AR_REPORT!J3</f>
        <v/>
      </c>
      <c r="K6" s="3">
        <f>MASTER_AR_REPORT!K3</f>
        <v/>
      </c>
      <c r="L6" s="3">
        <f>MASTER_AR_REPORT!L3</f>
        <v/>
      </c>
      <c r="M6" s="3">
        <f>MASTER_AR_REPORT!M3</f>
        <v/>
      </c>
      <c r="N6" s="3">
        <f>MASTER_AR_REPORT!N3</f>
        <v/>
      </c>
      <c r="O6" s="3">
        <f>MASTER_AR_REPORT!O3</f>
        <v/>
      </c>
    </row>
    <row r="7">
      <c r="A7" s="1" t="n">
        <v>3</v>
      </c>
      <c r="B7" s="1">
        <f>IF(MASTER_AR_REPORT!B4="","",MASTER_AR_REPORT!B4)</f>
        <v/>
      </c>
      <c r="C7" s="9">
        <f>MASTER_AR_REPORT!C4</f>
        <v/>
      </c>
      <c r="D7" s="1">
        <f>IF(MASTER_AR_REPORT!D4="","",MASTER_AR_REPORT!D4)</f>
        <v/>
      </c>
      <c r="E7" s="1">
        <f>IF(MASTER_AR_REPORT!E4="","",MASTER_AR_REPORT!E4)</f>
        <v/>
      </c>
      <c r="F7" s="2">
        <f>MASTER_AR_REPORT!F4</f>
        <v/>
      </c>
      <c r="G7" s="9">
        <f>MASTER_AR_REPORT!G4</f>
        <v/>
      </c>
      <c r="H7" s="2">
        <f>MASTER_AR_REPORT!H4</f>
        <v/>
      </c>
      <c r="I7" s="2">
        <f>MASTER_AR_REPORT!I4</f>
        <v/>
      </c>
      <c r="J7" s="1">
        <f>MASTER_AR_REPORT!J4</f>
        <v/>
      </c>
      <c r="K7" s="1">
        <f>MASTER_AR_REPORT!K4</f>
        <v/>
      </c>
      <c r="L7" s="1">
        <f>MASTER_AR_REPORT!L4</f>
        <v/>
      </c>
      <c r="M7" s="1">
        <f>MASTER_AR_REPORT!M4</f>
        <v/>
      </c>
      <c r="N7" s="1">
        <f>MASTER_AR_REPORT!N4</f>
        <v/>
      </c>
      <c r="O7" s="1">
        <f>MASTER_AR_REPORT!O4</f>
        <v/>
      </c>
    </row>
    <row r="8">
      <c r="A8" s="3" t="n">
        <v>4</v>
      </c>
      <c r="B8" s="3">
        <f>IF(MASTER_AR_REPORT!B5="","",MASTER_AR_REPORT!B5)</f>
        <v/>
      </c>
      <c r="C8" s="8">
        <f>MASTER_AR_REPORT!C5</f>
        <v/>
      </c>
      <c r="D8" s="3">
        <f>IF(MASTER_AR_REPORT!D5="","",MASTER_AR_REPORT!D5)</f>
        <v/>
      </c>
      <c r="E8" s="3">
        <f>IF(MASTER_AR_REPORT!E5="","",MASTER_AR_REPORT!E5)</f>
        <v/>
      </c>
      <c r="F8" s="4">
        <f>MASTER_AR_REPORT!F5</f>
        <v/>
      </c>
      <c r="G8" s="8">
        <f>MASTER_AR_REPORT!G5</f>
        <v/>
      </c>
      <c r="H8" s="4">
        <f>MASTER_AR_REPORT!H5</f>
        <v/>
      </c>
      <c r="I8" s="4">
        <f>MASTER_AR_REPORT!I5</f>
        <v/>
      </c>
      <c r="J8" s="3">
        <f>MASTER_AR_REPORT!J5</f>
        <v/>
      </c>
      <c r="K8" s="3">
        <f>MASTER_AR_REPORT!K5</f>
        <v/>
      </c>
      <c r="L8" s="3">
        <f>MASTER_AR_REPORT!L5</f>
        <v/>
      </c>
      <c r="M8" s="3">
        <f>MASTER_AR_REPORT!M5</f>
        <v/>
      </c>
      <c r="N8" s="3">
        <f>MASTER_AR_REPORT!N5</f>
        <v/>
      </c>
      <c r="O8" s="3">
        <f>MASTER_AR_REPORT!O5</f>
        <v/>
      </c>
    </row>
    <row r="9">
      <c r="A9" s="1" t="n">
        <v>5</v>
      </c>
      <c r="B9" s="1">
        <f>IF(MASTER_AR_REPORT!B6="","",MASTER_AR_REPORT!B6)</f>
        <v/>
      </c>
      <c r="C9" s="9">
        <f>MASTER_AR_REPORT!C6</f>
        <v/>
      </c>
      <c r="D9" s="1">
        <f>IF(MASTER_AR_REPORT!D6="","",MASTER_AR_REPORT!D6)</f>
        <v/>
      </c>
      <c r="E9" s="1">
        <f>IF(MASTER_AR_REPORT!E6="","",MASTER_AR_REPORT!E6)</f>
        <v/>
      </c>
      <c r="F9" s="2">
        <f>MASTER_AR_REPORT!F6</f>
        <v/>
      </c>
      <c r="G9" s="9">
        <f>MASTER_AR_REPORT!G6</f>
        <v/>
      </c>
      <c r="H9" s="2">
        <f>MASTER_AR_REPORT!H6</f>
        <v/>
      </c>
      <c r="I9" s="2">
        <f>MASTER_AR_REPORT!I6</f>
        <v/>
      </c>
      <c r="J9" s="1">
        <f>MASTER_AR_REPORT!J6</f>
        <v/>
      </c>
      <c r="K9" s="1">
        <f>MASTER_AR_REPORT!K6</f>
        <v/>
      </c>
      <c r="L9" s="1">
        <f>MASTER_AR_REPORT!L6</f>
        <v/>
      </c>
      <c r="M9" s="1">
        <f>MASTER_AR_REPORT!M6</f>
        <v/>
      </c>
      <c r="N9" s="1">
        <f>MASTER_AR_REPORT!N6</f>
        <v/>
      </c>
      <c r="O9" s="1">
        <f>MASTER_AR_REPORT!O6</f>
        <v/>
      </c>
    </row>
    <row r="10">
      <c r="A10" s="3" t="n">
        <v>6</v>
      </c>
      <c r="B10" s="3">
        <f>IF(MASTER_AR_REPORT!B7="","",MASTER_AR_REPORT!B7)</f>
        <v/>
      </c>
      <c r="C10" s="8">
        <f>MASTER_AR_REPORT!C7</f>
        <v/>
      </c>
      <c r="D10" s="3">
        <f>IF(MASTER_AR_REPORT!D7="","",MASTER_AR_REPORT!D7)</f>
        <v/>
      </c>
      <c r="E10" s="3">
        <f>IF(MASTER_AR_REPORT!E7="","",MASTER_AR_REPORT!E7)</f>
        <v/>
      </c>
      <c r="F10" s="4">
        <f>MASTER_AR_REPORT!F7</f>
        <v/>
      </c>
      <c r="G10" s="8">
        <f>MASTER_AR_REPORT!G7</f>
        <v/>
      </c>
      <c r="H10" s="4">
        <f>MASTER_AR_REPORT!H7</f>
        <v/>
      </c>
      <c r="I10" s="4">
        <f>MASTER_AR_REPORT!I7</f>
        <v/>
      </c>
      <c r="J10" s="3">
        <f>MASTER_AR_REPORT!J7</f>
        <v/>
      </c>
      <c r="K10" s="3">
        <f>MASTER_AR_REPORT!K7</f>
        <v/>
      </c>
      <c r="L10" s="3">
        <f>MASTER_AR_REPORT!L7</f>
        <v/>
      </c>
      <c r="M10" s="3">
        <f>MASTER_AR_REPORT!M7</f>
        <v/>
      </c>
      <c r="N10" s="3">
        <f>MASTER_AR_REPORT!N7</f>
        <v/>
      </c>
      <c r="O10" s="3">
        <f>MASTER_AR_REPORT!O7</f>
        <v/>
      </c>
    </row>
    <row r="11">
      <c r="A11" s="1" t="n">
        <v>7</v>
      </c>
      <c r="B11" s="1">
        <f>IF(MASTER_AR_REPORT!B8="","",MASTER_AR_REPORT!B8)</f>
        <v/>
      </c>
      <c r="C11" s="9">
        <f>MASTER_AR_REPORT!C8</f>
        <v/>
      </c>
      <c r="D11" s="1">
        <f>IF(MASTER_AR_REPORT!D8="","",MASTER_AR_REPORT!D8)</f>
        <v/>
      </c>
      <c r="E11" s="1">
        <f>IF(MASTER_AR_REPORT!E8="","",MASTER_AR_REPORT!E8)</f>
        <v/>
      </c>
      <c r="F11" s="2">
        <f>MASTER_AR_REPORT!F8</f>
        <v/>
      </c>
      <c r="G11" s="9">
        <f>MASTER_AR_REPORT!G8</f>
        <v/>
      </c>
      <c r="H11" s="2">
        <f>MASTER_AR_REPORT!H8</f>
        <v/>
      </c>
      <c r="I11" s="2">
        <f>MASTER_AR_REPORT!I8</f>
        <v/>
      </c>
      <c r="J11" s="1">
        <f>MASTER_AR_REPORT!J8</f>
        <v/>
      </c>
      <c r="K11" s="1">
        <f>MASTER_AR_REPORT!K8</f>
        <v/>
      </c>
      <c r="L11" s="1">
        <f>MASTER_AR_REPORT!L8</f>
        <v/>
      </c>
      <c r="M11" s="1">
        <f>MASTER_AR_REPORT!M8</f>
        <v/>
      </c>
      <c r="N11" s="1">
        <f>MASTER_AR_REPORT!N8</f>
        <v/>
      </c>
      <c r="O11" s="1">
        <f>MASTER_AR_REPORT!O8</f>
        <v/>
      </c>
    </row>
    <row r="12">
      <c r="A12" s="3" t="n">
        <v>8</v>
      </c>
      <c r="B12" s="3">
        <f>IF(MASTER_AR_REPORT!B9="","",MASTER_AR_REPORT!B9)</f>
        <v/>
      </c>
      <c r="C12" s="8">
        <f>MASTER_AR_REPORT!C9</f>
        <v/>
      </c>
      <c r="D12" s="3">
        <f>IF(MASTER_AR_REPORT!D9="","",MASTER_AR_REPORT!D9)</f>
        <v/>
      </c>
      <c r="E12" s="3">
        <f>IF(MASTER_AR_REPORT!E9="","",MASTER_AR_REPORT!E9)</f>
        <v/>
      </c>
      <c r="F12" s="4">
        <f>MASTER_AR_REPORT!F9</f>
        <v/>
      </c>
      <c r="G12" s="8">
        <f>MASTER_AR_REPORT!G9</f>
        <v/>
      </c>
      <c r="H12" s="4">
        <f>MASTER_AR_REPORT!H9</f>
        <v/>
      </c>
      <c r="I12" s="4">
        <f>MASTER_AR_REPORT!I9</f>
        <v/>
      </c>
      <c r="J12" s="3">
        <f>MASTER_AR_REPORT!J9</f>
        <v/>
      </c>
      <c r="K12" s="3">
        <f>MASTER_AR_REPORT!K9</f>
        <v/>
      </c>
      <c r="L12" s="3">
        <f>MASTER_AR_REPORT!L9</f>
        <v/>
      </c>
      <c r="M12" s="3">
        <f>MASTER_AR_REPORT!M9</f>
        <v/>
      </c>
      <c r="N12" s="3">
        <f>MASTER_AR_REPORT!N9</f>
        <v/>
      </c>
      <c r="O12" s="3">
        <f>MASTER_AR_REPORT!O9</f>
        <v/>
      </c>
    </row>
    <row r="13">
      <c r="A13" s="1" t="n">
        <v>9</v>
      </c>
      <c r="B13" s="1">
        <f>IF(MASTER_AR_REPORT!B10="","",MASTER_AR_REPORT!B10)</f>
        <v/>
      </c>
      <c r="C13" s="9">
        <f>MASTER_AR_REPORT!C10</f>
        <v/>
      </c>
      <c r="D13" s="1">
        <f>IF(MASTER_AR_REPORT!D10="","",MASTER_AR_REPORT!D10)</f>
        <v/>
      </c>
      <c r="E13" s="1">
        <f>IF(MASTER_AR_REPORT!E10="","",MASTER_AR_REPORT!E10)</f>
        <v/>
      </c>
      <c r="F13" s="2">
        <f>MASTER_AR_REPORT!F10</f>
        <v/>
      </c>
      <c r="G13" s="9">
        <f>MASTER_AR_REPORT!G10</f>
        <v/>
      </c>
      <c r="H13" s="2">
        <f>MASTER_AR_REPORT!H10</f>
        <v/>
      </c>
      <c r="I13" s="2">
        <f>MASTER_AR_REPORT!I10</f>
        <v/>
      </c>
      <c r="J13" s="1">
        <f>MASTER_AR_REPORT!J10</f>
        <v/>
      </c>
      <c r="K13" s="1">
        <f>MASTER_AR_REPORT!K10</f>
        <v/>
      </c>
      <c r="L13" s="1">
        <f>MASTER_AR_REPORT!L10</f>
        <v/>
      </c>
      <c r="M13" s="1">
        <f>MASTER_AR_REPORT!M10</f>
        <v/>
      </c>
      <c r="N13" s="1">
        <f>MASTER_AR_REPORT!N10</f>
        <v/>
      </c>
      <c r="O13" s="1">
        <f>MASTER_AR_REPORT!O10</f>
        <v/>
      </c>
    </row>
    <row r="14">
      <c r="A14" s="3" t="n">
        <v>10</v>
      </c>
      <c r="B14" s="3">
        <f>IF(MASTER_AR_REPORT!B11="","",MASTER_AR_REPORT!B11)</f>
        <v/>
      </c>
      <c r="C14" s="8">
        <f>MASTER_AR_REPORT!C11</f>
        <v/>
      </c>
      <c r="D14" s="3">
        <f>IF(MASTER_AR_REPORT!D11="","",MASTER_AR_REPORT!D11)</f>
        <v/>
      </c>
      <c r="E14" s="3">
        <f>IF(MASTER_AR_REPORT!E11="","",MASTER_AR_REPORT!E11)</f>
        <v/>
      </c>
      <c r="F14" s="4">
        <f>MASTER_AR_REPORT!F11</f>
        <v/>
      </c>
      <c r="G14" s="8">
        <f>MASTER_AR_REPORT!G11</f>
        <v/>
      </c>
      <c r="H14" s="4">
        <f>MASTER_AR_REPORT!H11</f>
        <v/>
      </c>
      <c r="I14" s="4">
        <f>MASTER_AR_REPORT!I11</f>
        <v/>
      </c>
      <c r="J14" s="3">
        <f>MASTER_AR_REPORT!J11</f>
        <v/>
      </c>
      <c r="K14" s="3">
        <f>MASTER_AR_REPORT!K11</f>
        <v/>
      </c>
      <c r="L14" s="3">
        <f>MASTER_AR_REPORT!L11</f>
        <v/>
      </c>
      <c r="M14" s="3">
        <f>MASTER_AR_REPORT!M11</f>
        <v/>
      </c>
      <c r="N14" s="3">
        <f>MASTER_AR_REPORT!N11</f>
        <v/>
      </c>
      <c r="O14" s="3">
        <f>MASTER_AR_REPORT!O11</f>
        <v/>
      </c>
    </row>
    <row r="15">
      <c r="A15" s="1" t="n">
        <v>11</v>
      </c>
      <c r="B15" s="1">
        <f>IF(MASTER_AR_REPORT!B12="","",MASTER_AR_REPORT!B12)</f>
        <v/>
      </c>
      <c r="C15" s="9">
        <f>MASTER_AR_REPORT!C12</f>
        <v/>
      </c>
      <c r="D15" s="1">
        <f>IF(MASTER_AR_REPORT!D12="","",MASTER_AR_REPORT!D12)</f>
        <v/>
      </c>
      <c r="E15" s="1">
        <f>IF(MASTER_AR_REPORT!E12="","",MASTER_AR_REPORT!E12)</f>
        <v/>
      </c>
      <c r="F15" s="2">
        <f>MASTER_AR_REPORT!F12</f>
        <v/>
      </c>
      <c r="G15" s="9">
        <f>MASTER_AR_REPORT!G12</f>
        <v/>
      </c>
      <c r="H15" s="2">
        <f>MASTER_AR_REPORT!H12</f>
        <v/>
      </c>
      <c r="I15" s="2">
        <f>MASTER_AR_REPORT!I12</f>
        <v/>
      </c>
      <c r="J15" s="1">
        <f>MASTER_AR_REPORT!J12</f>
        <v/>
      </c>
      <c r="K15" s="1">
        <f>MASTER_AR_REPORT!K12</f>
        <v/>
      </c>
      <c r="L15" s="1">
        <f>MASTER_AR_REPORT!L12</f>
        <v/>
      </c>
      <c r="M15" s="1">
        <f>MASTER_AR_REPORT!M12</f>
        <v/>
      </c>
      <c r="N15" s="1">
        <f>MASTER_AR_REPORT!N12</f>
        <v/>
      </c>
      <c r="O15" s="1">
        <f>MASTER_AR_REPORT!O12</f>
        <v/>
      </c>
    </row>
    <row r="16">
      <c r="A16" s="3" t="n">
        <v>12</v>
      </c>
      <c r="B16" s="3">
        <f>IF(MASTER_AR_REPORT!B13="","",MASTER_AR_REPORT!B13)</f>
        <v/>
      </c>
      <c r="C16" s="8">
        <f>MASTER_AR_REPORT!C13</f>
        <v/>
      </c>
      <c r="D16" s="3">
        <f>IF(MASTER_AR_REPORT!D13="","",MASTER_AR_REPORT!D13)</f>
        <v/>
      </c>
      <c r="E16" s="3">
        <f>IF(MASTER_AR_REPORT!E13="","",MASTER_AR_REPORT!E13)</f>
        <v/>
      </c>
      <c r="F16" s="4">
        <f>MASTER_AR_REPORT!F13</f>
        <v/>
      </c>
      <c r="G16" s="8">
        <f>MASTER_AR_REPORT!G13</f>
        <v/>
      </c>
      <c r="H16" s="4">
        <f>MASTER_AR_REPORT!H13</f>
        <v/>
      </c>
      <c r="I16" s="4">
        <f>MASTER_AR_REPORT!I13</f>
        <v/>
      </c>
      <c r="J16" s="3">
        <f>MASTER_AR_REPORT!J13</f>
        <v/>
      </c>
      <c r="K16" s="3">
        <f>MASTER_AR_REPORT!K13</f>
        <v/>
      </c>
      <c r="L16" s="3">
        <f>MASTER_AR_REPORT!L13</f>
        <v/>
      </c>
      <c r="M16" s="3">
        <f>MASTER_AR_REPORT!M13</f>
        <v/>
      </c>
      <c r="N16" s="3">
        <f>MASTER_AR_REPORT!N13</f>
        <v/>
      </c>
      <c r="O16" s="3">
        <f>MASTER_AR_REPORT!O13</f>
        <v/>
      </c>
    </row>
    <row r="17">
      <c r="A17" s="1" t="n">
        <v>13</v>
      </c>
      <c r="B17" s="1">
        <f>IF(MASTER_AR_REPORT!B14="","",MASTER_AR_REPORT!B14)</f>
        <v/>
      </c>
      <c r="C17" s="9">
        <f>MASTER_AR_REPORT!C14</f>
        <v/>
      </c>
      <c r="D17" s="1">
        <f>IF(MASTER_AR_REPORT!D14="","",MASTER_AR_REPORT!D14)</f>
        <v/>
      </c>
      <c r="E17" s="1">
        <f>IF(MASTER_AR_REPORT!E14="","",MASTER_AR_REPORT!E14)</f>
        <v/>
      </c>
      <c r="F17" s="2">
        <f>MASTER_AR_REPORT!F14</f>
        <v/>
      </c>
      <c r="G17" s="9">
        <f>MASTER_AR_REPORT!G14</f>
        <v/>
      </c>
      <c r="H17" s="2">
        <f>MASTER_AR_REPORT!H14</f>
        <v/>
      </c>
      <c r="I17" s="2">
        <f>MASTER_AR_REPORT!I14</f>
        <v/>
      </c>
      <c r="J17" s="1">
        <f>MASTER_AR_REPORT!J14</f>
        <v/>
      </c>
      <c r="K17" s="1">
        <f>MASTER_AR_REPORT!K14</f>
        <v/>
      </c>
      <c r="L17" s="1">
        <f>MASTER_AR_REPORT!L14</f>
        <v/>
      </c>
      <c r="M17" s="1">
        <f>MASTER_AR_REPORT!M14</f>
        <v/>
      </c>
      <c r="N17" s="1">
        <f>MASTER_AR_REPORT!N14</f>
        <v/>
      </c>
      <c r="O17" s="1">
        <f>MASTER_AR_REPORT!O14</f>
        <v/>
      </c>
    </row>
    <row r="18">
      <c r="A18" s="3" t="n">
        <v>14</v>
      </c>
      <c r="B18" s="3">
        <f>IF(MASTER_AR_REPORT!B15="","",MASTER_AR_REPORT!B15)</f>
        <v/>
      </c>
      <c r="C18" s="8">
        <f>MASTER_AR_REPORT!C15</f>
        <v/>
      </c>
      <c r="D18" s="3">
        <f>IF(MASTER_AR_REPORT!D15="","",MASTER_AR_REPORT!D15)</f>
        <v/>
      </c>
      <c r="E18" s="3">
        <f>IF(MASTER_AR_REPORT!E15="","",MASTER_AR_REPORT!E15)</f>
        <v/>
      </c>
      <c r="F18" s="4">
        <f>MASTER_AR_REPORT!F15</f>
        <v/>
      </c>
      <c r="G18" s="8">
        <f>MASTER_AR_REPORT!G15</f>
        <v/>
      </c>
      <c r="H18" s="4">
        <f>MASTER_AR_REPORT!H15</f>
        <v/>
      </c>
      <c r="I18" s="4">
        <f>MASTER_AR_REPORT!I15</f>
        <v/>
      </c>
      <c r="J18" s="3">
        <f>MASTER_AR_REPORT!J15</f>
        <v/>
      </c>
      <c r="K18" s="3">
        <f>MASTER_AR_REPORT!K15</f>
        <v/>
      </c>
      <c r="L18" s="3">
        <f>MASTER_AR_REPORT!L15</f>
        <v/>
      </c>
      <c r="M18" s="3">
        <f>MASTER_AR_REPORT!M15</f>
        <v/>
      </c>
      <c r="N18" s="3">
        <f>MASTER_AR_REPORT!N15</f>
        <v/>
      </c>
      <c r="O18" s="3">
        <f>MASTER_AR_REPORT!O15</f>
        <v/>
      </c>
    </row>
    <row r="19">
      <c r="A19" s="1" t="n">
        <v>15</v>
      </c>
      <c r="B19" s="1">
        <f>IF(MASTER_AR_REPORT!B16="","",MASTER_AR_REPORT!B16)</f>
        <v/>
      </c>
      <c r="C19" s="9">
        <f>MASTER_AR_REPORT!C16</f>
        <v/>
      </c>
      <c r="D19" s="1">
        <f>IF(MASTER_AR_REPORT!D16="","",MASTER_AR_REPORT!D16)</f>
        <v/>
      </c>
      <c r="E19" s="1">
        <f>IF(MASTER_AR_REPORT!E16="","",MASTER_AR_REPORT!E16)</f>
        <v/>
      </c>
      <c r="F19" s="2">
        <f>MASTER_AR_REPORT!F16</f>
        <v/>
      </c>
      <c r="G19" s="9">
        <f>MASTER_AR_REPORT!G16</f>
        <v/>
      </c>
      <c r="H19" s="2">
        <f>MASTER_AR_REPORT!H16</f>
        <v/>
      </c>
      <c r="I19" s="2">
        <f>MASTER_AR_REPORT!I16</f>
        <v/>
      </c>
      <c r="J19" s="1">
        <f>MASTER_AR_REPORT!J16</f>
        <v/>
      </c>
      <c r="K19" s="1">
        <f>MASTER_AR_REPORT!K16</f>
        <v/>
      </c>
      <c r="L19" s="1">
        <f>MASTER_AR_REPORT!L16</f>
        <v/>
      </c>
      <c r="M19" s="1">
        <f>MASTER_AR_REPORT!M16</f>
        <v/>
      </c>
      <c r="N19" s="1">
        <f>MASTER_AR_REPORT!N16</f>
        <v/>
      </c>
      <c r="O19" s="1">
        <f>MASTER_AR_REPORT!O16</f>
        <v/>
      </c>
    </row>
    <row r="20">
      <c r="A20" s="3" t="n">
        <v>16</v>
      </c>
      <c r="B20" s="3">
        <f>IF(MASTER_AR_REPORT!B17="","",MASTER_AR_REPORT!B17)</f>
        <v/>
      </c>
      <c r="C20" s="8">
        <f>MASTER_AR_REPORT!C17</f>
        <v/>
      </c>
      <c r="D20" s="3">
        <f>IF(MASTER_AR_REPORT!D17="","",MASTER_AR_REPORT!D17)</f>
        <v/>
      </c>
      <c r="E20" s="3">
        <f>IF(MASTER_AR_REPORT!E17="","",MASTER_AR_REPORT!E17)</f>
        <v/>
      </c>
      <c r="F20" s="4">
        <f>MASTER_AR_REPORT!F17</f>
        <v/>
      </c>
      <c r="G20" s="8">
        <f>MASTER_AR_REPORT!G17</f>
        <v/>
      </c>
      <c r="H20" s="4">
        <f>MASTER_AR_REPORT!H17</f>
        <v/>
      </c>
      <c r="I20" s="4">
        <f>MASTER_AR_REPORT!I17</f>
        <v/>
      </c>
      <c r="J20" s="3">
        <f>MASTER_AR_REPORT!J17</f>
        <v/>
      </c>
      <c r="K20" s="3">
        <f>MASTER_AR_REPORT!K17</f>
        <v/>
      </c>
      <c r="L20" s="3">
        <f>MASTER_AR_REPORT!L17</f>
        <v/>
      </c>
      <c r="M20" s="3">
        <f>MASTER_AR_REPORT!M17</f>
        <v/>
      </c>
      <c r="N20" s="3">
        <f>MASTER_AR_REPORT!N17</f>
        <v/>
      </c>
      <c r="O20" s="3">
        <f>MASTER_AR_REPORT!O17</f>
        <v/>
      </c>
    </row>
    <row r="21">
      <c r="A21" s="1" t="n">
        <v>17</v>
      </c>
      <c r="B21" s="1">
        <f>IF(MASTER_AR_REPORT!B18="","",MASTER_AR_REPORT!B18)</f>
        <v/>
      </c>
      <c r="C21" s="9">
        <f>MASTER_AR_REPORT!C18</f>
        <v/>
      </c>
      <c r="D21" s="1">
        <f>IF(MASTER_AR_REPORT!D18="","",MASTER_AR_REPORT!D18)</f>
        <v/>
      </c>
      <c r="E21" s="1">
        <f>IF(MASTER_AR_REPORT!E18="","",MASTER_AR_REPORT!E18)</f>
        <v/>
      </c>
      <c r="F21" s="2">
        <f>MASTER_AR_REPORT!F18</f>
        <v/>
      </c>
      <c r="G21" s="9">
        <f>MASTER_AR_REPORT!G18</f>
        <v/>
      </c>
      <c r="H21" s="2">
        <f>MASTER_AR_REPORT!H18</f>
        <v/>
      </c>
      <c r="I21" s="2">
        <f>MASTER_AR_REPORT!I18</f>
        <v/>
      </c>
      <c r="J21" s="1">
        <f>MASTER_AR_REPORT!J18</f>
        <v/>
      </c>
      <c r="K21" s="1">
        <f>MASTER_AR_REPORT!K18</f>
        <v/>
      </c>
      <c r="L21" s="1">
        <f>MASTER_AR_REPORT!L18</f>
        <v/>
      </c>
      <c r="M21" s="1">
        <f>MASTER_AR_REPORT!M18</f>
        <v/>
      </c>
      <c r="N21" s="1">
        <f>MASTER_AR_REPORT!N18</f>
        <v/>
      </c>
      <c r="O21" s="1">
        <f>MASTER_AR_REPORT!O18</f>
        <v/>
      </c>
    </row>
    <row r="22">
      <c r="A22" s="3" t="n">
        <v>18</v>
      </c>
      <c r="B22" s="3">
        <f>IF(MASTER_AR_REPORT!B19="","",MASTER_AR_REPORT!B19)</f>
        <v/>
      </c>
      <c r="C22" s="8">
        <f>MASTER_AR_REPORT!C19</f>
        <v/>
      </c>
      <c r="D22" s="3">
        <f>IF(MASTER_AR_REPORT!D19="","",MASTER_AR_REPORT!D19)</f>
        <v/>
      </c>
      <c r="E22" s="3">
        <f>IF(MASTER_AR_REPORT!E19="","",MASTER_AR_REPORT!E19)</f>
        <v/>
      </c>
      <c r="F22" s="4">
        <f>MASTER_AR_REPORT!F19</f>
        <v/>
      </c>
      <c r="G22" s="8">
        <f>MASTER_AR_REPORT!G19</f>
        <v/>
      </c>
      <c r="H22" s="4">
        <f>MASTER_AR_REPORT!H19</f>
        <v/>
      </c>
      <c r="I22" s="4">
        <f>MASTER_AR_REPORT!I19</f>
        <v/>
      </c>
      <c r="J22" s="3">
        <f>MASTER_AR_REPORT!J19</f>
        <v/>
      </c>
      <c r="K22" s="3">
        <f>MASTER_AR_REPORT!K19</f>
        <v/>
      </c>
      <c r="L22" s="3">
        <f>MASTER_AR_REPORT!L19</f>
        <v/>
      </c>
      <c r="M22" s="3">
        <f>MASTER_AR_REPORT!M19</f>
        <v/>
      </c>
      <c r="N22" s="3">
        <f>MASTER_AR_REPORT!N19</f>
        <v/>
      </c>
      <c r="O22" s="3">
        <f>MASTER_AR_REPORT!O19</f>
        <v/>
      </c>
    </row>
    <row r="23">
      <c r="A23" s="1" t="n">
        <v>19</v>
      </c>
      <c r="B23" s="1">
        <f>IF(MASTER_AR_REPORT!B20="","",MASTER_AR_REPORT!B20)</f>
        <v/>
      </c>
      <c r="C23" s="9">
        <f>MASTER_AR_REPORT!C20</f>
        <v/>
      </c>
      <c r="D23" s="1">
        <f>IF(MASTER_AR_REPORT!D20="","",MASTER_AR_REPORT!D20)</f>
        <v/>
      </c>
      <c r="E23" s="1">
        <f>IF(MASTER_AR_REPORT!E20="","",MASTER_AR_REPORT!E20)</f>
        <v/>
      </c>
      <c r="F23" s="2">
        <f>MASTER_AR_REPORT!F20</f>
        <v/>
      </c>
      <c r="G23" s="9">
        <f>MASTER_AR_REPORT!G20</f>
        <v/>
      </c>
      <c r="H23" s="2">
        <f>MASTER_AR_REPORT!H20</f>
        <v/>
      </c>
      <c r="I23" s="2">
        <f>MASTER_AR_REPORT!I20</f>
        <v/>
      </c>
      <c r="J23" s="1">
        <f>MASTER_AR_REPORT!J20</f>
        <v/>
      </c>
      <c r="K23" s="1">
        <f>MASTER_AR_REPORT!K20</f>
        <v/>
      </c>
      <c r="L23" s="1">
        <f>MASTER_AR_REPORT!L20</f>
        <v/>
      </c>
      <c r="M23" s="1">
        <f>MASTER_AR_REPORT!M20</f>
        <v/>
      </c>
      <c r="N23" s="1">
        <f>MASTER_AR_REPORT!N20</f>
        <v/>
      </c>
      <c r="O23" s="1">
        <f>MASTER_AR_REPORT!O20</f>
        <v/>
      </c>
    </row>
    <row r="24">
      <c r="A24" s="3" t="n">
        <v>20</v>
      </c>
      <c r="B24" s="3">
        <f>IF(MASTER_AR_REPORT!B21="","",MASTER_AR_REPORT!B21)</f>
        <v/>
      </c>
      <c r="C24" s="8">
        <f>MASTER_AR_REPORT!C21</f>
        <v/>
      </c>
      <c r="D24" s="3">
        <f>IF(MASTER_AR_REPORT!D21="","",MASTER_AR_REPORT!D21)</f>
        <v/>
      </c>
      <c r="E24" s="3">
        <f>IF(MASTER_AR_REPORT!E21="","",MASTER_AR_REPORT!E21)</f>
        <v/>
      </c>
      <c r="F24" s="4">
        <f>MASTER_AR_REPORT!F21</f>
        <v/>
      </c>
      <c r="G24" s="8">
        <f>MASTER_AR_REPORT!G21</f>
        <v/>
      </c>
      <c r="H24" s="4">
        <f>MASTER_AR_REPORT!H21</f>
        <v/>
      </c>
      <c r="I24" s="4">
        <f>MASTER_AR_REPORT!I21</f>
        <v/>
      </c>
      <c r="J24" s="3">
        <f>MASTER_AR_REPORT!J21</f>
        <v/>
      </c>
      <c r="K24" s="3">
        <f>MASTER_AR_REPORT!K21</f>
        <v/>
      </c>
      <c r="L24" s="3">
        <f>MASTER_AR_REPORT!L21</f>
        <v/>
      </c>
      <c r="M24" s="3">
        <f>MASTER_AR_REPORT!M21</f>
        <v/>
      </c>
      <c r="N24" s="3">
        <f>MASTER_AR_REPORT!N21</f>
        <v/>
      </c>
      <c r="O24" s="3">
        <f>MASTER_AR_REPORT!O21</f>
        <v/>
      </c>
    </row>
    <row r="25">
      <c r="A25" s="1" t="n">
        <v>21</v>
      </c>
      <c r="B25" s="1">
        <f>IF(MASTER_AR_REPORT!B22="","",MASTER_AR_REPORT!B22)</f>
        <v/>
      </c>
      <c r="C25" s="9">
        <f>MASTER_AR_REPORT!C22</f>
        <v/>
      </c>
      <c r="D25" s="1">
        <f>IF(MASTER_AR_REPORT!D22="","",MASTER_AR_REPORT!D22)</f>
        <v/>
      </c>
      <c r="E25" s="1">
        <f>IF(MASTER_AR_REPORT!E22="","",MASTER_AR_REPORT!E22)</f>
        <v/>
      </c>
      <c r="F25" s="2">
        <f>MASTER_AR_REPORT!F22</f>
        <v/>
      </c>
      <c r="G25" s="9">
        <f>MASTER_AR_REPORT!G22</f>
        <v/>
      </c>
      <c r="H25" s="2">
        <f>MASTER_AR_REPORT!H22</f>
        <v/>
      </c>
      <c r="I25" s="2">
        <f>MASTER_AR_REPORT!I22</f>
        <v/>
      </c>
      <c r="J25" s="1">
        <f>MASTER_AR_REPORT!J22</f>
        <v/>
      </c>
      <c r="K25" s="1">
        <f>MASTER_AR_REPORT!K22</f>
        <v/>
      </c>
      <c r="L25" s="1">
        <f>MASTER_AR_REPORT!L22</f>
        <v/>
      </c>
      <c r="M25" s="1">
        <f>MASTER_AR_REPORT!M22</f>
        <v/>
      </c>
      <c r="N25" s="1">
        <f>MASTER_AR_REPORT!N22</f>
        <v/>
      </c>
      <c r="O25" s="1">
        <f>MASTER_AR_REPORT!O22</f>
        <v/>
      </c>
    </row>
    <row r="26">
      <c r="A26" s="3" t="n">
        <v>22</v>
      </c>
      <c r="B26" s="3">
        <f>IF(MASTER_AR_REPORT!B23="","",MASTER_AR_REPORT!B23)</f>
        <v/>
      </c>
      <c r="C26" s="8">
        <f>MASTER_AR_REPORT!C23</f>
        <v/>
      </c>
      <c r="D26" s="3">
        <f>IF(MASTER_AR_REPORT!D23="","",MASTER_AR_REPORT!D23)</f>
        <v/>
      </c>
      <c r="E26" s="3">
        <f>IF(MASTER_AR_REPORT!E23="","",MASTER_AR_REPORT!E23)</f>
        <v/>
      </c>
      <c r="F26" s="4">
        <f>MASTER_AR_REPORT!F23</f>
        <v/>
      </c>
      <c r="G26" s="8">
        <f>MASTER_AR_REPORT!G23</f>
        <v/>
      </c>
      <c r="H26" s="4">
        <f>MASTER_AR_REPORT!H23</f>
        <v/>
      </c>
      <c r="I26" s="4">
        <f>MASTER_AR_REPORT!I23</f>
        <v/>
      </c>
      <c r="J26" s="3">
        <f>MASTER_AR_REPORT!J23</f>
        <v/>
      </c>
      <c r="K26" s="3">
        <f>MASTER_AR_REPORT!K23</f>
        <v/>
      </c>
      <c r="L26" s="3">
        <f>MASTER_AR_REPORT!L23</f>
        <v/>
      </c>
      <c r="M26" s="3">
        <f>MASTER_AR_REPORT!M23</f>
        <v/>
      </c>
      <c r="N26" s="3">
        <f>MASTER_AR_REPORT!N23</f>
        <v/>
      </c>
      <c r="O26" s="3">
        <f>MASTER_AR_REPORT!O23</f>
        <v/>
      </c>
    </row>
    <row r="27">
      <c r="A27" s="1" t="n">
        <v>23</v>
      </c>
      <c r="B27" s="1">
        <f>IF(MASTER_AR_REPORT!B24="","",MASTER_AR_REPORT!B24)</f>
        <v/>
      </c>
      <c r="C27" s="9">
        <f>MASTER_AR_REPORT!C24</f>
        <v/>
      </c>
      <c r="D27" s="1">
        <f>IF(MASTER_AR_REPORT!D24="","",MASTER_AR_REPORT!D24)</f>
        <v/>
      </c>
      <c r="E27" s="1">
        <f>IF(MASTER_AR_REPORT!E24="","",MASTER_AR_REPORT!E24)</f>
        <v/>
      </c>
      <c r="F27" s="2">
        <f>MASTER_AR_REPORT!F24</f>
        <v/>
      </c>
      <c r="G27" s="9">
        <f>MASTER_AR_REPORT!G24</f>
        <v/>
      </c>
      <c r="H27" s="2">
        <f>MASTER_AR_REPORT!H24</f>
        <v/>
      </c>
      <c r="I27" s="2">
        <f>MASTER_AR_REPORT!I24</f>
        <v/>
      </c>
      <c r="J27" s="1">
        <f>MASTER_AR_REPORT!J24</f>
        <v/>
      </c>
      <c r="K27" s="1">
        <f>MASTER_AR_REPORT!K24</f>
        <v/>
      </c>
      <c r="L27" s="1">
        <f>MASTER_AR_REPORT!L24</f>
        <v/>
      </c>
      <c r="M27" s="1">
        <f>MASTER_AR_REPORT!M24</f>
        <v/>
      </c>
      <c r="N27" s="1">
        <f>MASTER_AR_REPORT!N24</f>
        <v/>
      </c>
      <c r="O27" s="1">
        <f>MASTER_AR_REPORT!O24</f>
        <v/>
      </c>
    </row>
    <row r="28">
      <c r="A28" s="3" t="n">
        <v>24</v>
      </c>
      <c r="B28" s="3">
        <f>IF(MASTER_AR_REPORT!B25="","",MASTER_AR_REPORT!B25)</f>
        <v/>
      </c>
      <c r="C28" s="8">
        <f>MASTER_AR_REPORT!C25</f>
        <v/>
      </c>
      <c r="D28" s="3">
        <f>IF(MASTER_AR_REPORT!D25="","",MASTER_AR_REPORT!D25)</f>
        <v/>
      </c>
      <c r="E28" s="3">
        <f>IF(MASTER_AR_REPORT!E25="","",MASTER_AR_REPORT!E25)</f>
        <v/>
      </c>
      <c r="F28" s="4">
        <f>MASTER_AR_REPORT!F25</f>
        <v/>
      </c>
      <c r="G28" s="8">
        <f>MASTER_AR_REPORT!G25</f>
        <v/>
      </c>
      <c r="H28" s="4">
        <f>MASTER_AR_REPORT!H25</f>
        <v/>
      </c>
      <c r="I28" s="4">
        <f>MASTER_AR_REPORT!I25</f>
        <v/>
      </c>
      <c r="J28" s="3">
        <f>MASTER_AR_REPORT!J25</f>
        <v/>
      </c>
      <c r="K28" s="3">
        <f>MASTER_AR_REPORT!K25</f>
        <v/>
      </c>
      <c r="L28" s="3">
        <f>MASTER_AR_REPORT!L25</f>
        <v/>
      </c>
      <c r="M28" s="3">
        <f>MASTER_AR_REPORT!M25</f>
        <v/>
      </c>
      <c r="N28" s="3">
        <f>MASTER_AR_REPORT!N25</f>
        <v/>
      </c>
      <c r="O28" s="3">
        <f>MASTER_AR_REPORT!O25</f>
        <v/>
      </c>
    </row>
    <row r="29">
      <c r="A29" s="1" t="n">
        <v>25</v>
      </c>
      <c r="B29" s="1">
        <f>IF(MASTER_AR_REPORT!B26="","",MASTER_AR_REPORT!B26)</f>
        <v/>
      </c>
      <c r="C29" s="9">
        <f>MASTER_AR_REPORT!C26</f>
        <v/>
      </c>
      <c r="D29" s="1">
        <f>IF(MASTER_AR_REPORT!D26="","",MASTER_AR_REPORT!D26)</f>
        <v/>
      </c>
      <c r="E29" s="1">
        <f>IF(MASTER_AR_REPORT!E26="","",MASTER_AR_REPORT!E26)</f>
        <v/>
      </c>
      <c r="F29" s="2">
        <f>MASTER_AR_REPORT!F26</f>
        <v/>
      </c>
      <c r="G29" s="9">
        <f>MASTER_AR_REPORT!G26</f>
        <v/>
      </c>
      <c r="H29" s="2">
        <f>MASTER_AR_REPORT!H26</f>
        <v/>
      </c>
      <c r="I29" s="2">
        <f>MASTER_AR_REPORT!I26</f>
        <v/>
      </c>
      <c r="J29" s="1">
        <f>MASTER_AR_REPORT!J26</f>
        <v/>
      </c>
      <c r="K29" s="1">
        <f>MASTER_AR_REPORT!K26</f>
        <v/>
      </c>
      <c r="L29" s="1">
        <f>MASTER_AR_REPORT!L26</f>
        <v/>
      </c>
      <c r="M29" s="1">
        <f>MASTER_AR_REPORT!M26</f>
        <v/>
      </c>
      <c r="N29" s="1">
        <f>MASTER_AR_REPORT!N26</f>
        <v/>
      </c>
      <c r="O29" s="1">
        <f>MASTER_AR_REPORT!O26</f>
        <v/>
      </c>
    </row>
    <row r="30">
      <c r="A30" s="3" t="n">
        <v>26</v>
      </c>
      <c r="B30" s="3">
        <f>IF(MASTER_AR_REPORT!B27="","",MASTER_AR_REPORT!B27)</f>
        <v/>
      </c>
      <c r="C30" s="8">
        <f>MASTER_AR_REPORT!C27</f>
        <v/>
      </c>
      <c r="D30" s="3">
        <f>IF(MASTER_AR_REPORT!D27="","",MASTER_AR_REPORT!D27)</f>
        <v/>
      </c>
      <c r="E30" s="3">
        <f>IF(MASTER_AR_REPORT!E27="","",MASTER_AR_REPORT!E27)</f>
        <v/>
      </c>
      <c r="F30" s="4">
        <f>MASTER_AR_REPORT!F27</f>
        <v/>
      </c>
      <c r="G30" s="8">
        <f>MASTER_AR_REPORT!G27</f>
        <v/>
      </c>
      <c r="H30" s="4">
        <f>MASTER_AR_REPORT!H27</f>
        <v/>
      </c>
      <c r="I30" s="4">
        <f>MASTER_AR_REPORT!I27</f>
        <v/>
      </c>
      <c r="J30" s="3">
        <f>MASTER_AR_REPORT!J27</f>
        <v/>
      </c>
      <c r="K30" s="3">
        <f>MASTER_AR_REPORT!K27</f>
        <v/>
      </c>
      <c r="L30" s="3">
        <f>MASTER_AR_REPORT!L27</f>
        <v/>
      </c>
      <c r="M30" s="3">
        <f>MASTER_AR_REPORT!M27</f>
        <v/>
      </c>
      <c r="N30" s="3">
        <f>MASTER_AR_REPORT!N27</f>
        <v/>
      </c>
      <c r="O30" s="3">
        <f>MASTER_AR_REPORT!O27</f>
        <v/>
      </c>
    </row>
    <row r="31">
      <c r="A31" s="1" t="n">
        <v>27</v>
      </c>
      <c r="B31" s="1">
        <f>IF(MASTER_AR_REPORT!B28="","",MASTER_AR_REPORT!B28)</f>
        <v/>
      </c>
      <c r="C31" s="9">
        <f>MASTER_AR_REPORT!C28</f>
        <v/>
      </c>
      <c r="D31" s="1">
        <f>IF(MASTER_AR_REPORT!D28="","",MASTER_AR_REPORT!D28)</f>
        <v/>
      </c>
      <c r="E31" s="1">
        <f>IF(MASTER_AR_REPORT!E28="","",MASTER_AR_REPORT!E28)</f>
        <v/>
      </c>
      <c r="F31" s="2">
        <f>MASTER_AR_REPORT!F28</f>
        <v/>
      </c>
      <c r="G31" s="9">
        <f>MASTER_AR_REPORT!G28</f>
        <v/>
      </c>
      <c r="H31" s="2">
        <f>MASTER_AR_REPORT!H28</f>
        <v/>
      </c>
      <c r="I31" s="2">
        <f>MASTER_AR_REPORT!I28</f>
        <v/>
      </c>
      <c r="J31" s="1">
        <f>MASTER_AR_REPORT!J28</f>
        <v/>
      </c>
      <c r="K31" s="1">
        <f>MASTER_AR_REPORT!K28</f>
        <v/>
      </c>
      <c r="L31" s="1">
        <f>MASTER_AR_REPORT!L28</f>
        <v/>
      </c>
      <c r="M31" s="1">
        <f>MASTER_AR_REPORT!M28</f>
        <v/>
      </c>
      <c r="N31" s="1">
        <f>MASTER_AR_REPORT!N28</f>
        <v/>
      </c>
      <c r="O31" s="1">
        <f>MASTER_AR_REPORT!O28</f>
        <v/>
      </c>
    </row>
    <row r="32">
      <c r="A32" s="3" t="n">
        <v>28</v>
      </c>
      <c r="B32" s="3">
        <f>IF(MASTER_AR_REPORT!B29="","",MASTER_AR_REPORT!B29)</f>
        <v/>
      </c>
      <c r="C32" s="8">
        <f>MASTER_AR_REPORT!C29</f>
        <v/>
      </c>
      <c r="D32" s="3">
        <f>IF(MASTER_AR_REPORT!D29="","",MASTER_AR_REPORT!D29)</f>
        <v/>
      </c>
      <c r="E32" s="3">
        <f>IF(MASTER_AR_REPORT!E29="","",MASTER_AR_REPORT!E29)</f>
        <v/>
      </c>
      <c r="F32" s="4">
        <f>MASTER_AR_REPORT!F29</f>
        <v/>
      </c>
      <c r="G32" s="8">
        <f>MASTER_AR_REPORT!G29</f>
        <v/>
      </c>
      <c r="H32" s="4">
        <f>MASTER_AR_REPORT!H29</f>
        <v/>
      </c>
      <c r="I32" s="4">
        <f>MASTER_AR_REPORT!I29</f>
        <v/>
      </c>
      <c r="J32" s="3">
        <f>MASTER_AR_REPORT!J29</f>
        <v/>
      </c>
      <c r="K32" s="3">
        <f>MASTER_AR_REPORT!K29</f>
        <v/>
      </c>
      <c r="L32" s="3">
        <f>MASTER_AR_REPORT!L29</f>
        <v/>
      </c>
      <c r="M32" s="3">
        <f>MASTER_AR_REPORT!M29</f>
        <v/>
      </c>
      <c r="N32" s="3">
        <f>MASTER_AR_REPORT!N29</f>
        <v/>
      </c>
      <c r="O32" s="3">
        <f>MASTER_AR_REPORT!O29</f>
        <v/>
      </c>
    </row>
    <row r="33">
      <c r="A33" s="1" t="n">
        <v>29</v>
      </c>
      <c r="B33" s="1">
        <f>IF(MASTER_AR_REPORT!B30="","",MASTER_AR_REPORT!B30)</f>
        <v/>
      </c>
      <c r="C33" s="9">
        <f>MASTER_AR_REPORT!C30</f>
        <v/>
      </c>
      <c r="D33" s="1">
        <f>IF(MASTER_AR_REPORT!D30="","",MASTER_AR_REPORT!D30)</f>
        <v/>
      </c>
      <c r="E33" s="1">
        <f>IF(MASTER_AR_REPORT!E30="","",MASTER_AR_REPORT!E30)</f>
        <v/>
      </c>
      <c r="F33" s="2">
        <f>MASTER_AR_REPORT!F30</f>
        <v/>
      </c>
      <c r="G33" s="9">
        <f>MASTER_AR_REPORT!G30</f>
        <v/>
      </c>
      <c r="H33" s="2">
        <f>MASTER_AR_REPORT!H30</f>
        <v/>
      </c>
      <c r="I33" s="2">
        <f>MASTER_AR_REPORT!I30</f>
        <v/>
      </c>
      <c r="J33" s="1">
        <f>MASTER_AR_REPORT!J30</f>
        <v/>
      </c>
      <c r="K33" s="1">
        <f>MASTER_AR_REPORT!K30</f>
        <v/>
      </c>
      <c r="L33" s="1">
        <f>MASTER_AR_REPORT!L30</f>
        <v/>
      </c>
      <c r="M33" s="1">
        <f>MASTER_AR_REPORT!M30</f>
        <v/>
      </c>
      <c r="N33" s="1">
        <f>MASTER_AR_REPORT!N30</f>
        <v/>
      </c>
      <c r="O33" s="1">
        <f>MASTER_AR_REPORT!O30</f>
        <v/>
      </c>
    </row>
    <row r="34">
      <c r="A34" s="3" t="n">
        <v>30</v>
      </c>
      <c r="B34" s="3">
        <f>IF(MASTER_AR_REPORT!B31="","",MASTER_AR_REPORT!B31)</f>
        <v/>
      </c>
      <c r="C34" s="8">
        <f>MASTER_AR_REPORT!C31</f>
        <v/>
      </c>
      <c r="D34" s="3">
        <f>IF(MASTER_AR_REPORT!D31="","",MASTER_AR_REPORT!D31)</f>
        <v/>
      </c>
      <c r="E34" s="3">
        <f>IF(MASTER_AR_REPORT!E31="","",MASTER_AR_REPORT!E31)</f>
        <v/>
      </c>
      <c r="F34" s="4">
        <f>MASTER_AR_REPORT!F31</f>
        <v/>
      </c>
      <c r="G34" s="8">
        <f>MASTER_AR_REPORT!G31</f>
        <v/>
      </c>
      <c r="H34" s="4">
        <f>MASTER_AR_REPORT!H31</f>
        <v/>
      </c>
      <c r="I34" s="4">
        <f>MASTER_AR_REPORT!I31</f>
        <v/>
      </c>
      <c r="J34" s="3">
        <f>MASTER_AR_REPORT!J31</f>
        <v/>
      </c>
      <c r="K34" s="3">
        <f>MASTER_AR_REPORT!K31</f>
        <v/>
      </c>
      <c r="L34" s="3">
        <f>MASTER_AR_REPORT!L31</f>
        <v/>
      </c>
      <c r="M34" s="3">
        <f>MASTER_AR_REPORT!M31</f>
        <v/>
      </c>
      <c r="N34" s="3">
        <f>MASTER_AR_REPORT!N31</f>
        <v/>
      </c>
      <c r="O34" s="3">
        <f>MASTER_AR_REPORT!O31</f>
        <v/>
      </c>
    </row>
    <row r="35">
      <c r="A35" s="1" t="n">
        <v>31</v>
      </c>
      <c r="B35" s="1">
        <f>IF(MASTER_AR_REPORT!B32="","",MASTER_AR_REPORT!B32)</f>
        <v/>
      </c>
      <c r="C35" s="9">
        <f>MASTER_AR_REPORT!C32</f>
        <v/>
      </c>
      <c r="D35" s="1">
        <f>IF(MASTER_AR_REPORT!D32="","",MASTER_AR_REPORT!D32)</f>
        <v/>
      </c>
      <c r="E35" s="1">
        <f>IF(MASTER_AR_REPORT!E32="","",MASTER_AR_REPORT!E32)</f>
        <v/>
      </c>
      <c r="F35" s="2">
        <f>MASTER_AR_REPORT!F32</f>
        <v/>
      </c>
      <c r="G35" s="9">
        <f>MASTER_AR_REPORT!G32</f>
        <v/>
      </c>
      <c r="H35" s="2">
        <f>MASTER_AR_REPORT!H32</f>
        <v/>
      </c>
      <c r="I35" s="2">
        <f>MASTER_AR_REPORT!I32</f>
        <v/>
      </c>
      <c r="J35" s="1">
        <f>MASTER_AR_REPORT!J32</f>
        <v/>
      </c>
      <c r="K35" s="1">
        <f>MASTER_AR_REPORT!K32</f>
        <v/>
      </c>
      <c r="L35" s="1">
        <f>MASTER_AR_REPORT!L32</f>
        <v/>
      </c>
      <c r="M35" s="1">
        <f>MASTER_AR_REPORT!M32</f>
        <v/>
      </c>
      <c r="N35" s="1">
        <f>MASTER_AR_REPORT!N32</f>
        <v/>
      </c>
      <c r="O35" s="1">
        <f>MASTER_AR_REPORT!O32</f>
        <v/>
      </c>
    </row>
    <row r="36">
      <c r="A36" s="3" t="n">
        <v>32</v>
      </c>
      <c r="B36" s="3">
        <f>IF(MASTER_AR_REPORT!B33="","",MASTER_AR_REPORT!B33)</f>
        <v/>
      </c>
      <c r="C36" s="8">
        <f>MASTER_AR_REPORT!C33</f>
        <v/>
      </c>
      <c r="D36" s="3">
        <f>IF(MASTER_AR_REPORT!D33="","",MASTER_AR_REPORT!D33)</f>
        <v/>
      </c>
      <c r="E36" s="3">
        <f>IF(MASTER_AR_REPORT!E33="","",MASTER_AR_REPORT!E33)</f>
        <v/>
      </c>
      <c r="F36" s="4">
        <f>MASTER_AR_REPORT!F33</f>
        <v/>
      </c>
      <c r="G36" s="8">
        <f>MASTER_AR_REPORT!G33</f>
        <v/>
      </c>
      <c r="H36" s="4">
        <f>MASTER_AR_REPORT!H33</f>
        <v/>
      </c>
      <c r="I36" s="4">
        <f>MASTER_AR_REPORT!I33</f>
        <v/>
      </c>
      <c r="J36" s="3">
        <f>MASTER_AR_REPORT!J33</f>
        <v/>
      </c>
      <c r="K36" s="3">
        <f>MASTER_AR_REPORT!K33</f>
        <v/>
      </c>
      <c r="L36" s="3">
        <f>MASTER_AR_REPORT!L33</f>
        <v/>
      </c>
      <c r="M36" s="3">
        <f>MASTER_AR_REPORT!M33</f>
        <v/>
      </c>
      <c r="N36" s="3">
        <f>MASTER_AR_REPORT!N33</f>
        <v/>
      </c>
      <c r="O36" s="3">
        <f>MASTER_AR_REPORT!O33</f>
        <v/>
      </c>
    </row>
    <row r="37">
      <c r="A37" s="1" t="n">
        <v>33</v>
      </c>
      <c r="B37" s="1">
        <f>IF(MASTER_AR_REPORT!B34="","",MASTER_AR_REPORT!B34)</f>
        <v/>
      </c>
      <c r="C37" s="9">
        <f>MASTER_AR_REPORT!C34</f>
        <v/>
      </c>
      <c r="D37" s="1">
        <f>IF(MASTER_AR_REPORT!D34="","",MASTER_AR_REPORT!D34)</f>
        <v/>
      </c>
      <c r="E37" s="1">
        <f>IF(MASTER_AR_REPORT!E34="","",MASTER_AR_REPORT!E34)</f>
        <v/>
      </c>
      <c r="F37" s="2">
        <f>MASTER_AR_REPORT!F34</f>
        <v/>
      </c>
      <c r="G37" s="9">
        <f>MASTER_AR_REPORT!G34</f>
        <v/>
      </c>
      <c r="H37" s="2">
        <f>MASTER_AR_REPORT!H34</f>
        <v/>
      </c>
      <c r="I37" s="2">
        <f>MASTER_AR_REPORT!I34</f>
        <v/>
      </c>
      <c r="J37" s="1">
        <f>MASTER_AR_REPORT!J34</f>
        <v/>
      </c>
      <c r="K37" s="1">
        <f>MASTER_AR_REPORT!K34</f>
        <v/>
      </c>
      <c r="L37" s="1">
        <f>MASTER_AR_REPORT!L34</f>
        <v/>
      </c>
      <c r="M37" s="1">
        <f>MASTER_AR_REPORT!M34</f>
        <v/>
      </c>
      <c r="N37" s="1">
        <f>MASTER_AR_REPORT!N34</f>
        <v/>
      </c>
      <c r="O37" s="1">
        <f>MASTER_AR_REPORT!O34</f>
        <v/>
      </c>
    </row>
    <row r="38">
      <c r="A38" s="3" t="n">
        <v>34</v>
      </c>
      <c r="B38" s="3">
        <f>IF(MASTER_AR_REPORT!B35="","",MASTER_AR_REPORT!B35)</f>
        <v/>
      </c>
      <c r="C38" s="8">
        <f>MASTER_AR_REPORT!C35</f>
        <v/>
      </c>
      <c r="D38" s="3">
        <f>IF(MASTER_AR_REPORT!D35="","",MASTER_AR_REPORT!D35)</f>
        <v/>
      </c>
      <c r="E38" s="3">
        <f>IF(MASTER_AR_REPORT!E35="","",MASTER_AR_REPORT!E35)</f>
        <v/>
      </c>
      <c r="F38" s="4">
        <f>MASTER_AR_REPORT!F35</f>
        <v/>
      </c>
      <c r="G38" s="8">
        <f>MASTER_AR_REPORT!G35</f>
        <v/>
      </c>
      <c r="H38" s="4">
        <f>MASTER_AR_REPORT!H35</f>
        <v/>
      </c>
      <c r="I38" s="4">
        <f>MASTER_AR_REPORT!I35</f>
        <v/>
      </c>
      <c r="J38" s="3">
        <f>MASTER_AR_REPORT!J35</f>
        <v/>
      </c>
      <c r="K38" s="3">
        <f>MASTER_AR_REPORT!K35</f>
        <v/>
      </c>
      <c r="L38" s="3">
        <f>MASTER_AR_REPORT!L35</f>
        <v/>
      </c>
      <c r="M38" s="3">
        <f>MASTER_AR_REPORT!M35</f>
        <v/>
      </c>
      <c r="N38" s="3">
        <f>MASTER_AR_REPORT!N35</f>
        <v/>
      </c>
      <c r="O38" s="3">
        <f>MASTER_AR_REPORT!O35</f>
        <v/>
      </c>
    </row>
    <row r="39">
      <c r="A39" s="1" t="n">
        <v>35</v>
      </c>
      <c r="B39" s="1">
        <f>IF(MASTER_AR_REPORT!B36="","",MASTER_AR_REPORT!B36)</f>
        <v/>
      </c>
      <c r="C39" s="9">
        <f>MASTER_AR_REPORT!C36</f>
        <v/>
      </c>
      <c r="D39" s="1">
        <f>IF(MASTER_AR_REPORT!D36="","",MASTER_AR_REPORT!D36)</f>
        <v/>
      </c>
      <c r="E39" s="1">
        <f>IF(MASTER_AR_REPORT!E36="","",MASTER_AR_REPORT!E36)</f>
        <v/>
      </c>
      <c r="F39" s="2">
        <f>MASTER_AR_REPORT!F36</f>
        <v/>
      </c>
      <c r="G39" s="9">
        <f>MASTER_AR_REPORT!G36</f>
        <v/>
      </c>
      <c r="H39" s="2">
        <f>MASTER_AR_REPORT!H36</f>
        <v/>
      </c>
      <c r="I39" s="2">
        <f>MASTER_AR_REPORT!I36</f>
        <v/>
      </c>
      <c r="J39" s="1">
        <f>MASTER_AR_REPORT!J36</f>
        <v/>
      </c>
      <c r="K39" s="1">
        <f>MASTER_AR_REPORT!K36</f>
        <v/>
      </c>
      <c r="L39" s="1">
        <f>MASTER_AR_REPORT!L36</f>
        <v/>
      </c>
      <c r="M39" s="1">
        <f>MASTER_AR_REPORT!M36</f>
        <v/>
      </c>
      <c r="N39" s="1">
        <f>MASTER_AR_REPORT!N36</f>
        <v/>
      </c>
      <c r="O39" s="1">
        <f>MASTER_AR_REPORT!O36</f>
        <v/>
      </c>
    </row>
    <row r="40">
      <c r="A40" s="3" t="n">
        <v>36</v>
      </c>
      <c r="B40" s="3">
        <f>IF(MASTER_AR_REPORT!B37="","",MASTER_AR_REPORT!B37)</f>
        <v/>
      </c>
      <c r="C40" s="8">
        <f>MASTER_AR_REPORT!C37</f>
        <v/>
      </c>
      <c r="D40" s="3">
        <f>IF(MASTER_AR_REPORT!D37="","",MASTER_AR_REPORT!D37)</f>
        <v/>
      </c>
      <c r="E40" s="3">
        <f>IF(MASTER_AR_REPORT!E37="","",MASTER_AR_REPORT!E37)</f>
        <v/>
      </c>
      <c r="F40" s="4">
        <f>MASTER_AR_REPORT!F37</f>
        <v/>
      </c>
      <c r="G40" s="8">
        <f>MASTER_AR_REPORT!G37</f>
        <v/>
      </c>
      <c r="H40" s="4">
        <f>MASTER_AR_REPORT!H37</f>
        <v/>
      </c>
      <c r="I40" s="4">
        <f>MASTER_AR_REPORT!I37</f>
        <v/>
      </c>
      <c r="J40" s="3">
        <f>MASTER_AR_REPORT!J37</f>
        <v/>
      </c>
      <c r="K40" s="3">
        <f>MASTER_AR_REPORT!K37</f>
        <v/>
      </c>
      <c r="L40" s="3">
        <f>MASTER_AR_REPORT!L37</f>
        <v/>
      </c>
      <c r="M40" s="3">
        <f>MASTER_AR_REPORT!M37</f>
        <v/>
      </c>
      <c r="N40" s="3">
        <f>MASTER_AR_REPORT!N37</f>
        <v/>
      </c>
      <c r="O40" s="3">
        <f>MASTER_AR_REPORT!O37</f>
        <v/>
      </c>
    </row>
    <row r="41">
      <c r="A41" s="1" t="n">
        <v>37</v>
      </c>
      <c r="B41" s="1">
        <f>IF(MASTER_AR_REPORT!B38="","",MASTER_AR_REPORT!B38)</f>
        <v/>
      </c>
      <c r="C41" s="9">
        <f>MASTER_AR_REPORT!C38</f>
        <v/>
      </c>
      <c r="D41" s="1">
        <f>IF(MASTER_AR_REPORT!D38="","",MASTER_AR_REPORT!D38)</f>
        <v/>
      </c>
      <c r="E41" s="1">
        <f>IF(MASTER_AR_REPORT!E38="","",MASTER_AR_REPORT!E38)</f>
        <v/>
      </c>
      <c r="F41" s="2">
        <f>MASTER_AR_REPORT!F38</f>
        <v/>
      </c>
      <c r="G41" s="9">
        <f>MASTER_AR_REPORT!G38</f>
        <v/>
      </c>
      <c r="H41" s="2">
        <f>MASTER_AR_REPORT!H38</f>
        <v/>
      </c>
      <c r="I41" s="2">
        <f>MASTER_AR_REPORT!I38</f>
        <v/>
      </c>
      <c r="J41" s="1">
        <f>MASTER_AR_REPORT!J38</f>
        <v/>
      </c>
      <c r="K41" s="1">
        <f>MASTER_AR_REPORT!K38</f>
        <v/>
      </c>
      <c r="L41" s="1">
        <f>MASTER_AR_REPORT!L38</f>
        <v/>
      </c>
      <c r="M41" s="1">
        <f>MASTER_AR_REPORT!M38</f>
        <v/>
      </c>
      <c r="N41" s="1">
        <f>MASTER_AR_REPORT!N38</f>
        <v/>
      </c>
      <c r="O41" s="1">
        <f>MASTER_AR_REPORT!O38</f>
        <v/>
      </c>
    </row>
    <row r="42">
      <c r="A42" s="3" t="n">
        <v>38</v>
      </c>
      <c r="B42" s="3">
        <f>IF(MASTER_AR_REPORT!B39="","",MASTER_AR_REPORT!B39)</f>
        <v/>
      </c>
      <c r="C42" s="8">
        <f>MASTER_AR_REPORT!C39</f>
        <v/>
      </c>
      <c r="D42" s="3">
        <f>IF(MASTER_AR_REPORT!D39="","",MASTER_AR_REPORT!D39)</f>
        <v/>
      </c>
      <c r="E42" s="3">
        <f>IF(MASTER_AR_REPORT!E39="","",MASTER_AR_REPORT!E39)</f>
        <v/>
      </c>
      <c r="F42" s="4">
        <f>MASTER_AR_REPORT!F39</f>
        <v/>
      </c>
      <c r="G42" s="8">
        <f>MASTER_AR_REPORT!G39</f>
        <v/>
      </c>
      <c r="H42" s="4">
        <f>MASTER_AR_REPORT!H39</f>
        <v/>
      </c>
      <c r="I42" s="4">
        <f>MASTER_AR_REPORT!I39</f>
        <v/>
      </c>
      <c r="J42" s="3">
        <f>MASTER_AR_REPORT!J39</f>
        <v/>
      </c>
      <c r="K42" s="3">
        <f>MASTER_AR_REPORT!K39</f>
        <v/>
      </c>
      <c r="L42" s="3">
        <f>MASTER_AR_REPORT!L39</f>
        <v/>
      </c>
      <c r="M42" s="3">
        <f>MASTER_AR_REPORT!M39</f>
        <v/>
      </c>
      <c r="N42" s="3">
        <f>MASTER_AR_REPORT!N39</f>
        <v/>
      </c>
      <c r="O42" s="3">
        <f>MASTER_AR_REPORT!O39</f>
        <v/>
      </c>
    </row>
    <row r="43">
      <c r="A43" s="1" t="n">
        <v>39</v>
      </c>
      <c r="B43" s="1">
        <f>IF(MASTER_AR_REPORT!B40="","",MASTER_AR_REPORT!B40)</f>
        <v/>
      </c>
      <c r="C43" s="9">
        <f>MASTER_AR_REPORT!C40</f>
        <v/>
      </c>
      <c r="D43" s="1">
        <f>IF(MASTER_AR_REPORT!D40="","",MASTER_AR_REPORT!D40)</f>
        <v/>
      </c>
      <c r="E43" s="1">
        <f>IF(MASTER_AR_REPORT!E40="","",MASTER_AR_REPORT!E40)</f>
        <v/>
      </c>
      <c r="F43" s="2">
        <f>MASTER_AR_REPORT!F40</f>
        <v/>
      </c>
      <c r="G43" s="9">
        <f>MASTER_AR_REPORT!G40</f>
        <v/>
      </c>
      <c r="H43" s="2">
        <f>MASTER_AR_REPORT!H40</f>
        <v/>
      </c>
      <c r="I43" s="2">
        <f>MASTER_AR_REPORT!I40</f>
        <v/>
      </c>
      <c r="J43" s="1">
        <f>MASTER_AR_REPORT!J40</f>
        <v/>
      </c>
      <c r="K43" s="1">
        <f>MASTER_AR_REPORT!K40</f>
        <v/>
      </c>
      <c r="L43" s="1">
        <f>MASTER_AR_REPORT!L40</f>
        <v/>
      </c>
      <c r="M43" s="1">
        <f>MASTER_AR_REPORT!M40</f>
        <v/>
      </c>
      <c r="N43" s="1">
        <f>MASTER_AR_REPORT!N40</f>
        <v/>
      </c>
      <c r="O43" s="1">
        <f>MASTER_AR_REPORT!O40</f>
        <v/>
      </c>
    </row>
    <row r="44">
      <c r="A44" s="3" t="n">
        <v>40</v>
      </c>
      <c r="B44" s="3">
        <f>IF(MASTER_AR_REPORT!B41="","",MASTER_AR_REPORT!B41)</f>
        <v/>
      </c>
      <c r="C44" s="8">
        <f>MASTER_AR_REPORT!C41</f>
        <v/>
      </c>
      <c r="D44" s="3">
        <f>IF(MASTER_AR_REPORT!D41="","",MASTER_AR_REPORT!D41)</f>
        <v/>
      </c>
      <c r="E44" s="3">
        <f>IF(MASTER_AR_REPORT!E41="","",MASTER_AR_REPORT!E41)</f>
        <v/>
      </c>
      <c r="F44" s="4">
        <f>MASTER_AR_REPORT!F41</f>
        <v/>
      </c>
      <c r="G44" s="8">
        <f>MASTER_AR_REPORT!G41</f>
        <v/>
      </c>
      <c r="H44" s="4">
        <f>MASTER_AR_REPORT!H41</f>
        <v/>
      </c>
      <c r="I44" s="4">
        <f>MASTER_AR_REPORT!I41</f>
        <v/>
      </c>
      <c r="J44" s="3">
        <f>MASTER_AR_REPORT!J41</f>
        <v/>
      </c>
      <c r="K44" s="3">
        <f>MASTER_AR_REPORT!K41</f>
        <v/>
      </c>
      <c r="L44" s="3">
        <f>MASTER_AR_REPORT!L41</f>
        <v/>
      </c>
      <c r="M44" s="3">
        <f>MASTER_AR_REPORT!M41</f>
        <v/>
      </c>
      <c r="N44" s="3">
        <f>MASTER_AR_REPORT!N41</f>
        <v/>
      </c>
      <c r="O44" s="3">
        <f>MASTER_AR_REPORT!O41</f>
        <v/>
      </c>
    </row>
    <row r="45">
      <c r="A45" s="1" t="n">
        <v>41</v>
      </c>
      <c r="B45" s="1">
        <f>IF(MASTER_AR_REPORT!B42="","",MASTER_AR_REPORT!B42)</f>
        <v/>
      </c>
      <c r="C45" s="9">
        <f>MASTER_AR_REPORT!C42</f>
        <v/>
      </c>
      <c r="D45" s="1">
        <f>IF(MASTER_AR_REPORT!D42="","",MASTER_AR_REPORT!D42)</f>
        <v/>
      </c>
      <c r="E45" s="1">
        <f>IF(MASTER_AR_REPORT!E42="","",MASTER_AR_REPORT!E42)</f>
        <v/>
      </c>
      <c r="F45" s="2">
        <f>MASTER_AR_REPORT!F42</f>
        <v/>
      </c>
      <c r="G45" s="9">
        <f>MASTER_AR_REPORT!G42</f>
        <v/>
      </c>
      <c r="H45" s="2">
        <f>MASTER_AR_REPORT!H42</f>
        <v/>
      </c>
      <c r="I45" s="2">
        <f>MASTER_AR_REPORT!I42</f>
        <v/>
      </c>
      <c r="J45" s="1">
        <f>MASTER_AR_REPORT!J42</f>
        <v/>
      </c>
      <c r="K45" s="1">
        <f>MASTER_AR_REPORT!K42</f>
        <v/>
      </c>
      <c r="L45" s="1">
        <f>MASTER_AR_REPORT!L42</f>
        <v/>
      </c>
      <c r="M45" s="1">
        <f>MASTER_AR_REPORT!M42</f>
        <v/>
      </c>
      <c r="N45" s="1">
        <f>MASTER_AR_REPORT!N42</f>
        <v/>
      </c>
      <c r="O45" s="1">
        <f>MASTER_AR_REPORT!O42</f>
        <v/>
      </c>
    </row>
    <row r="46">
      <c r="A46" s="3" t="n">
        <v>42</v>
      </c>
      <c r="B46" s="3">
        <f>IF(MASTER_AR_REPORT!B43="","",MASTER_AR_REPORT!B43)</f>
        <v/>
      </c>
      <c r="C46" s="8">
        <f>MASTER_AR_REPORT!C43</f>
        <v/>
      </c>
      <c r="D46" s="3">
        <f>IF(MASTER_AR_REPORT!D43="","",MASTER_AR_REPORT!D43)</f>
        <v/>
      </c>
      <c r="E46" s="3">
        <f>IF(MASTER_AR_REPORT!E43="","",MASTER_AR_REPORT!E43)</f>
        <v/>
      </c>
      <c r="F46" s="4">
        <f>MASTER_AR_REPORT!F43</f>
        <v/>
      </c>
      <c r="G46" s="8">
        <f>MASTER_AR_REPORT!G43</f>
        <v/>
      </c>
      <c r="H46" s="4">
        <f>MASTER_AR_REPORT!H43</f>
        <v/>
      </c>
      <c r="I46" s="4">
        <f>MASTER_AR_REPORT!I43</f>
        <v/>
      </c>
      <c r="J46" s="3">
        <f>MASTER_AR_REPORT!J43</f>
        <v/>
      </c>
      <c r="K46" s="3">
        <f>MASTER_AR_REPORT!K43</f>
        <v/>
      </c>
      <c r="L46" s="3">
        <f>MASTER_AR_REPORT!L43</f>
        <v/>
      </c>
      <c r="M46" s="3">
        <f>MASTER_AR_REPORT!M43</f>
        <v/>
      </c>
      <c r="N46" s="3">
        <f>MASTER_AR_REPORT!N43</f>
        <v/>
      </c>
      <c r="O46" s="3">
        <f>MASTER_AR_REPORT!O43</f>
        <v/>
      </c>
    </row>
    <row r="47">
      <c r="A47" s="1" t="n">
        <v>43</v>
      </c>
      <c r="B47" s="1">
        <f>IF(MASTER_AR_REPORT!B44="","",MASTER_AR_REPORT!B44)</f>
        <v/>
      </c>
      <c r="C47" s="9">
        <f>MASTER_AR_REPORT!C44</f>
        <v/>
      </c>
      <c r="D47" s="1">
        <f>IF(MASTER_AR_REPORT!D44="","",MASTER_AR_REPORT!D44)</f>
        <v/>
      </c>
      <c r="E47" s="1">
        <f>IF(MASTER_AR_REPORT!E44="","",MASTER_AR_REPORT!E44)</f>
        <v/>
      </c>
      <c r="F47" s="2">
        <f>MASTER_AR_REPORT!F44</f>
        <v/>
      </c>
      <c r="G47" s="9">
        <f>MASTER_AR_REPORT!G44</f>
        <v/>
      </c>
      <c r="H47" s="2">
        <f>MASTER_AR_REPORT!H44</f>
        <v/>
      </c>
      <c r="I47" s="2">
        <f>MASTER_AR_REPORT!I44</f>
        <v/>
      </c>
      <c r="J47" s="1">
        <f>MASTER_AR_REPORT!J44</f>
        <v/>
      </c>
      <c r="K47" s="1">
        <f>MASTER_AR_REPORT!K44</f>
        <v/>
      </c>
      <c r="L47" s="1">
        <f>MASTER_AR_REPORT!L44</f>
        <v/>
      </c>
      <c r="M47" s="1">
        <f>MASTER_AR_REPORT!M44</f>
        <v/>
      </c>
      <c r="N47" s="1">
        <f>MASTER_AR_REPORT!N44</f>
        <v/>
      </c>
      <c r="O47" s="1">
        <f>MASTER_AR_REPORT!O44</f>
        <v/>
      </c>
    </row>
    <row r="48">
      <c r="A48" s="3" t="n">
        <v>44</v>
      </c>
      <c r="B48" s="3">
        <f>IF(MASTER_AR_REPORT!B45="","",MASTER_AR_REPORT!B45)</f>
        <v/>
      </c>
      <c r="C48" s="8">
        <f>MASTER_AR_REPORT!C45</f>
        <v/>
      </c>
      <c r="D48" s="3">
        <f>IF(MASTER_AR_REPORT!D45="","",MASTER_AR_REPORT!D45)</f>
        <v/>
      </c>
      <c r="E48" s="3">
        <f>IF(MASTER_AR_REPORT!E45="","",MASTER_AR_REPORT!E45)</f>
        <v/>
      </c>
      <c r="F48" s="4">
        <f>MASTER_AR_REPORT!F45</f>
        <v/>
      </c>
      <c r="G48" s="8">
        <f>MASTER_AR_REPORT!G45</f>
        <v/>
      </c>
      <c r="H48" s="4">
        <f>MASTER_AR_REPORT!H45</f>
        <v/>
      </c>
      <c r="I48" s="4">
        <f>MASTER_AR_REPORT!I45</f>
        <v/>
      </c>
      <c r="J48" s="3">
        <f>MASTER_AR_REPORT!J45</f>
        <v/>
      </c>
      <c r="K48" s="3">
        <f>MASTER_AR_REPORT!K45</f>
        <v/>
      </c>
      <c r="L48" s="3">
        <f>MASTER_AR_REPORT!L45</f>
        <v/>
      </c>
      <c r="M48" s="3">
        <f>MASTER_AR_REPORT!M45</f>
        <v/>
      </c>
      <c r="N48" s="3">
        <f>MASTER_AR_REPORT!N45</f>
        <v/>
      </c>
      <c r="O48" s="3">
        <f>MASTER_AR_REPORT!O45</f>
        <v/>
      </c>
    </row>
    <row r="49">
      <c r="A49" s="1" t="n">
        <v>45</v>
      </c>
      <c r="B49" s="1">
        <f>IF(MASTER_AR_REPORT!B46="","",MASTER_AR_REPORT!B46)</f>
        <v/>
      </c>
      <c r="C49" s="9">
        <f>MASTER_AR_REPORT!C46</f>
        <v/>
      </c>
      <c r="D49" s="1">
        <f>IF(MASTER_AR_REPORT!D46="","",MASTER_AR_REPORT!D46)</f>
        <v/>
      </c>
      <c r="E49" s="1">
        <f>IF(MASTER_AR_REPORT!E46="","",MASTER_AR_REPORT!E46)</f>
        <v/>
      </c>
      <c r="F49" s="2">
        <f>MASTER_AR_REPORT!F46</f>
        <v/>
      </c>
      <c r="G49" s="9">
        <f>MASTER_AR_REPORT!G46</f>
        <v/>
      </c>
      <c r="H49" s="2">
        <f>MASTER_AR_REPORT!H46</f>
        <v/>
      </c>
      <c r="I49" s="2">
        <f>MASTER_AR_REPORT!I46</f>
        <v/>
      </c>
      <c r="J49" s="1">
        <f>MASTER_AR_REPORT!J46</f>
        <v/>
      </c>
      <c r="K49" s="1">
        <f>MASTER_AR_REPORT!K46</f>
        <v/>
      </c>
      <c r="L49" s="1">
        <f>MASTER_AR_REPORT!L46</f>
        <v/>
      </c>
      <c r="M49" s="1">
        <f>MASTER_AR_REPORT!M46</f>
        <v/>
      </c>
      <c r="N49" s="1">
        <f>MASTER_AR_REPORT!N46</f>
        <v/>
      </c>
      <c r="O49" s="1">
        <f>MASTER_AR_REPORT!O46</f>
        <v/>
      </c>
    </row>
    <row r="50">
      <c r="A50" s="3" t="n">
        <v>46</v>
      </c>
      <c r="B50" s="3">
        <f>IF(MASTER_AR_REPORT!B47="","",MASTER_AR_REPORT!B47)</f>
        <v/>
      </c>
      <c r="C50" s="8">
        <f>MASTER_AR_REPORT!C47</f>
        <v/>
      </c>
      <c r="D50" s="3">
        <f>IF(MASTER_AR_REPORT!D47="","",MASTER_AR_REPORT!D47)</f>
        <v/>
      </c>
      <c r="E50" s="3">
        <f>IF(MASTER_AR_REPORT!E47="","",MASTER_AR_REPORT!E47)</f>
        <v/>
      </c>
      <c r="F50" s="4">
        <f>MASTER_AR_REPORT!F47</f>
        <v/>
      </c>
      <c r="G50" s="8">
        <f>MASTER_AR_REPORT!G47</f>
        <v/>
      </c>
      <c r="H50" s="4">
        <f>MASTER_AR_REPORT!H47</f>
        <v/>
      </c>
      <c r="I50" s="4">
        <f>MASTER_AR_REPORT!I47</f>
        <v/>
      </c>
      <c r="J50" s="3">
        <f>MASTER_AR_REPORT!J47</f>
        <v/>
      </c>
      <c r="K50" s="3">
        <f>MASTER_AR_REPORT!K47</f>
        <v/>
      </c>
      <c r="L50" s="3">
        <f>MASTER_AR_REPORT!L47</f>
        <v/>
      </c>
      <c r="M50" s="3">
        <f>MASTER_AR_REPORT!M47</f>
        <v/>
      </c>
      <c r="N50" s="3">
        <f>MASTER_AR_REPORT!N47</f>
        <v/>
      </c>
      <c r="O50" s="3">
        <f>MASTER_AR_REPORT!O47</f>
        <v/>
      </c>
    </row>
    <row r="51">
      <c r="A51" s="1" t="n">
        <v>47</v>
      </c>
      <c r="B51" s="1">
        <f>IF(MASTER_AR_REPORT!B48="","",MASTER_AR_REPORT!B48)</f>
        <v/>
      </c>
      <c r="C51" s="9">
        <f>MASTER_AR_REPORT!C48</f>
        <v/>
      </c>
      <c r="D51" s="1">
        <f>IF(MASTER_AR_REPORT!D48="","",MASTER_AR_REPORT!D48)</f>
        <v/>
      </c>
      <c r="E51" s="1">
        <f>IF(MASTER_AR_REPORT!E48="","",MASTER_AR_REPORT!E48)</f>
        <v/>
      </c>
      <c r="F51" s="2">
        <f>MASTER_AR_REPORT!F48</f>
        <v/>
      </c>
      <c r="G51" s="9">
        <f>MASTER_AR_REPORT!G48</f>
        <v/>
      </c>
      <c r="H51" s="2">
        <f>MASTER_AR_REPORT!H48</f>
        <v/>
      </c>
      <c r="I51" s="2">
        <f>MASTER_AR_REPORT!I48</f>
        <v/>
      </c>
      <c r="J51" s="1">
        <f>MASTER_AR_REPORT!J48</f>
        <v/>
      </c>
      <c r="K51" s="1">
        <f>MASTER_AR_REPORT!K48</f>
        <v/>
      </c>
      <c r="L51" s="1">
        <f>MASTER_AR_REPORT!L48</f>
        <v/>
      </c>
      <c r="M51" s="1">
        <f>MASTER_AR_REPORT!M48</f>
        <v/>
      </c>
      <c r="N51" s="1">
        <f>MASTER_AR_REPORT!N48</f>
        <v/>
      </c>
      <c r="O51" s="1">
        <f>MASTER_AR_REPORT!O48</f>
        <v/>
      </c>
    </row>
    <row r="52">
      <c r="A52" s="3" t="n">
        <v>48</v>
      </c>
      <c r="B52" s="3">
        <f>IF(MASTER_AR_REPORT!B49="","",MASTER_AR_REPORT!B49)</f>
        <v/>
      </c>
      <c r="C52" s="8">
        <f>MASTER_AR_REPORT!C49</f>
        <v/>
      </c>
      <c r="D52" s="3">
        <f>IF(MASTER_AR_REPORT!D49="","",MASTER_AR_REPORT!D49)</f>
        <v/>
      </c>
      <c r="E52" s="3">
        <f>IF(MASTER_AR_REPORT!E49="","",MASTER_AR_REPORT!E49)</f>
        <v/>
      </c>
      <c r="F52" s="4">
        <f>MASTER_AR_REPORT!F49</f>
        <v/>
      </c>
      <c r="G52" s="8">
        <f>MASTER_AR_REPORT!G49</f>
        <v/>
      </c>
      <c r="H52" s="4">
        <f>MASTER_AR_REPORT!H49</f>
        <v/>
      </c>
      <c r="I52" s="4">
        <f>MASTER_AR_REPORT!I49</f>
        <v/>
      </c>
      <c r="J52" s="3">
        <f>MASTER_AR_REPORT!J49</f>
        <v/>
      </c>
      <c r="K52" s="3">
        <f>MASTER_AR_REPORT!K49</f>
        <v/>
      </c>
      <c r="L52" s="3">
        <f>MASTER_AR_REPORT!L49</f>
        <v/>
      </c>
      <c r="M52" s="3">
        <f>MASTER_AR_REPORT!M49</f>
        <v/>
      </c>
      <c r="N52" s="3">
        <f>MASTER_AR_REPORT!N49</f>
        <v/>
      </c>
      <c r="O52" s="3">
        <f>MASTER_AR_REPORT!O49</f>
        <v/>
      </c>
    </row>
    <row r="53">
      <c r="A53" s="1" t="n">
        <v>49</v>
      </c>
      <c r="B53" s="1">
        <f>IF(MASTER_AR_REPORT!B50="","",MASTER_AR_REPORT!B50)</f>
        <v/>
      </c>
      <c r="C53" s="9">
        <f>MASTER_AR_REPORT!C50</f>
        <v/>
      </c>
      <c r="D53" s="1">
        <f>IF(MASTER_AR_REPORT!D50="","",MASTER_AR_REPORT!D50)</f>
        <v/>
      </c>
      <c r="E53" s="1">
        <f>IF(MASTER_AR_REPORT!E50="","",MASTER_AR_REPORT!E50)</f>
        <v/>
      </c>
      <c r="F53" s="2">
        <f>MASTER_AR_REPORT!F50</f>
        <v/>
      </c>
      <c r="G53" s="9">
        <f>MASTER_AR_REPORT!G50</f>
        <v/>
      </c>
      <c r="H53" s="2">
        <f>MASTER_AR_REPORT!H50</f>
        <v/>
      </c>
      <c r="I53" s="2">
        <f>MASTER_AR_REPORT!I50</f>
        <v/>
      </c>
      <c r="J53" s="1">
        <f>MASTER_AR_REPORT!J50</f>
        <v/>
      </c>
      <c r="K53" s="1">
        <f>MASTER_AR_REPORT!K50</f>
        <v/>
      </c>
      <c r="L53" s="1">
        <f>MASTER_AR_REPORT!L50</f>
        <v/>
      </c>
      <c r="M53" s="1">
        <f>MASTER_AR_REPORT!M50</f>
        <v/>
      </c>
      <c r="N53" s="1">
        <f>MASTER_AR_REPORT!N50</f>
        <v/>
      </c>
      <c r="O53" s="1">
        <f>MASTER_AR_REPORT!O50</f>
        <v/>
      </c>
    </row>
    <row r="54">
      <c r="A54" s="3" t="n">
        <v>50</v>
      </c>
      <c r="B54" s="3">
        <f>IF(MASTER_AR_REPORT!B51="","",MASTER_AR_REPORT!B51)</f>
        <v/>
      </c>
      <c r="C54" s="8">
        <f>MASTER_AR_REPORT!C51</f>
        <v/>
      </c>
      <c r="D54" s="3">
        <f>IF(MASTER_AR_REPORT!D51="","",MASTER_AR_REPORT!D51)</f>
        <v/>
      </c>
      <c r="E54" s="3">
        <f>IF(MASTER_AR_REPORT!E51="","",MASTER_AR_REPORT!E51)</f>
        <v/>
      </c>
      <c r="F54" s="4">
        <f>MASTER_AR_REPORT!F51</f>
        <v/>
      </c>
      <c r="G54" s="8">
        <f>MASTER_AR_REPORT!G51</f>
        <v/>
      </c>
      <c r="H54" s="4">
        <f>MASTER_AR_REPORT!H51</f>
        <v/>
      </c>
      <c r="I54" s="4">
        <f>MASTER_AR_REPORT!I51</f>
        <v/>
      </c>
      <c r="J54" s="3">
        <f>MASTER_AR_REPORT!J51</f>
        <v/>
      </c>
      <c r="K54" s="3">
        <f>MASTER_AR_REPORT!K51</f>
        <v/>
      </c>
      <c r="L54" s="3">
        <f>MASTER_AR_REPORT!L51</f>
        <v/>
      </c>
      <c r="M54" s="3">
        <f>MASTER_AR_REPORT!M51</f>
        <v/>
      </c>
      <c r="N54" s="3">
        <f>MASTER_AR_REPORT!N51</f>
        <v/>
      </c>
      <c r="O54" s="3">
        <f>MASTER_AR_REPORT!O51</f>
        <v/>
      </c>
    </row>
    <row r="55">
      <c r="A55" s="1" t="n">
        <v>51</v>
      </c>
      <c r="B55" s="1">
        <f>IF(MASTER_AR_REPORT!B52="","",MASTER_AR_REPORT!B52)</f>
        <v/>
      </c>
      <c r="C55" s="9">
        <f>MASTER_AR_REPORT!C52</f>
        <v/>
      </c>
      <c r="D55" s="1">
        <f>IF(MASTER_AR_REPORT!D52="","",MASTER_AR_REPORT!D52)</f>
        <v/>
      </c>
      <c r="E55" s="1">
        <f>IF(MASTER_AR_REPORT!E52="","",MASTER_AR_REPORT!E52)</f>
        <v/>
      </c>
      <c r="F55" s="2">
        <f>MASTER_AR_REPORT!F52</f>
        <v/>
      </c>
      <c r="G55" s="9">
        <f>MASTER_AR_REPORT!G52</f>
        <v/>
      </c>
      <c r="H55" s="2">
        <f>MASTER_AR_REPORT!H52</f>
        <v/>
      </c>
      <c r="I55" s="2">
        <f>MASTER_AR_REPORT!I52</f>
        <v/>
      </c>
      <c r="J55" s="1">
        <f>MASTER_AR_REPORT!J52</f>
        <v/>
      </c>
      <c r="K55" s="1">
        <f>MASTER_AR_REPORT!K52</f>
        <v/>
      </c>
      <c r="L55" s="1">
        <f>MASTER_AR_REPORT!L52</f>
        <v/>
      </c>
      <c r="M55" s="1">
        <f>MASTER_AR_REPORT!M52</f>
        <v/>
      </c>
      <c r="N55" s="1">
        <f>MASTER_AR_REPORT!N52</f>
        <v/>
      </c>
      <c r="O55" s="1">
        <f>MASTER_AR_REPORT!O52</f>
        <v/>
      </c>
    </row>
    <row r="56">
      <c r="A56" s="3" t="n">
        <v>52</v>
      </c>
      <c r="B56" s="3">
        <f>IF(MASTER_AR_REPORT!B53="","",MASTER_AR_REPORT!B53)</f>
        <v/>
      </c>
      <c r="C56" s="8">
        <f>MASTER_AR_REPORT!C53</f>
        <v/>
      </c>
      <c r="D56" s="3">
        <f>IF(MASTER_AR_REPORT!D53="","",MASTER_AR_REPORT!D53)</f>
        <v/>
      </c>
      <c r="E56" s="3">
        <f>IF(MASTER_AR_REPORT!E53="","",MASTER_AR_REPORT!E53)</f>
        <v/>
      </c>
      <c r="F56" s="4">
        <f>MASTER_AR_REPORT!F53</f>
        <v/>
      </c>
      <c r="G56" s="8">
        <f>MASTER_AR_REPORT!G53</f>
        <v/>
      </c>
      <c r="H56" s="4">
        <f>MASTER_AR_REPORT!H53</f>
        <v/>
      </c>
      <c r="I56" s="4">
        <f>MASTER_AR_REPORT!I53</f>
        <v/>
      </c>
      <c r="J56" s="3">
        <f>MASTER_AR_REPORT!J53</f>
        <v/>
      </c>
      <c r="K56" s="3">
        <f>MASTER_AR_REPORT!K53</f>
        <v/>
      </c>
      <c r="L56" s="3">
        <f>MASTER_AR_REPORT!L53</f>
        <v/>
      </c>
      <c r="M56" s="3">
        <f>MASTER_AR_REPORT!M53</f>
        <v/>
      </c>
      <c r="N56" s="3">
        <f>MASTER_AR_REPORT!N53</f>
        <v/>
      </c>
      <c r="O56" s="3">
        <f>MASTER_AR_REPORT!O53</f>
        <v/>
      </c>
    </row>
    <row r="57">
      <c r="A57" s="1" t="n">
        <v>53</v>
      </c>
      <c r="B57" s="1">
        <f>IF(MASTER_AR_REPORT!B54="","",MASTER_AR_REPORT!B54)</f>
        <v/>
      </c>
      <c r="C57" s="9">
        <f>MASTER_AR_REPORT!C54</f>
        <v/>
      </c>
      <c r="D57" s="1">
        <f>IF(MASTER_AR_REPORT!D54="","",MASTER_AR_REPORT!D54)</f>
        <v/>
      </c>
      <c r="E57" s="1">
        <f>IF(MASTER_AR_REPORT!E54="","",MASTER_AR_REPORT!E54)</f>
        <v/>
      </c>
      <c r="F57" s="2">
        <f>MASTER_AR_REPORT!F54</f>
        <v/>
      </c>
      <c r="G57" s="9">
        <f>MASTER_AR_REPORT!G54</f>
        <v/>
      </c>
      <c r="H57" s="2">
        <f>MASTER_AR_REPORT!H54</f>
        <v/>
      </c>
      <c r="I57" s="2">
        <f>MASTER_AR_REPORT!I54</f>
        <v/>
      </c>
      <c r="J57" s="1">
        <f>MASTER_AR_REPORT!J54</f>
        <v/>
      </c>
      <c r="K57" s="1">
        <f>MASTER_AR_REPORT!K54</f>
        <v/>
      </c>
      <c r="L57" s="1">
        <f>MASTER_AR_REPORT!L54</f>
        <v/>
      </c>
      <c r="M57" s="1">
        <f>MASTER_AR_REPORT!M54</f>
        <v/>
      </c>
      <c r="N57" s="1">
        <f>MASTER_AR_REPORT!N54</f>
        <v/>
      </c>
      <c r="O57" s="1">
        <f>MASTER_AR_REPORT!O54</f>
        <v/>
      </c>
    </row>
    <row r="58">
      <c r="A58" s="3" t="n">
        <v>54</v>
      </c>
      <c r="B58" s="3">
        <f>IF(MASTER_AR_REPORT!B55="","",MASTER_AR_REPORT!B55)</f>
        <v/>
      </c>
      <c r="C58" s="8">
        <f>MASTER_AR_REPORT!C55</f>
        <v/>
      </c>
      <c r="D58" s="3">
        <f>IF(MASTER_AR_REPORT!D55="","",MASTER_AR_REPORT!D55)</f>
        <v/>
      </c>
      <c r="E58" s="3">
        <f>IF(MASTER_AR_REPORT!E55="","",MASTER_AR_REPORT!E55)</f>
        <v/>
      </c>
      <c r="F58" s="4">
        <f>MASTER_AR_REPORT!F55</f>
        <v/>
      </c>
      <c r="G58" s="8">
        <f>MASTER_AR_REPORT!G55</f>
        <v/>
      </c>
      <c r="H58" s="4">
        <f>MASTER_AR_REPORT!H55</f>
        <v/>
      </c>
      <c r="I58" s="4">
        <f>MASTER_AR_REPORT!I55</f>
        <v/>
      </c>
      <c r="J58" s="3">
        <f>MASTER_AR_REPORT!J55</f>
        <v/>
      </c>
      <c r="K58" s="3">
        <f>MASTER_AR_REPORT!K55</f>
        <v/>
      </c>
      <c r="L58" s="3">
        <f>MASTER_AR_REPORT!L55</f>
        <v/>
      </c>
      <c r="M58" s="3">
        <f>MASTER_AR_REPORT!M55</f>
        <v/>
      </c>
      <c r="N58" s="3">
        <f>MASTER_AR_REPORT!N55</f>
        <v/>
      </c>
      <c r="O58" s="3">
        <f>MASTER_AR_REPORT!O55</f>
        <v/>
      </c>
    </row>
    <row r="59">
      <c r="A59" s="1" t="n">
        <v>55</v>
      </c>
      <c r="B59" s="1">
        <f>IF(MASTER_AR_REPORT!B56="","",MASTER_AR_REPORT!B56)</f>
        <v/>
      </c>
      <c r="C59" s="9">
        <f>MASTER_AR_REPORT!C56</f>
        <v/>
      </c>
      <c r="D59" s="1">
        <f>IF(MASTER_AR_REPORT!D56="","",MASTER_AR_REPORT!D56)</f>
        <v/>
      </c>
      <c r="E59" s="1">
        <f>IF(MASTER_AR_REPORT!E56="","",MASTER_AR_REPORT!E56)</f>
        <v/>
      </c>
      <c r="F59" s="2">
        <f>MASTER_AR_REPORT!F56</f>
        <v/>
      </c>
      <c r="G59" s="9">
        <f>MASTER_AR_REPORT!G56</f>
        <v/>
      </c>
      <c r="H59" s="2">
        <f>MASTER_AR_REPORT!H56</f>
        <v/>
      </c>
      <c r="I59" s="2">
        <f>MASTER_AR_REPORT!I56</f>
        <v/>
      </c>
      <c r="J59" s="1">
        <f>MASTER_AR_REPORT!J56</f>
        <v/>
      </c>
      <c r="K59" s="1">
        <f>MASTER_AR_REPORT!K56</f>
        <v/>
      </c>
      <c r="L59" s="1">
        <f>MASTER_AR_REPORT!L56</f>
        <v/>
      </c>
      <c r="M59" s="1">
        <f>MASTER_AR_REPORT!M56</f>
        <v/>
      </c>
      <c r="N59" s="1">
        <f>MASTER_AR_REPORT!N56</f>
        <v/>
      </c>
      <c r="O59" s="1">
        <f>MASTER_AR_REPORT!O56</f>
        <v/>
      </c>
    </row>
    <row r="60">
      <c r="A60" s="3" t="n">
        <v>56</v>
      </c>
      <c r="B60" s="3">
        <f>IF(MASTER_AR_REPORT!B57="","",MASTER_AR_REPORT!B57)</f>
        <v/>
      </c>
      <c r="C60" s="8">
        <f>MASTER_AR_REPORT!C57</f>
        <v/>
      </c>
      <c r="D60" s="3">
        <f>IF(MASTER_AR_REPORT!D57="","",MASTER_AR_REPORT!D57)</f>
        <v/>
      </c>
      <c r="E60" s="3">
        <f>IF(MASTER_AR_REPORT!E57="","",MASTER_AR_REPORT!E57)</f>
        <v/>
      </c>
      <c r="F60" s="4">
        <f>MASTER_AR_REPORT!F57</f>
        <v/>
      </c>
      <c r="G60" s="8">
        <f>MASTER_AR_REPORT!G57</f>
        <v/>
      </c>
      <c r="H60" s="4">
        <f>MASTER_AR_REPORT!H57</f>
        <v/>
      </c>
      <c r="I60" s="4">
        <f>MASTER_AR_REPORT!I57</f>
        <v/>
      </c>
      <c r="J60" s="3">
        <f>MASTER_AR_REPORT!J57</f>
        <v/>
      </c>
      <c r="K60" s="3">
        <f>MASTER_AR_REPORT!K57</f>
        <v/>
      </c>
      <c r="L60" s="3">
        <f>MASTER_AR_REPORT!L57</f>
        <v/>
      </c>
      <c r="M60" s="3">
        <f>MASTER_AR_REPORT!M57</f>
        <v/>
      </c>
      <c r="N60" s="3">
        <f>MASTER_AR_REPORT!N57</f>
        <v/>
      </c>
      <c r="O60" s="3">
        <f>MASTER_AR_REPORT!O57</f>
        <v/>
      </c>
    </row>
    <row r="61">
      <c r="A61" s="1" t="n">
        <v>57</v>
      </c>
      <c r="B61" s="1">
        <f>IF(MASTER_AR_REPORT!B58="","",MASTER_AR_REPORT!B58)</f>
        <v/>
      </c>
      <c r="C61" s="9">
        <f>MASTER_AR_REPORT!C58</f>
        <v/>
      </c>
      <c r="D61" s="1">
        <f>IF(MASTER_AR_REPORT!D58="","",MASTER_AR_REPORT!D58)</f>
        <v/>
      </c>
      <c r="E61" s="1">
        <f>IF(MASTER_AR_REPORT!E58="","",MASTER_AR_REPORT!E58)</f>
        <v/>
      </c>
      <c r="F61" s="2">
        <f>MASTER_AR_REPORT!F58</f>
        <v/>
      </c>
      <c r="G61" s="9">
        <f>MASTER_AR_REPORT!G58</f>
        <v/>
      </c>
      <c r="H61" s="2">
        <f>MASTER_AR_REPORT!H58</f>
        <v/>
      </c>
      <c r="I61" s="2">
        <f>MASTER_AR_REPORT!I58</f>
        <v/>
      </c>
      <c r="J61" s="1">
        <f>MASTER_AR_REPORT!J58</f>
        <v/>
      </c>
      <c r="K61" s="1">
        <f>MASTER_AR_REPORT!K58</f>
        <v/>
      </c>
      <c r="L61" s="1">
        <f>MASTER_AR_REPORT!L58</f>
        <v/>
      </c>
      <c r="M61" s="1">
        <f>MASTER_AR_REPORT!M58</f>
        <v/>
      </c>
      <c r="N61" s="1">
        <f>MASTER_AR_REPORT!N58</f>
        <v/>
      </c>
      <c r="O61" s="1">
        <f>MASTER_AR_REPORT!O58</f>
        <v/>
      </c>
    </row>
    <row r="62">
      <c r="A62" s="10" t="n"/>
      <c r="B62" s="10" t="n"/>
      <c r="C62" s="10" t="n"/>
      <c r="D62" s="10" t="n"/>
      <c r="E62" s="5" t="inlineStr">
        <is>
          <t>TOTAL</t>
        </is>
      </c>
      <c r="F62" s="6">
        <f>SUM(F5:F61)</f>
        <v/>
      </c>
      <c r="G62" s="10" t="n"/>
      <c r="H62" s="6">
        <f>SUM(H5:H61)</f>
        <v/>
      </c>
      <c r="I62" s="6">
        <f>SUM(I5:I61)</f>
        <v/>
      </c>
      <c r="J62" s="10" t="n"/>
      <c r="K62" s="10" t="n"/>
      <c r="L62" s="10" t="n"/>
      <c r="M62" s="10" t="n"/>
      <c r="N62" s="10" t="n"/>
      <c r="O62" s="10" t="n"/>
    </row>
  </sheetData>
  <autoFilter ref="A4:O61"/>
  <mergeCells count="2">
    <mergeCell ref="A1:O1"/>
    <mergeCell ref="A2:O2"/>
  </mergeCells>
  <conditionalFormatting sqref="A5:O61">
    <cfRule type="expression" priority="1" dxfId="3">
      <formula>AND($J5&gt;=90,$I5&gt;0)</formula>
    </cfRule>
    <cfRule type="expression" priority="2" dxfId="2">
      <formula>AND($J5&gt;=61,$J5&lt;90,$I5&gt;0)</formula>
    </cfRule>
    <cfRule type="expression" priority="3" dxfId="1">
      <formula>AND($J5&gt;=31,$J5&lt;61,$I5&gt;0)</formula>
    </cfRule>
    <cfRule type="expression" priority="4" dxfId="0">
      <formula>AND($J5&gt;=1,$J5&lt;31,$I5&gt;0)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0"/>
  <sheetViews>
    <sheetView topLeftCell="C1" workbookViewId="0">
      <pane ySplit="4" topLeftCell="A33" activePane="bottomLeft" state="frozen"/>
      <selection pane="bottomLeft" activeCell="E67" sqref="E67"/>
    </sheetView>
  </sheetViews>
  <sheetFormatPr baseColWidth="8" defaultRowHeight="14.4"/>
  <cols>
    <col width="6" customWidth="1" style="243" min="1" max="1"/>
    <col width="14" customWidth="1" style="243" min="2" max="3"/>
    <col width="20" customWidth="1" style="243" min="4" max="4"/>
    <col width="39.33203125" bestFit="1" customWidth="1" style="243" min="5" max="5"/>
    <col width="14" customWidth="1" style="243" min="6" max="8"/>
    <col width="16" customWidth="1" style="243" min="9" max="9"/>
    <col width="14" customWidth="1" style="243" min="10" max="10"/>
    <col width="16" customWidth="1" style="243" min="11" max="11"/>
    <col width="14" customWidth="1" style="243" min="12" max="12"/>
    <col width="18" customWidth="1" style="243" min="13" max="13"/>
    <col width="12" customWidth="1" style="243" min="14" max="14"/>
    <col width="40" bestFit="1" customWidth="1" style="243" min="15" max="15"/>
  </cols>
  <sheetData>
    <row r="1" ht="36" customHeight="1" s="243">
      <c r="A1" s="242" t="inlineStr">
        <is>
          <t>AR Aging Report - Praveen</t>
        </is>
      </c>
    </row>
    <row r="2" ht="22.2" customHeight="1" s="243">
      <c r="A2" s="244" t="inlineStr">
        <is>
          <t>Report Date: 21-May-2026</t>
        </is>
      </c>
    </row>
    <row r="3" ht="6" customHeight="1" s="243"/>
    <row r="4" ht="30" customHeight="1" s="243">
      <c r="A4" s="105" t="inlineStr">
        <is>
          <t>S.No</t>
        </is>
      </c>
      <c r="B4" s="105" t="inlineStr">
        <is>
          <t>Source Sheet</t>
        </is>
      </c>
      <c r="C4" s="105" t="inlineStr">
        <is>
          <t>Date</t>
        </is>
      </c>
      <c r="D4" s="105" t="inlineStr">
        <is>
          <t>Invoice No</t>
        </is>
      </c>
      <c r="E4" s="105" t="inlineStr">
        <is>
          <t>Customer Name</t>
        </is>
      </c>
      <c r="F4" s="105" t="inlineStr">
        <is>
          <t>Invoice Amount</t>
        </is>
      </c>
      <c r="G4" s="105" t="inlineStr">
        <is>
          <t>Due Date</t>
        </is>
      </c>
      <c r="H4" s="105" t="inlineStr">
        <is>
          <t>Paid Amount</t>
        </is>
      </c>
      <c r="I4" s="105" t="inlineStr">
        <is>
          <t>Outstanding Amount</t>
        </is>
      </c>
      <c r="J4" s="105" t="inlineStr">
        <is>
          <t>Days Overdue</t>
        </is>
      </c>
      <c r="K4" s="105" t="inlineStr">
        <is>
          <t>Aging Bucket</t>
        </is>
      </c>
      <c r="L4" s="105" t="inlineStr">
        <is>
          <t>Risk Level</t>
        </is>
      </c>
      <c r="M4" s="105" t="inlineStr">
        <is>
          <t>Follow-up Priority</t>
        </is>
      </c>
      <c r="N4" s="105" t="inlineStr">
        <is>
          <t>Call Status</t>
        </is>
      </c>
      <c r="O4" s="105" t="inlineStr">
        <is>
          <t>Last Follow-up Notes</t>
        </is>
      </c>
    </row>
    <row r="5">
      <c r="A5" s="1" t="n">
        <v>1</v>
      </c>
      <c r="B5" s="1">
        <f>IF(MASTER_AR_REPORT!B59="","",MASTER_AR_REPORT!B59)</f>
        <v/>
      </c>
      <c r="C5" s="9">
        <f>MASTER_AR_REPORT!C59</f>
        <v/>
      </c>
      <c r="D5" s="1">
        <f>IF(MASTER_AR_REPORT!D59="","",MASTER_AR_REPORT!D59)</f>
        <v/>
      </c>
      <c r="E5" s="1">
        <f>IF(MASTER_AR_REPORT!E59="","",MASTER_AR_REPORT!E59)</f>
        <v/>
      </c>
      <c r="F5" s="2">
        <f>MASTER_AR_REPORT!F59</f>
        <v/>
      </c>
      <c r="G5" s="9">
        <f>MASTER_AR_REPORT!G59</f>
        <v/>
      </c>
      <c r="H5" s="2">
        <f>MASTER_AR_REPORT!H59</f>
        <v/>
      </c>
      <c r="I5" s="2">
        <f>MASTER_AR_REPORT!I59</f>
        <v/>
      </c>
      <c r="J5" s="1">
        <f>MASTER_AR_REPORT!J59</f>
        <v/>
      </c>
      <c r="K5" s="1">
        <f>MASTER_AR_REPORT!K59</f>
        <v/>
      </c>
      <c r="L5" s="1">
        <f>MASTER_AR_REPORT!L59</f>
        <v/>
      </c>
      <c r="M5" s="1">
        <f>MASTER_AR_REPORT!M59</f>
        <v/>
      </c>
      <c r="N5" s="1">
        <f>MASTER_AR_REPORT!N59</f>
        <v/>
      </c>
      <c r="O5" s="1">
        <f>MASTER_AR_REPORT!O59</f>
        <v/>
      </c>
    </row>
    <row r="6">
      <c r="A6" s="3" t="n">
        <v>2</v>
      </c>
      <c r="B6" s="3">
        <f>IF(MASTER_AR_REPORT!B60="","",MASTER_AR_REPORT!B60)</f>
        <v/>
      </c>
      <c r="C6" s="8">
        <f>MASTER_AR_REPORT!C60</f>
        <v/>
      </c>
      <c r="D6" s="3">
        <f>IF(MASTER_AR_REPORT!D60="","",MASTER_AR_REPORT!D60)</f>
        <v/>
      </c>
      <c r="E6" s="3">
        <f>IF(MASTER_AR_REPORT!E60="","",MASTER_AR_REPORT!E60)</f>
        <v/>
      </c>
      <c r="F6" s="4">
        <f>MASTER_AR_REPORT!F60</f>
        <v/>
      </c>
      <c r="G6" s="8">
        <f>MASTER_AR_REPORT!G60</f>
        <v/>
      </c>
      <c r="H6" s="4">
        <f>MASTER_AR_REPORT!H60</f>
        <v/>
      </c>
      <c r="I6" s="4">
        <f>MASTER_AR_REPORT!I60</f>
        <v/>
      </c>
      <c r="J6" s="3">
        <f>MASTER_AR_REPORT!J60</f>
        <v/>
      </c>
      <c r="K6" s="3">
        <f>MASTER_AR_REPORT!K60</f>
        <v/>
      </c>
      <c r="L6" s="3">
        <f>MASTER_AR_REPORT!L60</f>
        <v/>
      </c>
      <c r="M6" s="3">
        <f>MASTER_AR_REPORT!M60</f>
        <v/>
      </c>
      <c r="N6" s="3">
        <f>MASTER_AR_REPORT!N60</f>
        <v/>
      </c>
      <c r="O6" s="3">
        <f>MASTER_AR_REPORT!O60</f>
        <v/>
      </c>
    </row>
    <row r="7">
      <c r="A7" s="1" t="n">
        <v>3</v>
      </c>
      <c r="B7" s="1">
        <f>IF(MASTER_AR_REPORT!B61="","",MASTER_AR_REPORT!B61)</f>
        <v/>
      </c>
      <c r="C7" s="9">
        <f>MASTER_AR_REPORT!C61</f>
        <v/>
      </c>
      <c r="D7" s="1">
        <f>IF(MASTER_AR_REPORT!D61="","",MASTER_AR_REPORT!D61)</f>
        <v/>
      </c>
      <c r="E7" s="1">
        <f>IF(MASTER_AR_REPORT!E61="","",MASTER_AR_REPORT!E61)</f>
        <v/>
      </c>
      <c r="F7" s="2">
        <f>MASTER_AR_REPORT!F61</f>
        <v/>
      </c>
      <c r="G7" s="9">
        <f>MASTER_AR_REPORT!G61</f>
        <v/>
      </c>
      <c r="H7" s="2">
        <f>MASTER_AR_REPORT!H61</f>
        <v/>
      </c>
      <c r="I7" s="2">
        <f>MASTER_AR_REPORT!I61</f>
        <v/>
      </c>
      <c r="J7" s="1">
        <f>MASTER_AR_REPORT!J61</f>
        <v/>
      </c>
      <c r="K7" s="1">
        <f>MASTER_AR_REPORT!K61</f>
        <v/>
      </c>
      <c r="L7" s="1">
        <f>MASTER_AR_REPORT!L61</f>
        <v/>
      </c>
      <c r="M7" s="1">
        <f>MASTER_AR_REPORT!M61</f>
        <v/>
      </c>
      <c r="N7" s="1">
        <f>MASTER_AR_REPORT!N61</f>
        <v/>
      </c>
      <c r="O7" s="1">
        <f>MASTER_AR_REPORT!O61</f>
        <v/>
      </c>
    </row>
    <row r="8">
      <c r="A8" s="3" t="n">
        <v>4</v>
      </c>
      <c r="B8" s="3">
        <f>IF(MASTER_AR_REPORT!B62="","",MASTER_AR_REPORT!B62)</f>
        <v/>
      </c>
      <c r="C8" s="8">
        <f>MASTER_AR_REPORT!C62</f>
        <v/>
      </c>
      <c r="D8" s="3">
        <f>IF(MASTER_AR_REPORT!D62="","",MASTER_AR_REPORT!D62)</f>
        <v/>
      </c>
      <c r="E8" s="3">
        <f>IF(MASTER_AR_REPORT!E62="","",MASTER_AR_REPORT!E62)</f>
        <v/>
      </c>
      <c r="F8" s="4">
        <f>MASTER_AR_REPORT!F62</f>
        <v/>
      </c>
      <c r="G8" s="8">
        <f>MASTER_AR_REPORT!G62</f>
        <v/>
      </c>
      <c r="H8" s="4">
        <f>MASTER_AR_REPORT!H62</f>
        <v/>
      </c>
      <c r="I8" s="4">
        <f>MASTER_AR_REPORT!I62</f>
        <v/>
      </c>
      <c r="J8" s="3">
        <f>MASTER_AR_REPORT!J62</f>
        <v/>
      </c>
      <c r="K8" s="3">
        <f>MASTER_AR_REPORT!K62</f>
        <v/>
      </c>
      <c r="L8" s="3">
        <f>MASTER_AR_REPORT!L62</f>
        <v/>
      </c>
      <c r="M8" s="3">
        <f>MASTER_AR_REPORT!M62</f>
        <v/>
      </c>
      <c r="N8" s="3">
        <f>MASTER_AR_REPORT!N62</f>
        <v/>
      </c>
      <c r="O8" s="3">
        <f>MASTER_AR_REPORT!O62</f>
        <v/>
      </c>
    </row>
    <row r="9">
      <c r="A9" s="1" t="n">
        <v>5</v>
      </c>
      <c r="B9" s="1">
        <f>IF(MASTER_AR_REPORT!B63="","",MASTER_AR_REPORT!B63)</f>
        <v/>
      </c>
      <c r="C9" s="9">
        <f>MASTER_AR_REPORT!C63</f>
        <v/>
      </c>
      <c r="D9" s="1">
        <f>IF(MASTER_AR_REPORT!D63="","",MASTER_AR_REPORT!D63)</f>
        <v/>
      </c>
      <c r="E9" s="1">
        <f>IF(MASTER_AR_REPORT!E63="","",MASTER_AR_REPORT!E63)</f>
        <v/>
      </c>
      <c r="F9" s="2">
        <f>MASTER_AR_REPORT!F63</f>
        <v/>
      </c>
      <c r="G9" s="9">
        <f>MASTER_AR_REPORT!G63</f>
        <v/>
      </c>
      <c r="H9" s="2">
        <f>MASTER_AR_REPORT!H63</f>
        <v/>
      </c>
      <c r="I9" s="2">
        <f>MASTER_AR_REPORT!I63</f>
        <v/>
      </c>
      <c r="J9" s="1">
        <f>MASTER_AR_REPORT!J63</f>
        <v/>
      </c>
      <c r="K9" s="1">
        <f>MASTER_AR_REPORT!K63</f>
        <v/>
      </c>
      <c r="L9" s="1">
        <f>MASTER_AR_REPORT!L63</f>
        <v/>
      </c>
      <c r="M9" s="1">
        <f>MASTER_AR_REPORT!M63</f>
        <v/>
      </c>
      <c r="N9" s="1">
        <f>MASTER_AR_REPORT!N63</f>
        <v/>
      </c>
      <c r="O9" s="1">
        <f>MASTER_AR_REPORT!O63</f>
        <v/>
      </c>
    </row>
    <row r="10">
      <c r="A10" s="3" t="n">
        <v>6</v>
      </c>
      <c r="B10" s="3">
        <f>IF(MASTER_AR_REPORT!B64="","",MASTER_AR_REPORT!B64)</f>
        <v/>
      </c>
      <c r="C10" s="8">
        <f>MASTER_AR_REPORT!C64</f>
        <v/>
      </c>
      <c r="D10" s="3">
        <f>IF(MASTER_AR_REPORT!D64="","",MASTER_AR_REPORT!D64)</f>
        <v/>
      </c>
      <c r="E10" s="3">
        <f>IF(MASTER_AR_REPORT!E64="","",MASTER_AR_REPORT!E64)</f>
        <v/>
      </c>
      <c r="F10" s="4">
        <f>MASTER_AR_REPORT!F64</f>
        <v/>
      </c>
      <c r="G10" s="8">
        <f>MASTER_AR_REPORT!G64</f>
        <v/>
      </c>
      <c r="H10" s="4">
        <f>MASTER_AR_REPORT!H64</f>
        <v/>
      </c>
      <c r="I10" s="4">
        <f>MASTER_AR_REPORT!I64</f>
        <v/>
      </c>
      <c r="J10" s="3">
        <f>MASTER_AR_REPORT!J64</f>
        <v/>
      </c>
      <c r="K10" s="3">
        <f>MASTER_AR_REPORT!K64</f>
        <v/>
      </c>
      <c r="L10" s="3">
        <f>MASTER_AR_REPORT!L64</f>
        <v/>
      </c>
      <c r="M10" s="3">
        <f>MASTER_AR_REPORT!M64</f>
        <v/>
      </c>
      <c r="N10" s="3">
        <f>MASTER_AR_REPORT!N64</f>
        <v/>
      </c>
      <c r="O10" s="3">
        <f>MASTER_AR_REPORT!O64</f>
        <v/>
      </c>
    </row>
    <row r="11">
      <c r="A11" s="1" t="n">
        <v>7</v>
      </c>
      <c r="B11" s="1">
        <f>IF(MASTER_AR_REPORT!B65="","",MASTER_AR_REPORT!B65)</f>
        <v/>
      </c>
      <c r="C11" s="9">
        <f>MASTER_AR_REPORT!C65</f>
        <v/>
      </c>
      <c r="D11" s="1">
        <f>IF(MASTER_AR_REPORT!D65="","",MASTER_AR_REPORT!D65)</f>
        <v/>
      </c>
      <c r="E11" s="1">
        <f>IF(MASTER_AR_REPORT!E65="","",MASTER_AR_REPORT!E65)</f>
        <v/>
      </c>
      <c r="F11" s="2">
        <f>MASTER_AR_REPORT!F65</f>
        <v/>
      </c>
      <c r="G11" s="9">
        <f>MASTER_AR_REPORT!G65</f>
        <v/>
      </c>
      <c r="H11" s="2">
        <f>MASTER_AR_REPORT!H65</f>
        <v/>
      </c>
      <c r="I11" s="2">
        <f>MASTER_AR_REPORT!I65</f>
        <v/>
      </c>
      <c r="J11" s="1">
        <f>MASTER_AR_REPORT!J65</f>
        <v/>
      </c>
      <c r="K11" s="1">
        <f>MASTER_AR_REPORT!K65</f>
        <v/>
      </c>
      <c r="L11" s="1">
        <f>MASTER_AR_REPORT!L65</f>
        <v/>
      </c>
      <c r="M11" s="1">
        <f>MASTER_AR_REPORT!M65</f>
        <v/>
      </c>
      <c r="N11" s="1">
        <f>MASTER_AR_REPORT!N65</f>
        <v/>
      </c>
      <c r="O11" s="1">
        <f>MASTER_AR_REPORT!O65</f>
        <v/>
      </c>
    </row>
    <row r="12">
      <c r="A12" s="3" t="n">
        <v>8</v>
      </c>
      <c r="B12" s="3">
        <f>IF(MASTER_AR_REPORT!B66="","",MASTER_AR_REPORT!B66)</f>
        <v/>
      </c>
      <c r="C12" s="8">
        <f>MASTER_AR_REPORT!C66</f>
        <v/>
      </c>
      <c r="D12" s="3">
        <f>IF(MASTER_AR_REPORT!D66="","",MASTER_AR_REPORT!D66)</f>
        <v/>
      </c>
      <c r="E12" s="3">
        <f>IF(MASTER_AR_REPORT!E66="","",MASTER_AR_REPORT!E66)</f>
        <v/>
      </c>
      <c r="F12" s="4">
        <f>MASTER_AR_REPORT!F66</f>
        <v/>
      </c>
      <c r="G12" s="8">
        <f>MASTER_AR_REPORT!G66</f>
        <v/>
      </c>
      <c r="H12" s="4">
        <f>MASTER_AR_REPORT!H66</f>
        <v/>
      </c>
      <c r="I12" s="4">
        <f>MASTER_AR_REPORT!I66</f>
        <v/>
      </c>
      <c r="J12" s="3">
        <f>MASTER_AR_REPORT!J66</f>
        <v/>
      </c>
      <c r="K12" s="3">
        <f>MASTER_AR_REPORT!K66</f>
        <v/>
      </c>
      <c r="L12" s="3">
        <f>MASTER_AR_REPORT!L66</f>
        <v/>
      </c>
      <c r="M12" s="3">
        <f>MASTER_AR_REPORT!M66</f>
        <v/>
      </c>
      <c r="N12" s="3">
        <f>MASTER_AR_REPORT!N66</f>
        <v/>
      </c>
      <c r="O12" s="3">
        <f>MASTER_AR_REPORT!O66</f>
        <v/>
      </c>
    </row>
    <row r="13">
      <c r="A13" s="1" t="n">
        <v>9</v>
      </c>
      <c r="B13" s="1">
        <f>IF(MASTER_AR_REPORT!B67="","",MASTER_AR_REPORT!B67)</f>
        <v/>
      </c>
      <c r="C13" s="9">
        <f>MASTER_AR_REPORT!C67</f>
        <v/>
      </c>
      <c r="D13" s="1">
        <f>IF(MASTER_AR_REPORT!D67="","",MASTER_AR_REPORT!D67)</f>
        <v/>
      </c>
      <c r="E13" s="1">
        <f>IF(MASTER_AR_REPORT!E67="","",MASTER_AR_REPORT!E67)</f>
        <v/>
      </c>
      <c r="F13" s="2">
        <f>MASTER_AR_REPORT!F67</f>
        <v/>
      </c>
      <c r="G13" s="9">
        <f>MASTER_AR_REPORT!G67</f>
        <v/>
      </c>
      <c r="H13" s="2">
        <f>MASTER_AR_REPORT!H67</f>
        <v/>
      </c>
      <c r="I13" s="2">
        <f>MASTER_AR_REPORT!I67</f>
        <v/>
      </c>
      <c r="J13" s="1">
        <f>MASTER_AR_REPORT!J67</f>
        <v/>
      </c>
      <c r="K13" s="1">
        <f>MASTER_AR_REPORT!K67</f>
        <v/>
      </c>
      <c r="L13" s="1">
        <f>MASTER_AR_REPORT!L67</f>
        <v/>
      </c>
      <c r="M13" s="1">
        <f>MASTER_AR_REPORT!M67</f>
        <v/>
      </c>
      <c r="N13" s="1">
        <f>MASTER_AR_REPORT!N67</f>
        <v/>
      </c>
      <c r="O13" s="1">
        <f>MASTER_AR_REPORT!O67</f>
        <v/>
      </c>
    </row>
    <row r="14">
      <c r="A14" s="3" t="n">
        <v>10</v>
      </c>
      <c r="B14" s="3">
        <f>IF(MASTER_AR_REPORT!B68="","",MASTER_AR_REPORT!B68)</f>
        <v/>
      </c>
      <c r="C14" s="8">
        <f>MASTER_AR_REPORT!C68</f>
        <v/>
      </c>
      <c r="D14" s="3">
        <f>IF(MASTER_AR_REPORT!D68="","",MASTER_AR_REPORT!D68)</f>
        <v/>
      </c>
      <c r="E14" s="3">
        <f>IF(MASTER_AR_REPORT!E68="","",MASTER_AR_REPORT!E68)</f>
        <v/>
      </c>
      <c r="F14" s="4">
        <f>MASTER_AR_REPORT!F68</f>
        <v/>
      </c>
      <c r="G14" s="8">
        <f>MASTER_AR_REPORT!G68</f>
        <v/>
      </c>
      <c r="H14" s="4">
        <f>MASTER_AR_REPORT!H68</f>
        <v/>
      </c>
      <c r="I14" s="4">
        <f>MASTER_AR_REPORT!I68</f>
        <v/>
      </c>
      <c r="J14" s="3">
        <f>MASTER_AR_REPORT!J68</f>
        <v/>
      </c>
      <c r="K14" s="3">
        <f>MASTER_AR_REPORT!K68</f>
        <v/>
      </c>
      <c r="L14" s="3">
        <f>MASTER_AR_REPORT!L68</f>
        <v/>
      </c>
      <c r="M14" s="3">
        <f>MASTER_AR_REPORT!M68</f>
        <v/>
      </c>
      <c r="N14" s="3">
        <f>MASTER_AR_REPORT!N68</f>
        <v/>
      </c>
      <c r="O14" s="3">
        <f>MASTER_AR_REPORT!O68</f>
        <v/>
      </c>
    </row>
    <row r="15">
      <c r="A15" s="1" t="n">
        <v>11</v>
      </c>
      <c r="B15" s="1">
        <f>IF(MASTER_AR_REPORT!B69="","",MASTER_AR_REPORT!B69)</f>
        <v/>
      </c>
      <c r="C15" s="9">
        <f>MASTER_AR_REPORT!C69</f>
        <v/>
      </c>
      <c r="D15" s="1">
        <f>IF(MASTER_AR_REPORT!D69="","",MASTER_AR_REPORT!D69)</f>
        <v/>
      </c>
      <c r="E15" s="1">
        <f>IF(MASTER_AR_REPORT!E69="","",MASTER_AR_REPORT!E69)</f>
        <v/>
      </c>
      <c r="F15" s="2">
        <f>MASTER_AR_REPORT!F69</f>
        <v/>
      </c>
      <c r="G15" s="9">
        <f>MASTER_AR_REPORT!G69</f>
        <v/>
      </c>
      <c r="H15" s="2">
        <f>MASTER_AR_REPORT!H69</f>
        <v/>
      </c>
      <c r="I15" s="2">
        <f>MASTER_AR_REPORT!I69</f>
        <v/>
      </c>
      <c r="J15" s="1">
        <f>MASTER_AR_REPORT!J69</f>
        <v/>
      </c>
      <c r="K15" s="1">
        <f>MASTER_AR_REPORT!K69</f>
        <v/>
      </c>
      <c r="L15" s="1">
        <f>MASTER_AR_REPORT!L69</f>
        <v/>
      </c>
      <c r="M15" s="1">
        <f>MASTER_AR_REPORT!M69</f>
        <v/>
      </c>
      <c r="N15" s="1">
        <f>MASTER_AR_REPORT!N69</f>
        <v/>
      </c>
      <c r="O15" s="1">
        <f>MASTER_AR_REPORT!O69</f>
        <v/>
      </c>
    </row>
    <row r="16">
      <c r="A16" s="3" t="n">
        <v>12</v>
      </c>
      <c r="B16" s="3">
        <f>IF(MASTER_AR_REPORT!B70="","",MASTER_AR_REPORT!B70)</f>
        <v/>
      </c>
      <c r="C16" s="8">
        <f>MASTER_AR_REPORT!C70</f>
        <v/>
      </c>
      <c r="D16" s="3">
        <f>IF(MASTER_AR_REPORT!D70="","",MASTER_AR_REPORT!D70)</f>
        <v/>
      </c>
      <c r="E16" s="3">
        <f>IF(MASTER_AR_REPORT!E70="","",MASTER_AR_REPORT!E70)</f>
        <v/>
      </c>
      <c r="F16" s="4">
        <f>MASTER_AR_REPORT!F70</f>
        <v/>
      </c>
      <c r="G16" s="8">
        <f>MASTER_AR_REPORT!G70</f>
        <v/>
      </c>
      <c r="H16" s="4">
        <f>MASTER_AR_REPORT!H70</f>
        <v/>
      </c>
      <c r="I16" s="4">
        <f>MASTER_AR_REPORT!I70</f>
        <v/>
      </c>
      <c r="J16" s="3">
        <f>MASTER_AR_REPORT!J70</f>
        <v/>
      </c>
      <c r="K16" s="3">
        <f>MASTER_AR_REPORT!K70</f>
        <v/>
      </c>
      <c r="L16" s="3">
        <f>MASTER_AR_REPORT!L70</f>
        <v/>
      </c>
      <c r="M16" s="3">
        <f>MASTER_AR_REPORT!M70</f>
        <v/>
      </c>
      <c r="N16" s="3">
        <f>MASTER_AR_REPORT!N70</f>
        <v/>
      </c>
      <c r="O16" s="3">
        <f>MASTER_AR_REPORT!O70</f>
        <v/>
      </c>
    </row>
    <row r="17">
      <c r="A17" s="1" t="n">
        <v>13</v>
      </c>
      <c r="B17" s="1">
        <f>IF(MASTER_AR_REPORT!B71="","",MASTER_AR_REPORT!B71)</f>
        <v/>
      </c>
      <c r="C17" s="9">
        <f>MASTER_AR_REPORT!C71</f>
        <v/>
      </c>
      <c r="D17" s="1">
        <f>IF(MASTER_AR_REPORT!D71="","",MASTER_AR_REPORT!D71)</f>
        <v/>
      </c>
      <c r="E17" s="1">
        <f>IF(MASTER_AR_REPORT!E71="","",MASTER_AR_REPORT!E71)</f>
        <v/>
      </c>
      <c r="F17" s="2">
        <f>MASTER_AR_REPORT!F71</f>
        <v/>
      </c>
      <c r="G17" s="9">
        <f>MASTER_AR_REPORT!G71</f>
        <v/>
      </c>
      <c r="H17" s="2">
        <f>MASTER_AR_REPORT!H71</f>
        <v/>
      </c>
      <c r="I17" s="2">
        <f>MASTER_AR_REPORT!I71</f>
        <v/>
      </c>
      <c r="J17" s="1">
        <f>MASTER_AR_REPORT!J71</f>
        <v/>
      </c>
      <c r="K17" s="1">
        <f>MASTER_AR_REPORT!K71</f>
        <v/>
      </c>
      <c r="L17" s="1">
        <f>MASTER_AR_REPORT!L71</f>
        <v/>
      </c>
      <c r="M17" s="1">
        <f>MASTER_AR_REPORT!M71</f>
        <v/>
      </c>
      <c r="N17" s="1">
        <f>MASTER_AR_REPORT!N71</f>
        <v/>
      </c>
      <c r="O17" s="1">
        <f>MASTER_AR_REPORT!O71</f>
        <v/>
      </c>
    </row>
    <row r="18">
      <c r="A18" s="3" t="n">
        <v>14</v>
      </c>
      <c r="B18" s="3">
        <f>IF(MASTER_AR_REPORT!B72="","",MASTER_AR_REPORT!B72)</f>
        <v/>
      </c>
      <c r="C18" s="8">
        <f>MASTER_AR_REPORT!C72</f>
        <v/>
      </c>
      <c r="D18" s="3">
        <f>IF(MASTER_AR_REPORT!D72="","",MASTER_AR_REPORT!D72)</f>
        <v/>
      </c>
      <c r="E18" s="3">
        <f>IF(MASTER_AR_REPORT!E72="","",MASTER_AR_REPORT!E72)</f>
        <v/>
      </c>
      <c r="F18" s="4">
        <f>MASTER_AR_REPORT!F72</f>
        <v/>
      </c>
      <c r="G18" s="8">
        <f>MASTER_AR_REPORT!G72</f>
        <v/>
      </c>
      <c r="H18" s="4">
        <f>MASTER_AR_REPORT!H72</f>
        <v/>
      </c>
      <c r="I18" s="4">
        <f>MASTER_AR_REPORT!I72</f>
        <v/>
      </c>
      <c r="J18" s="3">
        <f>MASTER_AR_REPORT!J72</f>
        <v/>
      </c>
      <c r="K18" s="3">
        <f>MASTER_AR_REPORT!K72</f>
        <v/>
      </c>
      <c r="L18" s="3">
        <f>MASTER_AR_REPORT!L72</f>
        <v/>
      </c>
      <c r="M18" s="3">
        <f>MASTER_AR_REPORT!M72</f>
        <v/>
      </c>
      <c r="N18" s="3">
        <f>MASTER_AR_REPORT!N72</f>
        <v/>
      </c>
      <c r="O18" s="3">
        <f>MASTER_AR_REPORT!O72</f>
        <v/>
      </c>
    </row>
    <row r="19">
      <c r="A19" s="1" t="n">
        <v>15</v>
      </c>
      <c r="B19" s="1">
        <f>IF(MASTER_AR_REPORT!B73="","",MASTER_AR_REPORT!B73)</f>
        <v/>
      </c>
      <c r="C19" s="9">
        <f>MASTER_AR_REPORT!C73</f>
        <v/>
      </c>
      <c r="D19" s="1">
        <f>IF(MASTER_AR_REPORT!D73="","",MASTER_AR_REPORT!D73)</f>
        <v/>
      </c>
      <c r="E19" s="1">
        <f>IF(MASTER_AR_REPORT!E73="","",MASTER_AR_REPORT!E73)</f>
        <v/>
      </c>
      <c r="F19" s="2">
        <f>MASTER_AR_REPORT!F73</f>
        <v/>
      </c>
      <c r="G19" s="9">
        <f>MASTER_AR_REPORT!G73</f>
        <v/>
      </c>
      <c r="H19" s="2">
        <f>MASTER_AR_REPORT!H73</f>
        <v/>
      </c>
      <c r="I19" s="2">
        <f>MASTER_AR_REPORT!I73</f>
        <v/>
      </c>
      <c r="J19" s="1">
        <f>MASTER_AR_REPORT!J73</f>
        <v/>
      </c>
      <c r="K19" s="1">
        <f>MASTER_AR_REPORT!K73</f>
        <v/>
      </c>
      <c r="L19" s="1">
        <f>MASTER_AR_REPORT!L73</f>
        <v/>
      </c>
      <c r="M19" s="1">
        <f>MASTER_AR_REPORT!M73</f>
        <v/>
      </c>
      <c r="N19" s="1">
        <f>MASTER_AR_REPORT!N73</f>
        <v/>
      </c>
      <c r="O19" s="1">
        <f>MASTER_AR_REPORT!O73</f>
        <v/>
      </c>
    </row>
    <row r="20">
      <c r="A20" s="3" t="n">
        <v>16</v>
      </c>
      <c r="B20" s="3">
        <f>IF(MASTER_AR_REPORT!B74="","",MASTER_AR_REPORT!B74)</f>
        <v/>
      </c>
      <c r="C20" s="8">
        <f>MASTER_AR_REPORT!C74</f>
        <v/>
      </c>
      <c r="D20" s="3">
        <f>IF(MASTER_AR_REPORT!D74="","",MASTER_AR_REPORT!D74)</f>
        <v/>
      </c>
      <c r="E20" s="3">
        <f>IF(MASTER_AR_REPORT!E74="","",MASTER_AR_REPORT!E74)</f>
        <v/>
      </c>
      <c r="F20" s="4">
        <f>MASTER_AR_REPORT!F74</f>
        <v/>
      </c>
      <c r="G20" s="8">
        <f>MASTER_AR_REPORT!G74</f>
        <v/>
      </c>
      <c r="H20" s="4">
        <f>MASTER_AR_REPORT!H74</f>
        <v/>
      </c>
      <c r="I20" s="4">
        <f>MASTER_AR_REPORT!I74</f>
        <v/>
      </c>
      <c r="J20" s="3">
        <f>MASTER_AR_REPORT!J74</f>
        <v/>
      </c>
      <c r="K20" s="3">
        <f>MASTER_AR_REPORT!K74</f>
        <v/>
      </c>
      <c r="L20" s="3">
        <f>MASTER_AR_REPORT!L74</f>
        <v/>
      </c>
      <c r="M20" s="3">
        <f>MASTER_AR_REPORT!M74</f>
        <v/>
      </c>
      <c r="N20" s="3">
        <f>MASTER_AR_REPORT!N74</f>
        <v/>
      </c>
      <c r="O20" s="3">
        <f>MASTER_AR_REPORT!O74</f>
        <v/>
      </c>
    </row>
    <row r="21">
      <c r="A21" s="1" t="n">
        <v>17</v>
      </c>
      <c r="B21" s="1">
        <f>IF(MASTER_AR_REPORT!B75="","",MASTER_AR_REPORT!B75)</f>
        <v/>
      </c>
      <c r="C21" s="9">
        <f>MASTER_AR_REPORT!C75</f>
        <v/>
      </c>
      <c r="D21" s="1">
        <f>IF(MASTER_AR_REPORT!D75="","",MASTER_AR_REPORT!D75)</f>
        <v/>
      </c>
      <c r="E21" s="1">
        <f>IF(MASTER_AR_REPORT!E75="","",MASTER_AR_REPORT!E75)</f>
        <v/>
      </c>
      <c r="F21" s="2">
        <f>MASTER_AR_REPORT!F75</f>
        <v/>
      </c>
      <c r="G21" s="9">
        <f>MASTER_AR_REPORT!G75</f>
        <v/>
      </c>
      <c r="H21" s="2">
        <f>MASTER_AR_REPORT!H75</f>
        <v/>
      </c>
      <c r="I21" s="2">
        <f>MASTER_AR_REPORT!I75</f>
        <v/>
      </c>
      <c r="J21" s="1">
        <f>MASTER_AR_REPORT!J75</f>
        <v/>
      </c>
      <c r="K21" s="1">
        <f>MASTER_AR_REPORT!K75</f>
        <v/>
      </c>
      <c r="L21" s="1">
        <f>MASTER_AR_REPORT!L75</f>
        <v/>
      </c>
      <c r="M21" s="1">
        <f>MASTER_AR_REPORT!M75</f>
        <v/>
      </c>
      <c r="N21" s="1">
        <f>MASTER_AR_REPORT!N75</f>
        <v/>
      </c>
      <c r="O21" s="1">
        <f>MASTER_AR_REPORT!O75</f>
        <v/>
      </c>
    </row>
    <row r="22">
      <c r="A22" s="3" t="n">
        <v>18</v>
      </c>
      <c r="B22" s="3">
        <f>IF(MASTER_AR_REPORT!B76="","",MASTER_AR_REPORT!B76)</f>
        <v/>
      </c>
      <c r="C22" s="8">
        <f>MASTER_AR_REPORT!C76</f>
        <v/>
      </c>
      <c r="D22" s="3">
        <f>IF(MASTER_AR_REPORT!D76="","",MASTER_AR_REPORT!D76)</f>
        <v/>
      </c>
      <c r="E22" s="3">
        <f>IF(MASTER_AR_REPORT!E76="","",MASTER_AR_REPORT!E76)</f>
        <v/>
      </c>
      <c r="F22" s="4">
        <f>MASTER_AR_REPORT!F76</f>
        <v/>
      </c>
      <c r="G22" s="8">
        <f>MASTER_AR_REPORT!G76</f>
        <v/>
      </c>
      <c r="H22" s="4">
        <f>MASTER_AR_REPORT!H76</f>
        <v/>
      </c>
      <c r="I22" s="4">
        <f>MASTER_AR_REPORT!I76</f>
        <v/>
      </c>
      <c r="J22" s="3">
        <f>MASTER_AR_REPORT!J76</f>
        <v/>
      </c>
      <c r="K22" s="3">
        <f>MASTER_AR_REPORT!K76</f>
        <v/>
      </c>
      <c r="L22" s="3">
        <f>MASTER_AR_REPORT!L76</f>
        <v/>
      </c>
      <c r="M22" s="3">
        <f>MASTER_AR_REPORT!M76</f>
        <v/>
      </c>
      <c r="N22" s="3">
        <f>MASTER_AR_REPORT!N76</f>
        <v/>
      </c>
      <c r="O22" s="3">
        <f>MASTER_AR_REPORT!O76</f>
        <v/>
      </c>
    </row>
    <row r="23">
      <c r="A23" s="1" t="n">
        <v>19</v>
      </c>
      <c r="B23" s="1">
        <f>IF(MASTER_AR_REPORT!B77="","",MASTER_AR_REPORT!B77)</f>
        <v/>
      </c>
      <c r="C23" s="9">
        <f>MASTER_AR_REPORT!C77</f>
        <v/>
      </c>
      <c r="D23" s="1">
        <f>IF(MASTER_AR_REPORT!D77="","",MASTER_AR_REPORT!D77)</f>
        <v/>
      </c>
      <c r="E23" s="1">
        <f>IF(MASTER_AR_REPORT!E77="","",MASTER_AR_REPORT!E77)</f>
        <v/>
      </c>
      <c r="F23" s="2">
        <f>MASTER_AR_REPORT!F77</f>
        <v/>
      </c>
      <c r="G23" s="9">
        <f>MASTER_AR_REPORT!G77</f>
        <v/>
      </c>
      <c r="H23" s="2">
        <f>MASTER_AR_REPORT!H77</f>
        <v/>
      </c>
      <c r="I23" s="2">
        <f>MASTER_AR_REPORT!I77</f>
        <v/>
      </c>
      <c r="J23" s="1">
        <f>MASTER_AR_REPORT!J77</f>
        <v/>
      </c>
      <c r="K23" s="1">
        <f>MASTER_AR_REPORT!K77</f>
        <v/>
      </c>
      <c r="L23" s="1">
        <f>MASTER_AR_REPORT!L77</f>
        <v/>
      </c>
      <c r="M23" s="1">
        <f>MASTER_AR_REPORT!M77</f>
        <v/>
      </c>
      <c r="N23" s="1">
        <f>MASTER_AR_REPORT!N77</f>
        <v/>
      </c>
      <c r="O23" s="1">
        <f>MASTER_AR_REPORT!O77</f>
        <v/>
      </c>
    </row>
    <row r="24">
      <c r="A24" s="3" t="n">
        <v>20</v>
      </c>
      <c r="B24" s="3">
        <f>IF(MASTER_AR_REPORT!B78="","",MASTER_AR_REPORT!B78)</f>
        <v/>
      </c>
      <c r="C24" s="8">
        <f>MASTER_AR_REPORT!C78</f>
        <v/>
      </c>
      <c r="D24" s="3">
        <f>IF(MASTER_AR_REPORT!D78="","",MASTER_AR_REPORT!D78)</f>
        <v/>
      </c>
      <c r="E24" s="3">
        <f>IF(MASTER_AR_REPORT!E78="","",MASTER_AR_REPORT!E78)</f>
        <v/>
      </c>
      <c r="F24" s="4">
        <f>MASTER_AR_REPORT!F78</f>
        <v/>
      </c>
      <c r="G24" s="8">
        <f>MASTER_AR_REPORT!G78</f>
        <v/>
      </c>
      <c r="H24" s="4">
        <f>MASTER_AR_REPORT!H78</f>
        <v/>
      </c>
      <c r="I24" s="4">
        <f>MASTER_AR_REPORT!I78</f>
        <v/>
      </c>
      <c r="J24" s="3">
        <f>MASTER_AR_REPORT!J78</f>
        <v/>
      </c>
      <c r="K24" s="3">
        <f>MASTER_AR_REPORT!K78</f>
        <v/>
      </c>
      <c r="L24" s="3">
        <f>MASTER_AR_REPORT!L78</f>
        <v/>
      </c>
      <c r="M24" s="3">
        <f>MASTER_AR_REPORT!M78</f>
        <v/>
      </c>
      <c r="N24" s="3">
        <f>MASTER_AR_REPORT!N78</f>
        <v/>
      </c>
      <c r="O24" s="3">
        <f>MASTER_AR_REPORT!O78</f>
        <v/>
      </c>
    </row>
    <row r="25">
      <c r="A25" s="1" t="n">
        <v>21</v>
      </c>
      <c r="B25" s="1">
        <f>IF(MASTER_AR_REPORT!B79="","",MASTER_AR_REPORT!B79)</f>
        <v/>
      </c>
      <c r="C25" s="9">
        <f>MASTER_AR_REPORT!C79</f>
        <v/>
      </c>
      <c r="D25" s="1">
        <f>IF(MASTER_AR_REPORT!D79="","",MASTER_AR_REPORT!D79)</f>
        <v/>
      </c>
      <c r="E25" s="1">
        <f>IF(MASTER_AR_REPORT!E79="","",MASTER_AR_REPORT!E79)</f>
        <v/>
      </c>
      <c r="F25" s="2">
        <f>MASTER_AR_REPORT!F79</f>
        <v/>
      </c>
      <c r="G25" s="9">
        <f>MASTER_AR_REPORT!G79</f>
        <v/>
      </c>
      <c r="H25" s="2">
        <f>MASTER_AR_REPORT!H79</f>
        <v/>
      </c>
      <c r="I25" s="2">
        <f>MASTER_AR_REPORT!I79</f>
        <v/>
      </c>
      <c r="J25" s="1">
        <f>MASTER_AR_REPORT!J79</f>
        <v/>
      </c>
      <c r="K25" s="1">
        <f>MASTER_AR_REPORT!K79</f>
        <v/>
      </c>
      <c r="L25" s="1">
        <f>MASTER_AR_REPORT!L79</f>
        <v/>
      </c>
      <c r="M25" s="1">
        <f>MASTER_AR_REPORT!M79</f>
        <v/>
      </c>
      <c r="N25" s="1">
        <f>MASTER_AR_REPORT!N79</f>
        <v/>
      </c>
      <c r="O25" s="1">
        <f>MASTER_AR_REPORT!O79</f>
        <v/>
      </c>
    </row>
    <row r="26">
      <c r="A26" s="3" t="n">
        <v>22</v>
      </c>
      <c r="B26" s="3">
        <f>IF(MASTER_AR_REPORT!B80="","",MASTER_AR_REPORT!B80)</f>
        <v/>
      </c>
      <c r="C26" s="8">
        <f>MASTER_AR_REPORT!C80</f>
        <v/>
      </c>
      <c r="D26" s="3">
        <f>IF(MASTER_AR_REPORT!D80="","",MASTER_AR_REPORT!D80)</f>
        <v/>
      </c>
      <c r="E26" s="3">
        <f>IF(MASTER_AR_REPORT!E80="","",MASTER_AR_REPORT!E80)</f>
        <v/>
      </c>
      <c r="F26" s="4">
        <f>MASTER_AR_REPORT!F80</f>
        <v/>
      </c>
      <c r="G26" s="8">
        <f>MASTER_AR_REPORT!G80</f>
        <v/>
      </c>
      <c r="H26" s="4">
        <f>MASTER_AR_REPORT!H80</f>
        <v/>
      </c>
      <c r="I26" s="4">
        <f>MASTER_AR_REPORT!I80</f>
        <v/>
      </c>
      <c r="J26" s="3">
        <f>MASTER_AR_REPORT!J80</f>
        <v/>
      </c>
      <c r="K26" s="3">
        <f>MASTER_AR_REPORT!K80</f>
        <v/>
      </c>
      <c r="L26" s="3">
        <f>MASTER_AR_REPORT!L80</f>
        <v/>
      </c>
      <c r="M26" s="3">
        <f>MASTER_AR_REPORT!M80</f>
        <v/>
      </c>
      <c r="N26" s="3">
        <f>MASTER_AR_REPORT!N80</f>
        <v/>
      </c>
      <c r="O26" s="3">
        <f>MASTER_AR_REPORT!O80</f>
        <v/>
      </c>
    </row>
    <row r="27">
      <c r="A27" s="1" t="n">
        <v>23</v>
      </c>
      <c r="B27" s="1">
        <f>IF(MASTER_AR_REPORT!B81="","",MASTER_AR_REPORT!B81)</f>
        <v/>
      </c>
      <c r="C27" s="9">
        <f>MASTER_AR_REPORT!C81</f>
        <v/>
      </c>
      <c r="D27" s="1">
        <f>IF(MASTER_AR_REPORT!D81="","",MASTER_AR_REPORT!D81)</f>
        <v/>
      </c>
      <c r="E27" s="1">
        <f>IF(MASTER_AR_REPORT!E81="","",MASTER_AR_REPORT!E81)</f>
        <v/>
      </c>
      <c r="F27" s="2">
        <f>MASTER_AR_REPORT!F81</f>
        <v/>
      </c>
      <c r="G27" s="9">
        <f>MASTER_AR_REPORT!G81</f>
        <v/>
      </c>
      <c r="H27" s="2">
        <f>MASTER_AR_REPORT!H81</f>
        <v/>
      </c>
      <c r="I27" s="2">
        <f>MASTER_AR_REPORT!I81</f>
        <v/>
      </c>
      <c r="J27" s="1">
        <f>MASTER_AR_REPORT!J81</f>
        <v/>
      </c>
      <c r="K27" s="1">
        <f>MASTER_AR_REPORT!K81</f>
        <v/>
      </c>
      <c r="L27" s="1">
        <f>MASTER_AR_REPORT!L81</f>
        <v/>
      </c>
      <c r="M27" s="1">
        <f>MASTER_AR_REPORT!M81</f>
        <v/>
      </c>
      <c r="N27" s="1">
        <f>MASTER_AR_REPORT!N81</f>
        <v/>
      </c>
      <c r="O27" s="1">
        <f>MASTER_AR_REPORT!O81</f>
        <v/>
      </c>
    </row>
    <row r="28">
      <c r="A28" s="3" t="n">
        <v>24</v>
      </c>
      <c r="B28" s="3">
        <f>IF(MASTER_AR_REPORT!B82="","",MASTER_AR_REPORT!B82)</f>
        <v/>
      </c>
      <c r="C28" s="8">
        <f>MASTER_AR_REPORT!C82</f>
        <v/>
      </c>
      <c r="D28" s="3">
        <f>IF(MASTER_AR_REPORT!D82="","",MASTER_AR_REPORT!D82)</f>
        <v/>
      </c>
      <c r="E28" s="3">
        <f>IF(MASTER_AR_REPORT!E82="","",MASTER_AR_REPORT!E82)</f>
        <v/>
      </c>
      <c r="F28" s="4">
        <f>MASTER_AR_REPORT!F82</f>
        <v/>
      </c>
      <c r="G28" s="8">
        <f>MASTER_AR_REPORT!G82</f>
        <v/>
      </c>
      <c r="H28" s="4">
        <f>MASTER_AR_REPORT!H82</f>
        <v/>
      </c>
      <c r="I28" s="4">
        <f>MASTER_AR_REPORT!I82</f>
        <v/>
      </c>
      <c r="J28" s="3">
        <f>MASTER_AR_REPORT!J82</f>
        <v/>
      </c>
      <c r="K28" s="3">
        <f>MASTER_AR_REPORT!K82</f>
        <v/>
      </c>
      <c r="L28" s="3">
        <f>MASTER_AR_REPORT!L82</f>
        <v/>
      </c>
      <c r="M28" s="3">
        <f>MASTER_AR_REPORT!M82</f>
        <v/>
      </c>
      <c r="N28" s="3">
        <f>MASTER_AR_REPORT!N82</f>
        <v/>
      </c>
      <c r="O28" s="3">
        <f>MASTER_AR_REPORT!O82</f>
        <v/>
      </c>
    </row>
    <row r="29">
      <c r="A29" s="1" t="n">
        <v>25</v>
      </c>
      <c r="B29" s="1">
        <f>IF(MASTER_AR_REPORT!B83="","",MASTER_AR_REPORT!B83)</f>
        <v/>
      </c>
      <c r="C29" s="9">
        <f>MASTER_AR_REPORT!C83</f>
        <v/>
      </c>
      <c r="D29" s="1">
        <f>IF(MASTER_AR_REPORT!D83="","",MASTER_AR_REPORT!D83)</f>
        <v/>
      </c>
      <c r="E29" s="1">
        <f>IF(MASTER_AR_REPORT!E83="","",MASTER_AR_REPORT!E83)</f>
        <v/>
      </c>
      <c r="F29" s="2">
        <f>MASTER_AR_REPORT!F83</f>
        <v/>
      </c>
      <c r="G29" s="9">
        <f>MASTER_AR_REPORT!G83</f>
        <v/>
      </c>
      <c r="H29" s="2">
        <f>MASTER_AR_REPORT!H83</f>
        <v/>
      </c>
      <c r="I29" s="2">
        <f>MASTER_AR_REPORT!I83</f>
        <v/>
      </c>
      <c r="J29" s="1">
        <f>MASTER_AR_REPORT!J83</f>
        <v/>
      </c>
      <c r="K29" s="1">
        <f>MASTER_AR_REPORT!K83</f>
        <v/>
      </c>
      <c r="L29" s="1">
        <f>MASTER_AR_REPORT!L83</f>
        <v/>
      </c>
      <c r="M29" s="1">
        <f>MASTER_AR_REPORT!M83</f>
        <v/>
      </c>
      <c r="N29" s="1">
        <f>MASTER_AR_REPORT!N83</f>
        <v/>
      </c>
      <c r="O29" s="1">
        <f>MASTER_AR_REPORT!O83</f>
        <v/>
      </c>
    </row>
    <row r="30">
      <c r="A30" s="3" t="n">
        <v>26</v>
      </c>
      <c r="B30" s="3">
        <f>IF(MASTER_AR_REPORT!B84="","",MASTER_AR_REPORT!B84)</f>
        <v/>
      </c>
      <c r="C30" s="8">
        <f>MASTER_AR_REPORT!C84</f>
        <v/>
      </c>
      <c r="D30" s="3">
        <f>IF(MASTER_AR_REPORT!D84="","",MASTER_AR_REPORT!D84)</f>
        <v/>
      </c>
      <c r="E30" s="3">
        <f>IF(MASTER_AR_REPORT!E84="","",MASTER_AR_REPORT!E84)</f>
        <v/>
      </c>
      <c r="F30" s="4">
        <f>MASTER_AR_REPORT!F84</f>
        <v/>
      </c>
      <c r="G30" s="8">
        <f>MASTER_AR_REPORT!G84</f>
        <v/>
      </c>
      <c r="H30" s="4">
        <f>MASTER_AR_REPORT!H84</f>
        <v/>
      </c>
      <c r="I30" s="4">
        <f>MASTER_AR_REPORT!I84</f>
        <v/>
      </c>
      <c r="J30" s="3">
        <f>MASTER_AR_REPORT!J84</f>
        <v/>
      </c>
      <c r="K30" s="3">
        <f>MASTER_AR_REPORT!K84</f>
        <v/>
      </c>
      <c r="L30" s="3">
        <f>MASTER_AR_REPORT!L84</f>
        <v/>
      </c>
      <c r="M30" s="3">
        <f>MASTER_AR_REPORT!M84</f>
        <v/>
      </c>
      <c r="N30" s="3">
        <f>MASTER_AR_REPORT!N84</f>
        <v/>
      </c>
      <c r="O30" s="3">
        <f>MASTER_AR_REPORT!O84</f>
        <v/>
      </c>
    </row>
    <row r="31">
      <c r="A31" s="1" t="n">
        <v>27</v>
      </c>
      <c r="B31" s="1">
        <f>IF(MASTER_AR_REPORT!B85="","",MASTER_AR_REPORT!B85)</f>
        <v/>
      </c>
      <c r="C31" s="9">
        <f>MASTER_AR_REPORT!C85</f>
        <v/>
      </c>
      <c r="D31" s="1">
        <f>IF(MASTER_AR_REPORT!D85="","",MASTER_AR_REPORT!D85)</f>
        <v/>
      </c>
      <c r="E31" s="1">
        <f>IF(MASTER_AR_REPORT!E85="","",MASTER_AR_REPORT!E85)</f>
        <v/>
      </c>
      <c r="F31" s="2">
        <f>MASTER_AR_REPORT!F85</f>
        <v/>
      </c>
      <c r="G31" s="9">
        <f>MASTER_AR_REPORT!G85</f>
        <v/>
      </c>
      <c r="H31" s="2">
        <f>MASTER_AR_REPORT!H85</f>
        <v/>
      </c>
      <c r="I31" s="2">
        <f>MASTER_AR_REPORT!I85</f>
        <v/>
      </c>
      <c r="J31" s="1">
        <f>MASTER_AR_REPORT!J85</f>
        <v/>
      </c>
      <c r="K31" s="1">
        <f>MASTER_AR_REPORT!K85</f>
        <v/>
      </c>
      <c r="L31" s="1">
        <f>MASTER_AR_REPORT!L85</f>
        <v/>
      </c>
      <c r="M31" s="1">
        <f>MASTER_AR_REPORT!M85</f>
        <v/>
      </c>
      <c r="N31" s="1">
        <f>MASTER_AR_REPORT!N85</f>
        <v/>
      </c>
      <c r="O31" s="1">
        <f>MASTER_AR_REPORT!O85</f>
        <v/>
      </c>
    </row>
    <row r="32">
      <c r="A32" s="3" t="n">
        <v>28</v>
      </c>
      <c r="B32" s="3">
        <f>IF(MASTER_AR_REPORT!B86="","",MASTER_AR_REPORT!B86)</f>
        <v/>
      </c>
      <c r="C32" s="8">
        <f>MASTER_AR_REPORT!C86</f>
        <v/>
      </c>
      <c r="D32" s="3">
        <f>IF(MASTER_AR_REPORT!D86="","",MASTER_AR_REPORT!D86)</f>
        <v/>
      </c>
      <c r="E32" s="3">
        <f>IF(MASTER_AR_REPORT!E86="","",MASTER_AR_REPORT!E86)</f>
        <v/>
      </c>
      <c r="F32" s="4">
        <f>MASTER_AR_REPORT!F86</f>
        <v/>
      </c>
      <c r="G32" s="8">
        <f>MASTER_AR_REPORT!G86</f>
        <v/>
      </c>
      <c r="H32" s="4">
        <f>MASTER_AR_REPORT!H86</f>
        <v/>
      </c>
      <c r="I32" s="4">
        <f>MASTER_AR_REPORT!I86</f>
        <v/>
      </c>
      <c r="J32" s="3">
        <f>MASTER_AR_REPORT!J86</f>
        <v/>
      </c>
      <c r="K32" s="3">
        <f>MASTER_AR_REPORT!K86</f>
        <v/>
      </c>
      <c r="L32" s="3">
        <f>MASTER_AR_REPORT!L86</f>
        <v/>
      </c>
      <c r="M32" s="3">
        <f>MASTER_AR_REPORT!M86</f>
        <v/>
      </c>
      <c r="N32" s="3">
        <f>MASTER_AR_REPORT!N86</f>
        <v/>
      </c>
      <c r="O32" s="3">
        <f>MASTER_AR_REPORT!O86</f>
        <v/>
      </c>
    </row>
    <row r="33">
      <c r="A33" s="1" t="n">
        <v>29</v>
      </c>
      <c r="B33" s="1">
        <f>IF(MASTER_AR_REPORT!B87="","",MASTER_AR_REPORT!B87)</f>
        <v/>
      </c>
      <c r="C33" s="9">
        <f>MASTER_AR_REPORT!C87</f>
        <v/>
      </c>
      <c r="D33" s="1">
        <f>IF(MASTER_AR_REPORT!D87="","",MASTER_AR_REPORT!D87)</f>
        <v/>
      </c>
      <c r="E33" s="1">
        <f>IF(MASTER_AR_REPORT!E87="","",MASTER_AR_REPORT!E87)</f>
        <v/>
      </c>
      <c r="F33" s="2">
        <f>MASTER_AR_REPORT!F87</f>
        <v/>
      </c>
      <c r="G33" s="9">
        <f>MASTER_AR_REPORT!G87</f>
        <v/>
      </c>
      <c r="H33" s="2">
        <f>MASTER_AR_REPORT!H87</f>
        <v/>
      </c>
      <c r="I33" s="2">
        <f>MASTER_AR_REPORT!I87</f>
        <v/>
      </c>
      <c r="J33" s="1">
        <f>MASTER_AR_REPORT!J87</f>
        <v/>
      </c>
      <c r="K33" s="1">
        <f>MASTER_AR_REPORT!K87</f>
        <v/>
      </c>
      <c r="L33" s="1">
        <f>MASTER_AR_REPORT!L87</f>
        <v/>
      </c>
      <c r="M33" s="1">
        <f>MASTER_AR_REPORT!M87</f>
        <v/>
      </c>
      <c r="N33" s="1">
        <f>MASTER_AR_REPORT!N87</f>
        <v/>
      </c>
      <c r="O33" s="1">
        <f>MASTER_AR_REPORT!O87</f>
        <v/>
      </c>
    </row>
    <row r="34">
      <c r="A34" s="3" t="n">
        <v>30</v>
      </c>
      <c r="B34" s="3">
        <f>IF(MASTER_AR_REPORT!B88="","",MASTER_AR_REPORT!B88)</f>
        <v/>
      </c>
      <c r="C34" s="8">
        <f>MASTER_AR_REPORT!C88</f>
        <v/>
      </c>
      <c r="D34" s="3">
        <f>IF(MASTER_AR_REPORT!D88="","",MASTER_AR_REPORT!D88)</f>
        <v/>
      </c>
      <c r="E34" s="3">
        <f>IF(MASTER_AR_REPORT!E88="","",MASTER_AR_REPORT!E88)</f>
        <v/>
      </c>
      <c r="F34" s="4">
        <f>MASTER_AR_REPORT!F88</f>
        <v/>
      </c>
      <c r="G34" s="8">
        <f>MASTER_AR_REPORT!G88</f>
        <v/>
      </c>
      <c r="H34" s="4">
        <f>MASTER_AR_REPORT!H88</f>
        <v/>
      </c>
      <c r="I34" s="4">
        <f>MASTER_AR_REPORT!I88</f>
        <v/>
      </c>
      <c r="J34" s="3">
        <f>MASTER_AR_REPORT!J88</f>
        <v/>
      </c>
      <c r="K34" s="3">
        <f>MASTER_AR_REPORT!K88</f>
        <v/>
      </c>
      <c r="L34" s="3">
        <f>MASTER_AR_REPORT!L88</f>
        <v/>
      </c>
      <c r="M34" s="3">
        <f>MASTER_AR_REPORT!M88</f>
        <v/>
      </c>
      <c r="N34" s="3">
        <f>MASTER_AR_REPORT!N88</f>
        <v/>
      </c>
      <c r="O34" s="3">
        <f>MASTER_AR_REPORT!O88</f>
        <v/>
      </c>
    </row>
    <row r="35">
      <c r="A35" s="1" t="n">
        <v>31</v>
      </c>
      <c r="B35" s="1">
        <f>IF(MASTER_AR_REPORT!B89="","",MASTER_AR_REPORT!B89)</f>
        <v/>
      </c>
      <c r="C35" s="9">
        <f>MASTER_AR_REPORT!C89</f>
        <v/>
      </c>
      <c r="D35" s="1">
        <f>IF(MASTER_AR_REPORT!D89="","",MASTER_AR_REPORT!D89)</f>
        <v/>
      </c>
      <c r="E35" s="1">
        <f>IF(MASTER_AR_REPORT!E89="","",MASTER_AR_REPORT!E89)</f>
        <v/>
      </c>
      <c r="F35" s="2">
        <f>MASTER_AR_REPORT!F89</f>
        <v/>
      </c>
      <c r="G35" s="9">
        <f>MASTER_AR_REPORT!G89</f>
        <v/>
      </c>
      <c r="H35" s="2">
        <f>MASTER_AR_REPORT!H89</f>
        <v/>
      </c>
      <c r="I35" s="2">
        <f>MASTER_AR_REPORT!I89</f>
        <v/>
      </c>
      <c r="J35" s="1">
        <f>MASTER_AR_REPORT!J89</f>
        <v/>
      </c>
      <c r="K35" s="1">
        <f>MASTER_AR_REPORT!K89</f>
        <v/>
      </c>
      <c r="L35" s="1">
        <f>MASTER_AR_REPORT!L89</f>
        <v/>
      </c>
      <c r="M35" s="1">
        <f>MASTER_AR_REPORT!M89</f>
        <v/>
      </c>
      <c r="N35" s="1">
        <f>MASTER_AR_REPORT!N89</f>
        <v/>
      </c>
      <c r="O35" s="1">
        <f>MASTER_AR_REPORT!O89</f>
        <v/>
      </c>
    </row>
    <row r="36">
      <c r="A36" s="3" t="n">
        <v>32</v>
      </c>
      <c r="B36" s="3">
        <f>IF(MASTER_AR_REPORT!B90="","",MASTER_AR_REPORT!B90)</f>
        <v/>
      </c>
      <c r="C36" s="8">
        <f>MASTER_AR_REPORT!C90</f>
        <v/>
      </c>
      <c r="D36" s="3">
        <f>IF(MASTER_AR_REPORT!D90="","",MASTER_AR_REPORT!D90)</f>
        <v/>
      </c>
      <c r="E36" s="3">
        <f>IF(MASTER_AR_REPORT!E90="","",MASTER_AR_REPORT!E90)</f>
        <v/>
      </c>
      <c r="F36" s="4">
        <f>MASTER_AR_REPORT!F90</f>
        <v/>
      </c>
      <c r="G36" s="8">
        <f>MASTER_AR_REPORT!G90</f>
        <v/>
      </c>
      <c r="H36" s="4">
        <f>MASTER_AR_REPORT!H90</f>
        <v/>
      </c>
      <c r="I36" s="4">
        <f>MASTER_AR_REPORT!I90</f>
        <v/>
      </c>
      <c r="J36" s="3">
        <f>MASTER_AR_REPORT!J90</f>
        <v/>
      </c>
      <c r="K36" s="3">
        <f>MASTER_AR_REPORT!K90</f>
        <v/>
      </c>
      <c r="L36" s="3">
        <f>MASTER_AR_REPORT!L90</f>
        <v/>
      </c>
      <c r="M36" s="3">
        <f>MASTER_AR_REPORT!M90</f>
        <v/>
      </c>
      <c r="N36" s="3">
        <f>MASTER_AR_REPORT!N90</f>
        <v/>
      </c>
      <c r="O36" s="3">
        <f>MASTER_AR_REPORT!O90</f>
        <v/>
      </c>
    </row>
    <row r="37">
      <c r="A37" s="1" t="n">
        <v>33</v>
      </c>
      <c r="B37" s="1">
        <f>IF(MASTER_AR_REPORT!B91="","",MASTER_AR_REPORT!B91)</f>
        <v/>
      </c>
      <c r="C37" s="9">
        <f>MASTER_AR_REPORT!C91</f>
        <v/>
      </c>
      <c r="D37" s="1">
        <f>IF(MASTER_AR_REPORT!D91="","",MASTER_AR_REPORT!D91)</f>
        <v/>
      </c>
      <c r="E37" s="1">
        <f>IF(MASTER_AR_REPORT!E91="","",MASTER_AR_REPORT!E91)</f>
        <v/>
      </c>
      <c r="F37" s="2">
        <f>MASTER_AR_REPORT!F91</f>
        <v/>
      </c>
      <c r="G37" s="9">
        <f>MASTER_AR_REPORT!G91</f>
        <v/>
      </c>
      <c r="H37" s="2">
        <f>MASTER_AR_REPORT!H91</f>
        <v/>
      </c>
      <c r="I37" s="2">
        <f>MASTER_AR_REPORT!I91</f>
        <v/>
      </c>
      <c r="J37" s="1">
        <f>MASTER_AR_REPORT!J91</f>
        <v/>
      </c>
      <c r="K37" s="1">
        <f>MASTER_AR_REPORT!K91</f>
        <v/>
      </c>
      <c r="L37" s="1">
        <f>MASTER_AR_REPORT!L91</f>
        <v/>
      </c>
      <c r="M37" s="1">
        <f>MASTER_AR_REPORT!M91</f>
        <v/>
      </c>
      <c r="N37" s="1">
        <f>MASTER_AR_REPORT!N91</f>
        <v/>
      </c>
      <c r="O37" s="1">
        <f>MASTER_AR_REPORT!O91</f>
        <v/>
      </c>
    </row>
    <row r="38">
      <c r="A38" s="3" t="n">
        <v>34</v>
      </c>
      <c r="B38" s="3">
        <f>IF(MASTER_AR_REPORT!B92="","",MASTER_AR_REPORT!B92)</f>
        <v/>
      </c>
      <c r="C38" s="8">
        <f>MASTER_AR_REPORT!C92</f>
        <v/>
      </c>
      <c r="D38" s="3">
        <f>IF(MASTER_AR_REPORT!D92="","",MASTER_AR_REPORT!D92)</f>
        <v/>
      </c>
      <c r="E38" s="3">
        <f>IF(MASTER_AR_REPORT!E92="","",MASTER_AR_REPORT!E92)</f>
        <v/>
      </c>
      <c r="F38" s="4">
        <f>MASTER_AR_REPORT!F92</f>
        <v/>
      </c>
      <c r="G38" s="8">
        <f>MASTER_AR_REPORT!G92</f>
        <v/>
      </c>
      <c r="H38" s="4">
        <f>MASTER_AR_REPORT!H92</f>
        <v/>
      </c>
      <c r="I38" s="4">
        <f>MASTER_AR_REPORT!I92</f>
        <v/>
      </c>
      <c r="J38" s="3">
        <f>MASTER_AR_REPORT!J92</f>
        <v/>
      </c>
      <c r="K38" s="3">
        <f>MASTER_AR_REPORT!K92</f>
        <v/>
      </c>
      <c r="L38" s="3">
        <f>MASTER_AR_REPORT!L92</f>
        <v/>
      </c>
      <c r="M38" s="3">
        <f>MASTER_AR_REPORT!M92</f>
        <v/>
      </c>
      <c r="N38" s="3">
        <f>MASTER_AR_REPORT!N92</f>
        <v/>
      </c>
      <c r="O38" s="3">
        <f>MASTER_AR_REPORT!O92</f>
        <v/>
      </c>
    </row>
    <row r="39">
      <c r="A39" s="1" t="n">
        <v>35</v>
      </c>
      <c r="B39" s="1">
        <f>IF(MASTER_AR_REPORT!B93="","",MASTER_AR_REPORT!B93)</f>
        <v/>
      </c>
      <c r="C39" s="9">
        <f>MASTER_AR_REPORT!C93</f>
        <v/>
      </c>
      <c r="D39" s="1">
        <f>IF(MASTER_AR_REPORT!D93="","",MASTER_AR_REPORT!D93)</f>
        <v/>
      </c>
      <c r="E39" s="1">
        <f>IF(MASTER_AR_REPORT!E93="","",MASTER_AR_REPORT!E93)</f>
        <v/>
      </c>
      <c r="F39" s="2">
        <f>MASTER_AR_REPORT!F93</f>
        <v/>
      </c>
      <c r="G39" s="9">
        <f>MASTER_AR_REPORT!G93</f>
        <v/>
      </c>
      <c r="H39" s="2">
        <f>MASTER_AR_REPORT!H93</f>
        <v/>
      </c>
      <c r="I39" s="2">
        <f>MASTER_AR_REPORT!I93</f>
        <v/>
      </c>
      <c r="J39" s="1">
        <f>MASTER_AR_REPORT!J93</f>
        <v/>
      </c>
      <c r="K39" s="1">
        <f>MASTER_AR_REPORT!K93</f>
        <v/>
      </c>
      <c r="L39" s="1">
        <f>MASTER_AR_REPORT!L93</f>
        <v/>
      </c>
      <c r="M39" s="1">
        <f>MASTER_AR_REPORT!M93</f>
        <v/>
      </c>
      <c r="N39" s="1">
        <f>MASTER_AR_REPORT!N93</f>
        <v/>
      </c>
      <c r="O39" s="1">
        <f>MASTER_AR_REPORT!O93</f>
        <v/>
      </c>
    </row>
    <row r="40">
      <c r="A40" s="3" t="n">
        <v>36</v>
      </c>
      <c r="B40" s="3">
        <f>IF(MASTER_AR_REPORT!B94="","",MASTER_AR_REPORT!B94)</f>
        <v/>
      </c>
      <c r="C40" s="8">
        <f>MASTER_AR_REPORT!C94</f>
        <v/>
      </c>
      <c r="D40" s="3">
        <f>IF(MASTER_AR_REPORT!D94="","",MASTER_AR_REPORT!D94)</f>
        <v/>
      </c>
      <c r="E40" s="3">
        <f>IF(MASTER_AR_REPORT!E94="","",MASTER_AR_REPORT!E94)</f>
        <v/>
      </c>
      <c r="F40" s="4">
        <f>MASTER_AR_REPORT!F94</f>
        <v/>
      </c>
      <c r="G40" s="8">
        <f>MASTER_AR_REPORT!G94</f>
        <v/>
      </c>
      <c r="H40" s="4">
        <f>MASTER_AR_REPORT!H94</f>
        <v/>
      </c>
      <c r="I40" s="4">
        <f>MASTER_AR_REPORT!I94</f>
        <v/>
      </c>
      <c r="J40" s="3">
        <f>MASTER_AR_REPORT!J94</f>
        <v/>
      </c>
      <c r="K40" s="3">
        <f>MASTER_AR_REPORT!K94</f>
        <v/>
      </c>
      <c r="L40" s="3">
        <f>MASTER_AR_REPORT!L94</f>
        <v/>
      </c>
      <c r="M40" s="3">
        <f>MASTER_AR_REPORT!M94</f>
        <v/>
      </c>
      <c r="N40" s="3">
        <f>MASTER_AR_REPORT!N94</f>
        <v/>
      </c>
      <c r="O40" s="3">
        <f>MASTER_AR_REPORT!O94</f>
        <v/>
      </c>
    </row>
    <row r="41">
      <c r="A41" s="1" t="n">
        <v>37</v>
      </c>
      <c r="B41" s="1">
        <f>IF(MASTER_AR_REPORT!B95="","",MASTER_AR_REPORT!B95)</f>
        <v/>
      </c>
      <c r="C41" s="9">
        <f>MASTER_AR_REPORT!C95</f>
        <v/>
      </c>
      <c r="D41" s="1">
        <f>IF(MASTER_AR_REPORT!D95="","",MASTER_AR_REPORT!D95)</f>
        <v/>
      </c>
      <c r="E41" s="1">
        <f>IF(MASTER_AR_REPORT!E95="","",MASTER_AR_REPORT!E95)</f>
        <v/>
      </c>
      <c r="F41" s="2">
        <f>MASTER_AR_REPORT!F95</f>
        <v/>
      </c>
      <c r="G41" s="9">
        <f>MASTER_AR_REPORT!G95</f>
        <v/>
      </c>
      <c r="H41" s="2">
        <f>MASTER_AR_REPORT!H95</f>
        <v/>
      </c>
      <c r="I41" s="2">
        <f>MASTER_AR_REPORT!I95</f>
        <v/>
      </c>
      <c r="J41" s="1">
        <f>MASTER_AR_REPORT!J95</f>
        <v/>
      </c>
      <c r="K41" s="1">
        <f>MASTER_AR_REPORT!K95</f>
        <v/>
      </c>
      <c r="L41" s="1">
        <f>MASTER_AR_REPORT!L95</f>
        <v/>
      </c>
      <c r="M41" s="1">
        <f>MASTER_AR_REPORT!M95</f>
        <v/>
      </c>
      <c r="N41" s="1">
        <f>MASTER_AR_REPORT!N95</f>
        <v/>
      </c>
      <c r="O41" s="1">
        <f>MASTER_AR_REPORT!O95</f>
        <v/>
      </c>
    </row>
    <row r="42">
      <c r="A42" s="3" t="n">
        <v>38</v>
      </c>
      <c r="B42" s="3">
        <f>IF(MASTER_AR_REPORT!B96="","",MASTER_AR_REPORT!B96)</f>
        <v/>
      </c>
      <c r="C42" s="8">
        <f>MASTER_AR_REPORT!C96</f>
        <v/>
      </c>
      <c r="D42" s="3">
        <f>IF(MASTER_AR_REPORT!D96="","",MASTER_AR_REPORT!D96)</f>
        <v/>
      </c>
      <c r="E42" s="3">
        <f>IF(MASTER_AR_REPORT!E96="","",MASTER_AR_REPORT!E96)</f>
        <v/>
      </c>
      <c r="F42" s="4">
        <f>MASTER_AR_REPORT!F96</f>
        <v/>
      </c>
      <c r="G42" s="8">
        <f>MASTER_AR_REPORT!G96</f>
        <v/>
      </c>
      <c r="H42" s="4">
        <f>MASTER_AR_REPORT!H96</f>
        <v/>
      </c>
      <c r="I42" s="4">
        <f>MASTER_AR_REPORT!I96</f>
        <v/>
      </c>
      <c r="J42" s="3">
        <f>MASTER_AR_REPORT!J96</f>
        <v/>
      </c>
      <c r="K42" s="3">
        <f>MASTER_AR_REPORT!K96</f>
        <v/>
      </c>
      <c r="L42" s="3">
        <f>MASTER_AR_REPORT!L96</f>
        <v/>
      </c>
      <c r="M42" s="3">
        <f>MASTER_AR_REPORT!M96</f>
        <v/>
      </c>
      <c r="N42" s="3">
        <f>MASTER_AR_REPORT!N96</f>
        <v/>
      </c>
      <c r="O42" s="3">
        <f>MASTER_AR_REPORT!O96</f>
        <v/>
      </c>
    </row>
    <row r="43">
      <c r="A43" s="1" t="n">
        <v>39</v>
      </c>
      <c r="B43" s="1">
        <f>IF(MASTER_AR_REPORT!B97="","",MASTER_AR_REPORT!B97)</f>
        <v/>
      </c>
      <c r="C43" s="9">
        <f>MASTER_AR_REPORT!C97</f>
        <v/>
      </c>
      <c r="D43" s="1">
        <f>IF(MASTER_AR_REPORT!D97="","",MASTER_AR_REPORT!D97)</f>
        <v/>
      </c>
      <c r="E43" s="1">
        <f>IF(MASTER_AR_REPORT!E97="","",MASTER_AR_REPORT!E97)</f>
        <v/>
      </c>
      <c r="F43" s="2">
        <f>MASTER_AR_REPORT!F97</f>
        <v/>
      </c>
      <c r="G43" s="9">
        <f>MASTER_AR_REPORT!G97</f>
        <v/>
      </c>
      <c r="H43" s="2">
        <f>MASTER_AR_REPORT!H97</f>
        <v/>
      </c>
      <c r="I43" s="2">
        <f>MASTER_AR_REPORT!I97</f>
        <v/>
      </c>
      <c r="J43" s="1">
        <f>MASTER_AR_REPORT!J97</f>
        <v/>
      </c>
      <c r="K43" s="1">
        <f>MASTER_AR_REPORT!K97</f>
        <v/>
      </c>
      <c r="L43" s="1">
        <f>MASTER_AR_REPORT!L97</f>
        <v/>
      </c>
      <c r="M43" s="1">
        <f>MASTER_AR_REPORT!M97</f>
        <v/>
      </c>
      <c r="N43" s="1">
        <f>MASTER_AR_REPORT!N97</f>
        <v/>
      </c>
      <c r="O43" s="1">
        <f>MASTER_AR_REPORT!O97</f>
        <v/>
      </c>
    </row>
    <row r="44">
      <c r="A44" s="3" t="n">
        <v>40</v>
      </c>
      <c r="B44" s="3">
        <f>IF(MASTER_AR_REPORT!B98="","",MASTER_AR_REPORT!B98)</f>
        <v/>
      </c>
      <c r="C44" s="8">
        <f>MASTER_AR_REPORT!C98</f>
        <v/>
      </c>
      <c r="D44" s="3">
        <f>IF(MASTER_AR_REPORT!D98="","",MASTER_AR_REPORT!D98)</f>
        <v/>
      </c>
      <c r="E44" s="3">
        <f>IF(MASTER_AR_REPORT!E98="","",MASTER_AR_REPORT!E98)</f>
        <v/>
      </c>
      <c r="F44" s="4">
        <f>MASTER_AR_REPORT!F98</f>
        <v/>
      </c>
      <c r="G44" s="8">
        <f>MASTER_AR_REPORT!G98</f>
        <v/>
      </c>
      <c r="H44" s="4">
        <f>MASTER_AR_REPORT!H98</f>
        <v/>
      </c>
      <c r="I44" s="4">
        <f>MASTER_AR_REPORT!I98</f>
        <v/>
      </c>
      <c r="J44" s="3">
        <f>MASTER_AR_REPORT!J98</f>
        <v/>
      </c>
      <c r="K44" s="3">
        <f>MASTER_AR_REPORT!K98</f>
        <v/>
      </c>
      <c r="L44" s="3">
        <f>MASTER_AR_REPORT!L98</f>
        <v/>
      </c>
      <c r="M44" s="3">
        <f>MASTER_AR_REPORT!M98</f>
        <v/>
      </c>
      <c r="N44" s="3">
        <f>MASTER_AR_REPORT!N98</f>
        <v/>
      </c>
      <c r="O44" s="3">
        <f>MASTER_AR_REPORT!O98</f>
        <v/>
      </c>
    </row>
    <row r="45">
      <c r="A45" s="1" t="n">
        <v>41</v>
      </c>
      <c r="B45" s="1">
        <f>IF(MASTER_AR_REPORT!B99="","",MASTER_AR_REPORT!B99)</f>
        <v/>
      </c>
      <c r="C45" s="9">
        <f>MASTER_AR_REPORT!C99</f>
        <v/>
      </c>
      <c r="D45" s="1">
        <f>IF(MASTER_AR_REPORT!D99="","",MASTER_AR_REPORT!D99)</f>
        <v/>
      </c>
      <c r="E45" s="1">
        <f>IF(MASTER_AR_REPORT!E99="","",MASTER_AR_REPORT!E99)</f>
        <v/>
      </c>
      <c r="F45" s="2">
        <f>MASTER_AR_REPORT!F99</f>
        <v/>
      </c>
      <c r="G45" s="9">
        <f>MASTER_AR_REPORT!G99</f>
        <v/>
      </c>
      <c r="H45" s="2">
        <f>MASTER_AR_REPORT!H99</f>
        <v/>
      </c>
      <c r="I45" s="2">
        <f>MASTER_AR_REPORT!I99</f>
        <v/>
      </c>
      <c r="J45" s="1">
        <f>MASTER_AR_REPORT!J99</f>
        <v/>
      </c>
      <c r="K45" s="1">
        <f>MASTER_AR_REPORT!K99</f>
        <v/>
      </c>
      <c r="L45" s="1">
        <f>MASTER_AR_REPORT!L99</f>
        <v/>
      </c>
      <c r="M45" s="1">
        <f>MASTER_AR_REPORT!M99</f>
        <v/>
      </c>
      <c r="N45" s="1">
        <f>MASTER_AR_REPORT!N99</f>
        <v/>
      </c>
      <c r="O45" s="1">
        <f>MASTER_AR_REPORT!O99</f>
        <v/>
      </c>
    </row>
    <row r="46">
      <c r="A46" s="3" t="n">
        <v>42</v>
      </c>
      <c r="B46" s="3">
        <f>IF(MASTER_AR_REPORT!B100="","",MASTER_AR_REPORT!B100)</f>
        <v/>
      </c>
      <c r="C46" s="8">
        <f>MASTER_AR_REPORT!C100</f>
        <v/>
      </c>
      <c r="D46" s="3">
        <f>IF(MASTER_AR_REPORT!D100="","",MASTER_AR_REPORT!D100)</f>
        <v/>
      </c>
      <c r="E46" s="3">
        <f>IF(MASTER_AR_REPORT!E100="","",MASTER_AR_REPORT!E100)</f>
        <v/>
      </c>
      <c r="F46" s="4">
        <f>MASTER_AR_REPORT!F100</f>
        <v/>
      </c>
      <c r="G46" s="8">
        <f>MASTER_AR_REPORT!G100</f>
        <v/>
      </c>
      <c r="H46" s="4">
        <f>MASTER_AR_REPORT!H100</f>
        <v/>
      </c>
      <c r="I46" s="4">
        <f>MASTER_AR_REPORT!I100</f>
        <v/>
      </c>
      <c r="J46" s="3">
        <f>MASTER_AR_REPORT!J100</f>
        <v/>
      </c>
      <c r="K46" s="3">
        <f>MASTER_AR_REPORT!K100</f>
        <v/>
      </c>
      <c r="L46" s="3">
        <f>MASTER_AR_REPORT!L100</f>
        <v/>
      </c>
      <c r="M46" s="3">
        <f>MASTER_AR_REPORT!M100</f>
        <v/>
      </c>
      <c r="N46" s="3">
        <f>MASTER_AR_REPORT!N100</f>
        <v/>
      </c>
      <c r="O46" s="3">
        <f>MASTER_AR_REPORT!O100</f>
        <v/>
      </c>
    </row>
    <row r="47">
      <c r="A47" s="1" t="n">
        <v>43</v>
      </c>
      <c r="B47" s="1">
        <f>IF(MASTER_AR_REPORT!B101="","",MASTER_AR_REPORT!B101)</f>
        <v/>
      </c>
      <c r="C47" s="9">
        <f>MASTER_AR_REPORT!C101</f>
        <v/>
      </c>
      <c r="D47" s="1">
        <f>IF(MASTER_AR_REPORT!D101="","",MASTER_AR_REPORT!D101)</f>
        <v/>
      </c>
      <c r="E47" s="1">
        <f>IF(MASTER_AR_REPORT!E101="","",MASTER_AR_REPORT!E101)</f>
        <v/>
      </c>
      <c r="F47" s="2">
        <f>MASTER_AR_REPORT!F101</f>
        <v/>
      </c>
      <c r="G47" s="9">
        <f>MASTER_AR_REPORT!G101</f>
        <v/>
      </c>
      <c r="H47" s="2">
        <f>MASTER_AR_REPORT!H101</f>
        <v/>
      </c>
      <c r="I47" s="2">
        <f>MASTER_AR_REPORT!I101</f>
        <v/>
      </c>
      <c r="J47" s="1">
        <f>MASTER_AR_REPORT!J101</f>
        <v/>
      </c>
      <c r="K47" s="1">
        <f>MASTER_AR_REPORT!K101</f>
        <v/>
      </c>
      <c r="L47" s="1">
        <f>MASTER_AR_REPORT!L101</f>
        <v/>
      </c>
      <c r="M47" s="1">
        <f>MASTER_AR_REPORT!M101</f>
        <v/>
      </c>
      <c r="N47" s="1">
        <f>MASTER_AR_REPORT!N101</f>
        <v/>
      </c>
      <c r="O47" s="1">
        <f>MASTER_AR_REPORT!O101</f>
        <v/>
      </c>
    </row>
    <row r="48">
      <c r="A48" s="3" t="n">
        <v>44</v>
      </c>
      <c r="B48" s="3">
        <f>IF(MASTER_AR_REPORT!B102="","",MASTER_AR_REPORT!B102)</f>
        <v/>
      </c>
      <c r="C48" s="8">
        <f>MASTER_AR_REPORT!C102</f>
        <v/>
      </c>
      <c r="D48" s="3">
        <f>IF(MASTER_AR_REPORT!D102="","",MASTER_AR_REPORT!D102)</f>
        <v/>
      </c>
      <c r="E48" s="3">
        <f>IF(MASTER_AR_REPORT!E102="","",MASTER_AR_REPORT!E102)</f>
        <v/>
      </c>
      <c r="F48" s="4">
        <f>MASTER_AR_REPORT!F102</f>
        <v/>
      </c>
      <c r="G48" s="8">
        <f>MASTER_AR_REPORT!G102</f>
        <v/>
      </c>
      <c r="H48" s="4">
        <f>MASTER_AR_REPORT!H102</f>
        <v/>
      </c>
      <c r="I48" s="4">
        <f>MASTER_AR_REPORT!I102</f>
        <v/>
      </c>
      <c r="J48" s="3">
        <f>MASTER_AR_REPORT!J102</f>
        <v/>
      </c>
      <c r="K48" s="3">
        <f>MASTER_AR_REPORT!K102</f>
        <v/>
      </c>
      <c r="L48" s="3">
        <f>MASTER_AR_REPORT!L102</f>
        <v/>
      </c>
      <c r="M48" s="3">
        <f>MASTER_AR_REPORT!M102</f>
        <v/>
      </c>
      <c r="N48" s="3">
        <f>MASTER_AR_REPORT!N102</f>
        <v/>
      </c>
      <c r="O48" s="3">
        <f>MASTER_AR_REPORT!O102</f>
        <v/>
      </c>
    </row>
    <row r="49">
      <c r="A49" s="1" t="n">
        <v>45</v>
      </c>
      <c r="B49" s="1">
        <f>IF(MASTER_AR_REPORT!B103="","",MASTER_AR_REPORT!B103)</f>
        <v/>
      </c>
      <c r="C49" s="9">
        <f>MASTER_AR_REPORT!C103</f>
        <v/>
      </c>
      <c r="D49" s="1">
        <f>IF(MASTER_AR_REPORT!D103="","",MASTER_AR_REPORT!D103)</f>
        <v/>
      </c>
      <c r="E49" s="1">
        <f>IF(MASTER_AR_REPORT!E103="","",MASTER_AR_REPORT!E103)</f>
        <v/>
      </c>
      <c r="F49" s="2">
        <f>MASTER_AR_REPORT!F103</f>
        <v/>
      </c>
      <c r="G49" s="9">
        <f>MASTER_AR_REPORT!G103</f>
        <v/>
      </c>
      <c r="H49" s="2">
        <f>MASTER_AR_REPORT!H103</f>
        <v/>
      </c>
      <c r="I49" s="2">
        <f>MASTER_AR_REPORT!I103</f>
        <v/>
      </c>
      <c r="J49" s="1">
        <f>MASTER_AR_REPORT!J103</f>
        <v/>
      </c>
      <c r="K49" s="1">
        <f>MASTER_AR_REPORT!K103</f>
        <v/>
      </c>
      <c r="L49" s="1">
        <f>MASTER_AR_REPORT!L103</f>
        <v/>
      </c>
      <c r="M49" s="1">
        <f>MASTER_AR_REPORT!M103</f>
        <v/>
      </c>
      <c r="N49" s="1">
        <f>MASTER_AR_REPORT!N103</f>
        <v/>
      </c>
      <c r="O49" s="1">
        <f>MASTER_AR_REPORT!O103</f>
        <v/>
      </c>
    </row>
    <row r="50">
      <c r="A50" s="3" t="n">
        <v>46</v>
      </c>
      <c r="B50" s="3">
        <f>IF(MASTER_AR_REPORT!B104="","",MASTER_AR_REPORT!B104)</f>
        <v/>
      </c>
      <c r="C50" s="8">
        <f>MASTER_AR_REPORT!C104</f>
        <v/>
      </c>
      <c r="D50" s="3">
        <f>IF(MASTER_AR_REPORT!D104="","",MASTER_AR_REPORT!D104)</f>
        <v/>
      </c>
      <c r="E50" s="3">
        <f>IF(MASTER_AR_REPORT!E104="","",MASTER_AR_REPORT!E104)</f>
        <v/>
      </c>
      <c r="F50" s="4">
        <f>MASTER_AR_REPORT!F104</f>
        <v/>
      </c>
      <c r="G50" s="8">
        <f>MASTER_AR_REPORT!G104</f>
        <v/>
      </c>
      <c r="H50" s="4">
        <f>MASTER_AR_REPORT!H104</f>
        <v/>
      </c>
      <c r="I50" s="4">
        <f>MASTER_AR_REPORT!I104</f>
        <v/>
      </c>
      <c r="J50" s="3">
        <f>MASTER_AR_REPORT!J104</f>
        <v/>
      </c>
      <c r="K50" s="3">
        <f>MASTER_AR_REPORT!K104</f>
        <v/>
      </c>
      <c r="L50" s="3">
        <f>MASTER_AR_REPORT!L104</f>
        <v/>
      </c>
      <c r="M50" s="3">
        <f>MASTER_AR_REPORT!M104</f>
        <v/>
      </c>
      <c r="N50" s="3">
        <f>MASTER_AR_REPORT!N104</f>
        <v/>
      </c>
      <c r="O50" s="3">
        <f>MASTER_AR_REPORT!O104</f>
        <v/>
      </c>
    </row>
    <row r="51">
      <c r="A51" s="1" t="n">
        <v>47</v>
      </c>
      <c r="B51" s="1">
        <f>IF(MASTER_AR_REPORT!B105="","",MASTER_AR_REPORT!B105)</f>
        <v/>
      </c>
      <c r="C51" s="9">
        <f>MASTER_AR_REPORT!C105</f>
        <v/>
      </c>
      <c r="D51" s="1">
        <f>IF(MASTER_AR_REPORT!D105="","",MASTER_AR_REPORT!D105)</f>
        <v/>
      </c>
      <c r="E51" s="1">
        <f>IF(MASTER_AR_REPORT!E105="","",MASTER_AR_REPORT!E105)</f>
        <v/>
      </c>
      <c r="F51" s="2">
        <f>MASTER_AR_REPORT!F105</f>
        <v/>
      </c>
      <c r="G51" s="9">
        <f>MASTER_AR_REPORT!G105</f>
        <v/>
      </c>
      <c r="H51" s="2">
        <f>MASTER_AR_REPORT!H105</f>
        <v/>
      </c>
      <c r="I51" s="2">
        <f>MASTER_AR_REPORT!I105</f>
        <v/>
      </c>
      <c r="J51" s="1">
        <f>MASTER_AR_REPORT!J105</f>
        <v/>
      </c>
      <c r="K51" s="1">
        <f>MASTER_AR_REPORT!K105</f>
        <v/>
      </c>
      <c r="L51" s="1">
        <f>MASTER_AR_REPORT!L105</f>
        <v/>
      </c>
      <c r="M51" s="1">
        <f>MASTER_AR_REPORT!M105</f>
        <v/>
      </c>
      <c r="N51" s="1">
        <f>MASTER_AR_REPORT!N105</f>
        <v/>
      </c>
      <c r="O51" s="1">
        <f>MASTER_AR_REPORT!O105</f>
        <v/>
      </c>
    </row>
    <row r="52">
      <c r="A52" s="3" t="n">
        <v>48</v>
      </c>
      <c r="B52" s="3">
        <f>IF(MASTER_AR_REPORT!B106="","",MASTER_AR_REPORT!B106)</f>
        <v/>
      </c>
      <c r="C52" s="8">
        <f>MASTER_AR_REPORT!C106</f>
        <v/>
      </c>
      <c r="D52" s="3">
        <f>IF(MASTER_AR_REPORT!D106="","",MASTER_AR_REPORT!D106)</f>
        <v/>
      </c>
      <c r="E52" s="3">
        <f>IF(MASTER_AR_REPORT!E106="","",MASTER_AR_REPORT!E106)</f>
        <v/>
      </c>
      <c r="F52" s="4">
        <f>MASTER_AR_REPORT!F106</f>
        <v/>
      </c>
      <c r="G52" s="8">
        <f>MASTER_AR_REPORT!G106</f>
        <v/>
      </c>
      <c r="H52" s="4">
        <f>MASTER_AR_REPORT!H106</f>
        <v/>
      </c>
      <c r="I52" s="4">
        <f>MASTER_AR_REPORT!I106</f>
        <v/>
      </c>
      <c r="J52" s="3">
        <f>MASTER_AR_REPORT!J106</f>
        <v/>
      </c>
      <c r="K52" s="3">
        <f>MASTER_AR_REPORT!K106</f>
        <v/>
      </c>
      <c r="L52" s="3">
        <f>MASTER_AR_REPORT!L106</f>
        <v/>
      </c>
      <c r="M52" s="3">
        <f>MASTER_AR_REPORT!M106</f>
        <v/>
      </c>
      <c r="N52" s="3">
        <f>MASTER_AR_REPORT!N106</f>
        <v/>
      </c>
      <c r="O52" s="3">
        <f>MASTER_AR_REPORT!O106</f>
        <v/>
      </c>
    </row>
    <row r="53">
      <c r="A53" s="1" t="n">
        <v>49</v>
      </c>
      <c r="B53" s="1">
        <f>IF(MASTER_AR_REPORT!B107="","",MASTER_AR_REPORT!B107)</f>
        <v/>
      </c>
      <c r="C53" s="9">
        <f>MASTER_AR_REPORT!C107</f>
        <v/>
      </c>
      <c r="D53" s="1">
        <f>IF(MASTER_AR_REPORT!D107="","",MASTER_AR_REPORT!D107)</f>
        <v/>
      </c>
      <c r="E53" s="1">
        <f>IF(MASTER_AR_REPORT!E107="","",MASTER_AR_REPORT!E107)</f>
        <v/>
      </c>
      <c r="F53" s="2">
        <f>MASTER_AR_REPORT!F107</f>
        <v/>
      </c>
      <c r="G53" s="9">
        <f>MASTER_AR_REPORT!G107</f>
        <v/>
      </c>
      <c r="H53" s="2">
        <f>MASTER_AR_REPORT!H107</f>
        <v/>
      </c>
      <c r="I53" s="2">
        <f>MASTER_AR_REPORT!I107</f>
        <v/>
      </c>
      <c r="J53" s="1">
        <f>MASTER_AR_REPORT!J107</f>
        <v/>
      </c>
      <c r="K53" s="1">
        <f>MASTER_AR_REPORT!K107</f>
        <v/>
      </c>
      <c r="L53" s="1">
        <f>MASTER_AR_REPORT!L107</f>
        <v/>
      </c>
      <c r="M53" s="1">
        <f>MASTER_AR_REPORT!M107</f>
        <v/>
      </c>
      <c r="N53" s="1">
        <f>MASTER_AR_REPORT!N107</f>
        <v/>
      </c>
      <c r="O53" s="1">
        <f>MASTER_AR_REPORT!O107</f>
        <v/>
      </c>
    </row>
    <row r="54">
      <c r="A54" s="3" t="n">
        <v>50</v>
      </c>
      <c r="B54" s="3">
        <f>IF(MASTER_AR_REPORT!B108="","",MASTER_AR_REPORT!B108)</f>
        <v/>
      </c>
      <c r="C54" s="8">
        <f>MASTER_AR_REPORT!C108</f>
        <v/>
      </c>
      <c r="D54" s="3">
        <f>IF(MASTER_AR_REPORT!D108="","",MASTER_AR_REPORT!D108)</f>
        <v/>
      </c>
      <c r="E54" s="3">
        <f>IF(MASTER_AR_REPORT!E108="","",MASTER_AR_REPORT!E108)</f>
        <v/>
      </c>
      <c r="F54" s="4">
        <f>MASTER_AR_REPORT!F108</f>
        <v/>
      </c>
      <c r="G54" s="8">
        <f>MASTER_AR_REPORT!G108</f>
        <v/>
      </c>
      <c r="H54" s="4">
        <f>MASTER_AR_REPORT!H108</f>
        <v/>
      </c>
      <c r="I54" s="4">
        <f>MASTER_AR_REPORT!I108</f>
        <v/>
      </c>
      <c r="J54" s="3">
        <f>MASTER_AR_REPORT!J108</f>
        <v/>
      </c>
      <c r="K54" s="3">
        <f>MASTER_AR_REPORT!K108</f>
        <v/>
      </c>
      <c r="L54" s="3">
        <f>MASTER_AR_REPORT!L108</f>
        <v/>
      </c>
      <c r="M54" s="3">
        <f>MASTER_AR_REPORT!M108</f>
        <v/>
      </c>
      <c r="N54" s="3">
        <f>MASTER_AR_REPORT!N108</f>
        <v/>
      </c>
      <c r="O54" s="3">
        <f>MASTER_AR_REPORT!O108</f>
        <v/>
      </c>
    </row>
    <row r="55">
      <c r="A55" s="1" t="n">
        <v>51</v>
      </c>
      <c r="B55" s="1">
        <f>IF(MASTER_AR_REPORT!B109="","",MASTER_AR_REPORT!B109)</f>
        <v/>
      </c>
      <c r="C55" s="9">
        <f>MASTER_AR_REPORT!C109</f>
        <v/>
      </c>
      <c r="D55" s="1">
        <f>IF(MASTER_AR_REPORT!D109="","",MASTER_AR_REPORT!D109)</f>
        <v/>
      </c>
      <c r="E55" s="1">
        <f>IF(MASTER_AR_REPORT!E109="","",MASTER_AR_REPORT!E109)</f>
        <v/>
      </c>
      <c r="F55" s="2">
        <f>MASTER_AR_REPORT!F109</f>
        <v/>
      </c>
      <c r="G55" s="9">
        <f>MASTER_AR_REPORT!G109</f>
        <v/>
      </c>
      <c r="H55" s="2">
        <f>MASTER_AR_REPORT!H109</f>
        <v/>
      </c>
      <c r="I55" s="2">
        <f>MASTER_AR_REPORT!I109</f>
        <v/>
      </c>
      <c r="J55" s="1">
        <f>MASTER_AR_REPORT!J109</f>
        <v/>
      </c>
      <c r="K55" s="1">
        <f>MASTER_AR_REPORT!K109</f>
        <v/>
      </c>
      <c r="L55" s="1">
        <f>MASTER_AR_REPORT!L109</f>
        <v/>
      </c>
      <c r="M55" s="1">
        <f>MASTER_AR_REPORT!M109</f>
        <v/>
      </c>
      <c r="N55" s="1">
        <f>MASTER_AR_REPORT!N109</f>
        <v/>
      </c>
      <c r="O55" s="1">
        <f>MASTER_AR_REPORT!O109</f>
        <v/>
      </c>
    </row>
    <row r="56">
      <c r="A56" s="3" t="n">
        <v>52</v>
      </c>
      <c r="B56" s="3">
        <f>IF(MASTER_AR_REPORT!B110="","",MASTER_AR_REPORT!B110)</f>
        <v/>
      </c>
      <c r="C56" s="8">
        <f>MASTER_AR_REPORT!C110</f>
        <v/>
      </c>
      <c r="D56" s="3">
        <f>IF(MASTER_AR_REPORT!D110="","",MASTER_AR_REPORT!D110)</f>
        <v/>
      </c>
      <c r="E56" s="3">
        <f>IF(MASTER_AR_REPORT!E110="","",MASTER_AR_REPORT!E110)</f>
        <v/>
      </c>
      <c r="F56" s="4">
        <f>MASTER_AR_REPORT!F110</f>
        <v/>
      </c>
      <c r="G56" s="8">
        <f>MASTER_AR_REPORT!G110</f>
        <v/>
      </c>
      <c r="H56" s="4">
        <f>MASTER_AR_REPORT!H110</f>
        <v/>
      </c>
      <c r="I56" s="4">
        <f>MASTER_AR_REPORT!I110</f>
        <v/>
      </c>
      <c r="J56" s="3">
        <f>MASTER_AR_REPORT!J110</f>
        <v/>
      </c>
      <c r="K56" s="3">
        <f>MASTER_AR_REPORT!K110</f>
        <v/>
      </c>
      <c r="L56" s="3">
        <f>MASTER_AR_REPORT!L110</f>
        <v/>
      </c>
      <c r="M56" s="3">
        <f>MASTER_AR_REPORT!M110</f>
        <v/>
      </c>
      <c r="N56" s="3">
        <f>MASTER_AR_REPORT!N110</f>
        <v/>
      </c>
      <c r="O56" s="3">
        <f>MASTER_AR_REPORT!O110</f>
        <v/>
      </c>
    </row>
    <row r="57">
      <c r="A57" s="1" t="n">
        <v>53</v>
      </c>
      <c r="B57" s="1">
        <f>IF(MASTER_AR_REPORT!B111="","",MASTER_AR_REPORT!B111)</f>
        <v/>
      </c>
      <c r="C57" s="9">
        <f>MASTER_AR_REPORT!C111</f>
        <v/>
      </c>
      <c r="D57" s="1">
        <f>IF(MASTER_AR_REPORT!D111="","",MASTER_AR_REPORT!D111)</f>
        <v/>
      </c>
      <c r="E57" s="1">
        <f>IF(MASTER_AR_REPORT!E111="","",MASTER_AR_REPORT!E111)</f>
        <v/>
      </c>
      <c r="F57" s="2">
        <f>MASTER_AR_REPORT!F111</f>
        <v/>
      </c>
      <c r="G57" s="9">
        <f>MASTER_AR_REPORT!G111</f>
        <v/>
      </c>
      <c r="H57" s="2">
        <f>MASTER_AR_REPORT!H111</f>
        <v/>
      </c>
      <c r="I57" s="2">
        <f>MASTER_AR_REPORT!I111</f>
        <v/>
      </c>
      <c r="J57" s="1">
        <f>MASTER_AR_REPORT!J111</f>
        <v/>
      </c>
      <c r="K57" s="1">
        <f>MASTER_AR_REPORT!K111</f>
        <v/>
      </c>
      <c r="L57" s="1">
        <f>MASTER_AR_REPORT!L111</f>
        <v/>
      </c>
      <c r="M57" s="1">
        <f>MASTER_AR_REPORT!M111</f>
        <v/>
      </c>
      <c r="N57" s="1">
        <f>MASTER_AR_REPORT!N111</f>
        <v/>
      </c>
      <c r="O57" s="1">
        <f>MASTER_AR_REPORT!O111</f>
        <v/>
      </c>
    </row>
    <row r="58">
      <c r="A58" s="3" t="n">
        <v>54</v>
      </c>
      <c r="B58" s="3">
        <f>IF(MASTER_AR_REPORT!B112="","",MASTER_AR_REPORT!B112)</f>
        <v/>
      </c>
      <c r="C58" s="8">
        <f>MASTER_AR_REPORT!C112</f>
        <v/>
      </c>
      <c r="D58" s="3">
        <f>IF(MASTER_AR_REPORT!D112="","",MASTER_AR_REPORT!D112)</f>
        <v/>
      </c>
      <c r="E58" s="3">
        <f>IF(MASTER_AR_REPORT!E112="","",MASTER_AR_REPORT!E112)</f>
        <v/>
      </c>
      <c r="F58" s="4">
        <f>MASTER_AR_REPORT!F112</f>
        <v/>
      </c>
      <c r="G58" s="8">
        <f>MASTER_AR_REPORT!G112</f>
        <v/>
      </c>
      <c r="H58" s="4">
        <f>MASTER_AR_REPORT!H112</f>
        <v/>
      </c>
      <c r="I58" s="4">
        <f>MASTER_AR_REPORT!I112</f>
        <v/>
      </c>
      <c r="J58" s="3">
        <f>MASTER_AR_REPORT!J112</f>
        <v/>
      </c>
      <c r="K58" s="3">
        <f>MASTER_AR_REPORT!K112</f>
        <v/>
      </c>
      <c r="L58" s="3">
        <f>MASTER_AR_REPORT!L112</f>
        <v/>
      </c>
      <c r="M58" s="3">
        <f>MASTER_AR_REPORT!M112</f>
        <v/>
      </c>
      <c r="N58" s="3">
        <f>MASTER_AR_REPORT!N112</f>
        <v/>
      </c>
      <c r="O58" s="3">
        <f>MASTER_AR_REPORT!O112</f>
        <v/>
      </c>
    </row>
    <row r="59">
      <c r="A59" s="1" t="n">
        <v>55</v>
      </c>
      <c r="B59" s="1">
        <f>IF(MASTER_AR_REPORT!B113="","",MASTER_AR_REPORT!B113)</f>
        <v/>
      </c>
      <c r="C59" s="9">
        <f>MASTER_AR_REPORT!C113</f>
        <v/>
      </c>
      <c r="D59" s="1">
        <f>IF(MASTER_AR_REPORT!D113="","",MASTER_AR_REPORT!D113)</f>
        <v/>
      </c>
      <c r="E59" s="1">
        <f>IF(MASTER_AR_REPORT!E113="","",MASTER_AR_REPORT!E113)</f>
        <v/>
      </c>
      <c r="F59" s="2">
        <f>MASTER_AR_REPORT!F113</f>
        <v/>
      </c>
      <c r="G59" s="9">
        <f>MASTER_AR_REPORT!G113</f>
        <v/>
      </c>
      <c r="H59" s="2">
        <f>MASTER_AR_REPORT!H113</f>
        <v/>
      </c>
      <c r="I59" s="2">
        <f>MASTER_AR_REPORT!I113</f>
        <v/>
      </c>
      <c r="J59" s="1">
        <f>MASTER_AR_REPORT!J113</f>
        <v/>
      </c>
      <c r="K59" s="1">
        <f>MASTER_AR_REPORT!K113</f>
        <v/>
      </c>
      <c r="L59" s="1">
        <f>MASTER_AR_REPORT!L113</f>
        <v/>
      </c>
      <c r="M59" s="1">
        <f>MASTER_AR_REPORT!M113</f>
        <v/>
      </c>
      <c r="N59" s="1">
        <f>MASTER_AR_REPORT!N113</f>
        <v/>
      </c>
      <c r="O59" s="1">
        <f>MASTER_AR_REPORT!O113</f>
        <v/>
      </c>
    </row>
    <row r="60">
      <c r="A60" s="3" t="n">
        <v>56</v>
      </c>
      <c r="B60" s="3">
        <f>IF(MASTER_AR_REPORT!B114="","",MASTER_AR_REPORT!B114)</f>
        <v/>
      </c>
      <c r="C60" s="8">
        <f>MASTER_AR_REPORT!C114</f>
        <v/>
      </c>
      <c r="D60" s="3">
        <f>IF(MASTER_AR_REPORT!D114="","",MASTER_AR_REPORT!D114)</f>
        <v/>
      </c>
      <c r="E60" s="3">
        <f>IF(MASTER_AR_REPORT!E114="","",MASTER_AR_REPORT!E114)</f>
        <v/>
      </c>
      <c r="F60" s="4">
        <f>MASTER_AR_REPORT!F114</f>
        <v/>
      </c>
      <c r="G60" s="8">
        <f>MASTER_AR_REPORT!G114</f>
        <v/>
      </c>
      <c r="H60" s="4">
        <f>MASTER_AR_REPORT!H114</f>
        <v/>
      </c>
      <c r="I60" s="4">
        <f>MASTER_AR_REPORT!I114</f>
        <v/>
      </c>
      <c r="J60" s="3">
        <f>MASTER_AR_REPORT!J114</f>
        <v/>
      </c>
      <c r="K60" s="3">
        <f>MASTER_AR_REPORT!K114</f>
        <v/>
      </c>
      <c r="L60" s="3">
        <f>MASTER_AR_REPORT!L114</f>
        <v/>
      </c>
      <c r="M60" s="3">
        <f>MASTER_AR_REPORT!M114</f>
        <v/>
      </c>
      <c r="N60" s="3">
        <f>MASTER_AR_REPORT!N114</f>
        <v/>
      </c>
      <c r="O60" s="3">
        <f>MASTER_AR_REPORT!O114</f>
        <v/>
      </c>
    </row>
    <row r="61">
      <c r="A61" s="1" t="n">
        <v>57</v>
      </c>
      <c r="B61" s="1">
        <f>IF(MASTER_AR_REPORT!B115="","",MASTER_AR_REPORT!B115)</f>
        <v/>
      </c>
      <c r="C61" s="9">
        <f>MASTER_AR_REPORT!C115</f>
        <v/>
      </c>
      <c r="D61" s="1">
        <f>IF(MASTER_AR_REPORT!D115="","",MASTER_AR_REPORT!D115)</f>
        <v/>
      </c>
      <c r="E61" s="1">
        <f>IF(MASTER_AR_REPORT!E115="","",MASTER_AR_REPORT!E115)</f>
        <v/>
      </c>
      <c r="F61" s="2">
        <f>MASTER_AR_REPORT!F115</f>
        <v/>
      </c>
      <c r="G61" s="9">
        <f>MASTER_AR_REPORT!G115</f>
        <v/>
      </c>
      <c r="H61" s="2">
        <f>MASTER_AR_REPORT!H115</f>
        <v/>
      </c>
      <c r="I61" s="2">
        <f>MASTER_AR_REPORT!I115</f>
        <v/>
      </c>
      <c r="J61" s="1">
        <f>MASTER_AR_REPORT!J115</f>
        <v/>
      </c>
      <c r="K61" s="1">
        <f>MASTER_AR_REPORT!K115</f>
        <v/>
      </c>
      <c r="L61" s="1">
        <f>MASTER_AR_REPORT!L115</f>
        <v/>
      </c>
      <c r="M61" s="1">
        <f>MASTER_AR_REPORT!M115</f>
        <v/>
      </c>
      <c r="N61" s="1">
        <f>MASTER_AR_REPORT!N115</f>
        <v/>
      </c>
      <c r="O61" s="1">
        <f>MASTER_AR_REPORT!O115</f>
        <v/>
      </c>
    </row>
    <row r="62">
      <c r="A62" s="3" t="n">
        <v>58</v>
      </c>
      <c r="B62" s="3">
        <f>IF(MASTER_AR_REPORT!B116="","",MASTER_AR_REPORT!B116)</f>
        <v/>
      </c>
      <c r="C62" s="8">
        <f>MASTER_AR_REPORT!C116</f>
        <v/>
      </c>
      <c r="D62" s="3">
        <f>IF(MASTER_AR_REPORT!D116="","",MASTER_AR_REPORT!D116)</f>
        <v/>
      </c>
      <c r="E62" s="3">
        <f>IF(MASTER_AR_REPORT!E116="","",MASTER_AR_REPORT!E116)</f>
        <v/>
      </c>
      <c r="F62" s="4">
        <f>MASTER_AR_REPORT!F116</f>
        <v/>
      </c>
      <c r="G62" s="8">
        <f>MASTER_AR_REPORT!G116</f>
        <v/>
      </c>
      <c r="H62" s="4">
        <f>MASTER_AR_REPORT!H116</f>
        <v/>
      </c>
      <c r="I62" s="4">
        <f>MASTER_AR_REPORT!I116</f>
        <v/>
      </c>
      <c r="J62" s="3">
        <f>MASTER_AR_REPORT!J116</f>
        <v/>
      </c>
      <c r="K62" s="3">
        <f>MASTER_AR_REPORT!K116</f>
        <v/>
      </c>
      <c r="L62" s="3">
        <f>MASTER_AR_REPORT!L116</f>
        <v/>
      </c>
      <c r="M62" s="3">
        <f>MASTER_AR_REPORT!M116</f>
        <v/>
      </c>
      <c r="N62" s="3">
        <f>MASTER_AR_REPORT!N116</f>
        <v/>
      </c>
      <c r="O62" s="3">
        <f>MASTER_AR_REPORT!O116</f>
        <v/>
      </c>
    </row>
    <row r="63">
      <c r="A63" s="1" t="n">
        <v>59</v>
      </c>
      <c r="B63" s="1">
        <f>IF(MASTER_AR_REPORT!B117="","",MASTER_AR_REPORT!B117)</f>
        <v/>
      </c>
      <c r="C63" s="9">
        <f>MASTER_AR_REPORT!C117</f>
        <v/>
      </c>
      <c r="D63" s="1">
        <f>IF(MASTER_AR_REPORT!D117="","",MASTER_AR_REPORT!D117)</f>
        <v/>
      </c>
      <c r="E63" s="1">
        <f>IF(MASTER_AR_REPORT!E117="","",MASTER_AR_REPORT!E117)</f>
        <v/>
      </c>
      <c r="F63" s="2">
        <f>MASTER_AR_REPORT!F117</f>
        <v/>
      </c>
      <c r="G63" s="9">
        <f>MASTER_AR_REPORT!G117</f>
        <v/>
      </c>
      <c r="H63" s="2">
        <f>MASTER_AR_REPORT!H117</f>
        <v/>
      </c>
      <c r="I63" s="2">
        <f>MASTER_AR_REPORT!I117</f>
        <v/>
      </c>
      <c r="J63" s="1">
        <f>MASTER_AR_REPORT!J117</f>
        <v/>
      </c>
      <c r="K63" s="1">
        <f>MASTER_AR_REPORT!K117</f>
        <v/>
      </c>
      <c r="L63" s="1">
        <f>MASTER_AR_REPORT!L117</f>
        <v/>
      </c>
      <c r="M63" s="1">
        <f>MASTER_AR_REPORT!M117</f>
        <v/>
      </c>
      <c r="N63" s="1">
        <f>MASTER_AR_REPORT!N117</f>
        <v/>
      </c>
      <c r="O63" s="1">
        <f>MASTER_AR_REPORT!O117</f>
        <v/>
      </c>
    </row>
    <row r="64">
      <c r="A64" s="3" t="n">
        <v>60</v>
      </c>
      <c r="B64" s="3">
        <f>IF(MASTER_AR_REPORT!B118="","",MASTER_AR_REPORT!B118)</f>
        <v/>
      </c>
      <c r="C64" s="8">
        <f>MASTER_AR_REPORT!C118</f>
        <v/>
      </c>
      <c r="D64" s="3">
        <f>IF(MASTER_AR_REPORT!D118="","",MASTER_AR_REPORT!D118)</f>
        <v/>
      </c>
      <c r="E64" s="3">
        <f>IF(MASTER_AR_REPORT!E118="","",MASTER_AR_REPORT!E118)</f>
        <v/>
      </c>
      <c r="F64" s="4">
        <f>MASTER_AR_REPORT!F118</f>
        <v/>
      </c>
      <c r="G64" s="8">
        <f>MASTER_AR_REPORT!G118</f>
        <v/>
      </c>
      <c r="H64" s="4">
        <f>MASTER_AR_REPORT!H118</f>
        <v/>
      </c>
      <c r="I64" s="4">
        <f>MASTER_AR_REPORT!I118</f>
        <v/>
      </c>
      <c r="J64" s="3">
        <f>MASTER_AR_REPORT!J118</f>
        <v/>
      </c>
      <c r="K64" s="3">
        <f>MASTER_AR_REPORT!K118</f>
        <v/>
      </c>
      <c r="L64" s="3">
        <f>MASTER_AR_REPORT!L118</f>
        <v/>
      </c>
      <c r="M64" s="3">
        <f>MASTER_AR_REPORT!M118</f>
        <v/>
      </c>
      <c r="N64" s="3">
        <f>MASTER_AR_REPORT!N118</f>
        <v/>
      </c>
      <c r="O64" s="3">
        <f>MASTER_AR_REPORT!O118</f>
        <v/>
      </c>
    </row>
    <row r="65">
      <c r="A65" s="1" t="n">
        <v>61</v>
      </c>
      <c r="B65" s="1">
        <f>IF(MASTER_AR_REPORT!B119="","",MASTER_AR_REPORT!B119)</f>
        <v/>
      </c>
      <c r="C65" s="9">
        <f>MASTER_AR_REPORT!C119</f>
        <v/>
      </c>
      <c r="D65" s="1">
        <f>IF(MASTER_AR_REPORT!D119="","",MASTER_AR_REPORT!D119)</f>
        <v/>
      </c>
      <c r="E65" s="1">
        <f>IF(MASTER_AR_REPORT!E119="","",MASTER_AR_REPORT!E119)</f>
        <v/>
      </c>
      <c r="F65" s="2">
        <f>MASTER_AR_REPORT!F119</f>
        <v/>
      </c>
      <c r="G65" s="9">
        <f>MASTER_AR_REPORT!G119</f>
        <v/>
      </c>
      <c r="H65" s="2">
        <f>MASTER_AR_REPORT!H119</f>
        <v/>
      </c>
      <c r="I65" s="2">
        <f>MASTER_AR_REPORT!I119</f>
        <v/>
      </c>
      <c r="J65" s="1">
        <f>MASTER_AR_REPORT!J119</f>
        <v/>
      </c>
      <c r="K65" s="1">
        <f>MASTER_AR_REPORT!K119</f>
        <v/>
      </c>
      <c r="L65" s="1">
        <f>MASTER_AR_REPORT!L119</f>
        <v/>
      </c>
      <c r="M65" s="1">
        <f>MASTER_AR_REPORT!M119</f>
        <v/>
      </c>
      <c r="N65" s="1">
        <f>MASTER_AR_REPORT!N119</f>
        <v/>
      </c>
      <c r="O65" s="1">
        <f>MASTER_AR_REPORT!O119</f>
        <v/>
      </c>
    </row>
    <row r="66">
      <c r="A66" s="3" t="n">
        <v>62</v>
      </c>
      <c r="B66" s="3">
        <f>IF(MASTER_AR_REPORT!B120="","",MASTER_AR_REPORT!B120)</f>
        <v/>
      </c>
      <c r="C66" s="8">
        <f>MASTER_AR_REPORT!C120</f>
        <v/>
      </c>
      <c r="D66" s="3">
        <f>IF(MASTER_AR_REPORT!D120="","",MASTER_AR_REPORT!D120)</f>
        <v/>
      </c>
      <c r="E66" s="3">
        <f>IF(MASTER_AR_REPORT!E120="","",MASTER_AR_REPORT!E120)</f>
        <v/>
      </c>
      <c r="F66" s="4">
        <f>MASTER_AR_REPORT!F120</f>
        <v/>
      </c>
      <c r="G66" s="8">
        <f>MASTER_AR_REPORT!G120</f>
        <v/>
      </c>
      <c r="H66" s="4">
        <f>MASTER_AR_REPORT!H120</f>
        <v/>
      </c>
      <c r="I66" s="4">
        <f>MASTER_AR_REPORT!I120</f>
        <v/>
      </c>
      <c r="J66" s="3">
        <f>MASTER_AR_REPORT!J120</f>
        <v/>
      </c>
      <c r="K66" s="3">
        <f>MASTER_AR_REPORT!K120</f>
        <v/>
      </c>
      <c r="L66" s="3">
        <f>MASTER_AR_REPORT!L120</f>
        <v/>
      </c>
      <c r="M66" s="3">
        <f>MASTER_AR_REPORT!M120</f>
        <v/>
      </c>
      <c r="N66" s="3">
        <f>MASTER_AR_REPORT!N120</f>
        <v/>
      </c>
      <c r="O66" s="3">
        <f>MASTER_AR_REPORT!O120</f>
        <v/>
      </c>
    </row>
    <row r="67">
      <c r="A67" s="1" t="n">
        <v>63</v>
      </c>
      <c r="B67" s="1">
        <f>IF(MASTER_AR_REPORT!B121="","",MASTER_AR_REPORT!B121)</f>
        <v/>
      </c>
      <c r="C67" s="9">
        <f>MASTER_AR_REPORT!C121</f>
        <v/>
      </c>
      <c r="D67" s="1">
        <f>IF(MASTER_AR_REPORT!D121="","",MASTER_AR_REPORT!D121)</f>
        <v/>
      </c>
      <c r="E67" s="1">
        <f>IF(MASTER_AR_REPORT!E121="","",MASTER_AR_REPORT!E121)</f>
        <v/>
      </c>
      <c r="F67" s="2">
        <f>MASTER_AR_REPORT!F121</f>
        <v/>
      </c>
      <c r="G67" s="9">
        <f>MASTER_AR_REPORT!G121</f>
        <v/>
      </c>
      <c r="H67" s="2">
        <f>MASTER_AR_REPORT!H121</f>
        <v/>
      </c>
      <c r="I67" s="2">
        <f>MASTER_AR_REPORT!I121</f>
        <v/>
      </c>
      <c r="J67" s="1">
        <f>MASTER_AR_REPORT!J121</f>
        <v/>
      </c>
      <c r="K67" s="1">
        <f>MASTER_AR_REPORT!K121</f>
        <v/>
      </c>
      <c r="L67" s="1">
        <f>MASTER_AR_REPORT!L121</f>
        <v/>
      </c>
      <c r="M67" s="1">
        <f>MASTER_AR_REPORT!M121</f>
        <v/>
      </c>
      <c r="N67" s="1">
        <f>MASTER_AR_REPORT!N121</f>
        <v/>
      </c>
      <c r="O67" s="1">
        <f>MASTER_AR_REPORT!O121</f>
        <v/>
      </c>
    </row>
    <row r="68">
      <c r="A68" s="3" t="n">
        <v>64</v>
      </c>
      <c r="B68" s="3">
        <f>IF(MASTER_AR_REPORT!B122="","",MASTER_AR_REPORT!B122)</f>
        <v/>
      </c>
      <c r="C68" s="8">
        <f>MASTER_AR_REPORT!C122</f>
        <v/>
      </c>
      <c r="D68" s="3">
        <f>IF(MASTER_AR_REPORT!D122="","",MASTER_AR_REPORT!D122)</f>
        <v/>
      </c>
      <c r="E68" s="3">
        <f>IF(MASTER_AR_REPORT!E122="","",MASTER_AR_REPORT!E122)</f>
        <v/>
      </c>
      <c r="F68" s="4">
        <f>MASTER_AR_REPORT!F122</f>
        <v/>
      </c>
      <c r="G68" s="8">
        <f>MASTER_AR_REPORT!G122</f>
        <v/>
      </c>
      <c r="H68" s="4">
        <f>MASTER_AR_REPORT!H122</f>
        <v/>
      </c>
      <c r="I68" s="4">
        <f>MASTER_AR_REPORT!I122</f>
        <v/>
      </c>
      <c r="J68" s="3">
        <f>MASTER_AR_REPORT!J122</f>
        <v/>
      </c>
      <c r="K68" s="3">
        <f>MASTER_AR_REPORT!K122</f>
        <v/>
      </c>
      <c r="L68" s="3">
        <f>MASTER_AR_REPORT!L122</f>
        <v/>
      </c>
      <c r="M68" s="3">
        <f>MASTER_AR_REPORT!M122</f>
        <v/>
      </c>
      <c r="N68" s="3">
        <f>MASTER_AR_REPORT!N122</f>
        <v/>
      </c>
      <c r="O68" s="3">
        <f>MASTER_AR_REPORT!O122</f>
        <v/>
      </c>
    </row>
    <row r="69">
      <c r="A69" s="1" t="n">
        <v>65</v>
      </c>
      <c r="B69" s="1">
        <f>IF(MASTER_AR_REPORT!B123="","",MASTER_AR_REPORT!B123)</f>
        <v/>
      </c>
      <c r="C69" s="9">
        <f>MASTER_AR_REPORT!C123</f>
        <v/>
      </c>
      <c r="D69" s="1">
        <f>IF(MASTER_AR_REPORT!D123="","",MASTER_AR_REPORT!D123)</f>
        <v/>
      </c>
      <c r="E69" s="1">
        <f>IF(MASTER_AR_REPORT!E123="","",MASTER_AR_REPORT!E123)</f>
        <v/>
      </c>
      <c r="F69" s="2">
        <f>MASTER_AR_REPORT!F123</f>
        <v/>
      </c>
      <c r="G69" s="9">
        <f>MASTER_AR_REPORT!G123</f>
        <v/>
      </c>
      <c r="H69" s="2">
        <f>MASTER_AR_REPORT!H123</f>
        <v/>
      </c>
      <c r="I69" s="2">
        <f>MASTER_AR_REPORT!I123</f>
        <v/>
      </c>
      <c r="J69" s="1">
        <f>MASTER_AR_REPORT!J123</f>
        <v/>
      </c>
      <c r="K69" s="1">
        <f>MASTER_AR_REPORT!K123</f>
        <v/>
      </c>
      <c r="L69" s="1">
        <f>MASTER_AR_REPORT!L123</f>
        <v/>
      </c>
      <c r="M69" s="1">
        <f>MASTER_AR_REPORT!M123</f>
        <v/>
      </c>
      <c r="N69" s="1">
        <f>MASTER_AR_REPORT!N123</f>
        <v/>
      </c>
      <c r="O69" s="1">
        <f>MASTER_AR_REPORT!O123</f>
        <v/>
      </c>
    </row>
    <row r="70">
      <c r="A70" s="3" t="n">
        <v>66</v>
      </c>
      <c r="B70" s="3">
        <f>IF(MASTER_AR_REPORT!B124="","",MASTER_AR_REPORT!B124)</f>
        <v/>
      </c>
      <c r="C70" s="8">
        <f>MASTER_AR_REPORT!C124</f>
        <v/>
      </c>
      <c r="D70" s="3">
        <f>IF(MASTER_AR_REPORT!D124="","",MASTER_AR_REPORT!D124)</f>
        <v/>
      </c>
      <c r="E70" s="3">
        <f>IF(MASTER_AR_REPORT!E124="","",MASTER_AR_REPORT!E124)</f>
        <v/>
      </c>
      <c r="F70" s="4">
        <f>MASTER_AR_REPORT!F124</f>
        <v/>
      </c>
      <c r="G70" s="8">
        <f>MASTER_AR_REPORT!G124</f>
        <v/>
      </c>
      <c r="H70" s="4">
        <f>MASTER_AR_REPORT!H124</f>
        <v/>
      </c>
      <c r="I70" s="4">
        <f>MASTER_AR_REPORT!I124</f>
        <v/>
      </c>
      <c r="J70" s="3">
        <f>MASTER_AR_REPORT!J124</f>
        <v/>
      </c>
      <c r="K70" s="3">
        <f>MASTER_AR_REPORT!K124</f>
        <v/>
      </c>
      <c r="L70" s="3">
        <f>MASTER_AR_REPORT!L124</f>
        <v/>
      </c>
      <c r="M70" s="3">
        <f>MASTER_AR_REPORT!M124</f>
        <v/>
      </c>
      <c r="N70" s="3">
        <f>MASTER_AR_REPORT!N124</f>
        <v/>
      </c>
      <c r="O70" s="3">
        <f>MASTER_AR_REPORT!O124</f>
        <v/>
      </c>
    </row>
    <row r="71">
      <c r="A71" s="1" t="n">
        <v>67</v>
      </c>
      <c r="B71" s="1">
        <f>IF(MASTER_AR_REPORT!B125="","",MASTER_AR_REPORT!B125)</f>
        <v/>
      </c>
      <c r="C71" s="9">
        <f>MASTER_AR_REPORT!C125</f>
        <v/>
      </c>
      <c r="D71" s="1">
        <f>IF(MASTER_AR_REPORT!D125="","",MASTER_AR_REPORT!D125)</f>
        <v/>
      </c>
      <c r="E71" s="1">
        <f>IF(MASTER_AR_REPORT!E125="","",MASTER_AR_REPORT!E125)</f>
        <v/>
      </c>
      <c r="F71" s="2">
        <f>MASTER_AR_REPORT!F125</f>
        <v/>
      </c>
      <c r="G71" s="9">
        <f>MASTER_AR_REPORT!G125</f>
        <v/>
      </c>
      <c r="H71" s="2">
        <f>MASTER_AR_REPORT!H125</f>
        <v/>
      </c>
      <c r="I71" s="2">
        <f>MASTER_AR_REPORT!I125</f>
        <v/>
      </c>
      <c r="J71" s="1">
        <f>MASTER_AR_REPORT!J125</f>
        <v/>
      </c>
      <c r="K71" s="1">
        <f>MASTER_AR_REPORT!K125</f>
        <v/>
      </c>
      <c r="L71" s="1">
        <f>MASTER_AR_REPORT!L125</f>
        <v/>
      </c>
      <c r="M71" s="1">
        <f>MASTER_AR_REPORT!M125</f>
        <v/>
      </c>
      <c r="N71" s="1">
        <f>MASTER_AR_REPORT!N125</f>
        <v/>
      </c>
      <c r="O71" s="1">
        <f>MASTER_AR_REPORT!O125</f>
        <v/>
      </c>
    </row>
    <row r="72">
      <c r="A72" s="3" t="n">
        <v>68</v>
      </c>
      <c r="B72" s="3">
        <f>IF(MASTER_AR_REPORT!B126="","",MASTER_AR_REPORT!B126)</f>
        <v/>
      </c>
      <c r="C72" s="8">
        <f>MASTER_AR_REPORT!C126</f>
        <v/>
      </c>
      <c r="D72" s="3">
        <f>IF(MASTER_AR_REPORT!D126="","",MASTER_AR_REPORT!D126)</f>
        <v/>
      </c>
      <c r="E72" s="3">
        <f>IF(MASTER_AR_REPORT!E126="","",MASTER_AR_REPORT!E126)</f>
        <v/>
      </c>
      <c r="F72" s="4">
        <f>MASTER_AR_REPORT!F126</f>
        <v/>
      </c>
      <c r="G72" s="8">
        <f>MASTER_AR_REPORT!G126</f>
        <v/>
      </c>
      <c r="H72" s="4">
        <f>MASTER_AR_REPORT!H126</f>
        <v/>
      </c>
      <c r="I72" s="4">
        <f>MASTER_AR_REPORT!I126</f>
        <v/>
      </c>
      <c r="J72" s="3">
        <f>MASTER_AR_REPORT!J126</f>
        <v/>
      </c>
      <c r="K72" s="3">
        <f>MASTER_AR_REPORT!K126</f>
        <v/>
      </c>
      <c r="L72" s="3">
        <f>MASTER_AR_REPORT!L126</f>
        <v/>
      </c>
      <c r="M72" s="3">
        <f>MASTER_AR_REPORT!M126</f>
        <v/>
      </c>
      <c r="N72" s="3">
        <f>MASTER_AR_REPORT!N126</f>
        <v/>
      </c>
      <c r="O72" s="3">
        <f>MASTER_AR_REPORT!O126</f>
        <v/>
      </c>
    </row>
    <row r="73">
      <c r="A73" s="1" t="n">
        <v>69</v>
      </c>
      <c r="B73" s="1">
        <f>IF(MASTER_AR_REPORT!B127="","",MASTER_AR_REPORT!B127)</f>
        <v/>
      </c>
      <c r="C73" s="9">
        <f>MASTER_AR_REPORT!C127</f>
        <v/>
      </c>
      <c r="D73" s="1">
        <f>IF(MASTER_AR_REPORT!D127="","",MASTER_AR_REPORT!D127)</f>
        <v/>
      </c>
      <c r="E73" s="1">
        <f>IF(MASTER_AR_REPORT!E127="","",MASTER_AR_REPORT!E127)</f>
        <v/>
      </c>
      <c r="F73" s="2">
        <f>MASTER_AR_REPORT!F127</f>
        <v/>
      </c>
      <c r="G73" s="9">
        <f>MASTER_AR_REPORT!G127</f>
        <v/>
      </c>
      <c r="H73" s="2">
        <f>MASTER_AR_REPORT!H127</f>
        <v/>
      </c>
      <c r="I73" s="2">
        <f>MASTER_AR_REPORT!I127</f>
        <v/>
      </c>
      <c r="J73" s="1">
        <f>MASTER_AR_REPORT!J127</f>
        <v/>
      </c>
      <c r="K73" s="1">
        <f>MASTER_AR_REPORT!K127</f>
        <v/>
      </c>
      <c r="L73" s="1">
        <f>MASTER_AR_REPORT!L127</f>
        <v/>
      </c>
      <c r="M73" s="1">
        <f>MASTER_AR_REPORT!M127</f>
        <v/>
      </c>
      <c r="N73" s="1">
        <f>MASTER_AR_REPORT!N127</f>
        <v/>
      </c>
      <c r="O73" s="1">
        <f>MASTER_AR_REPORT!O127</f>
        <v/>
      </c>
    </row>
    <row r="74">
      <c r="A74" s="3" t="n">
        <v>70</v>
      </c>
      <c r="B74" s="3">
        <f>IF(MASTER_AR_REPORT!B128="","",MASTER_AR_REPORT!B128)</f>
        <v/>
      </c>
      <c r="C74" s="8">
        <f>MASTER_AR_REPORT!C128</f>
        <v/>
      </c>
      <c r="D74" s="3">
        <f>IF(MASTER_AR_REPORT!D128="","",MASTER_AR_REPORT!D128)</f>
        <v/>
      </c>
      <c r="E74" s="3">
        <f>IF(MASTER_AR_REPORT!E128="","",MASTER_AR_REPORT!E128)</f>
        <v/>
      </c>
      <c r="F74" s="4">
        <f>MASTER_AR_REPORT!F128</f>
        <v/>
      </c>
      <c r="G74" s="8">
        <f>MASTER_AR_REPORT!G128</f>
        <v/>
      </c>
      <c r="H74" s="4">
        <f>MASTER_AR_REPORT!H128</f>
        <v/>
      </c>
      <c r="I74" s="4">
        <f>MASTER_AR_REPORT!I128</f>
        <v/>
      </c>
      <c r="J74" s="3">
        <f>MASTER_AR_REPORT!J128</f>
        <v/>
      </c>
      <c r="K74" s="3">
        <f>MASTER_AR_REPORT!K128</f>
        <v/>
      </c>
      <c r="L74" s="3">
        <f>MASTER_AR_REPORT!L128</f>
        <v/>
      </c>
      <c r="M74" s="3">
        <f>MASTER_AR_REPORT!M128</f>
        <v/>
      </c>
      <c r="N74" s="3">
        <f>MASTER_AR_REPORT!N128</f>
        <v/>
      </c>
      <c r="O74" s="3">
        <f>MASTER_AR_REPORT!O128</f>
        <v/>
      </c>
    </row>
    <row r="75">
      <c r="A75" s="1" t="n">
        <v>71</v>
      </c>
      <c r="B75" s="1">
        <f>IF(MASTER_AR_REPORT!B129="","",MASTER_AR_REPORT!B129)</f>
        <v/>
      </c>
      <c r="C75" s="9">
        <f>MASTER_AR_REPORT!C129</f>
        <v/>
      </c>
      <c r="D75" s="1">
        <f>IF(MASTER_AR_REPORT!D129="","",MASTER_AR_REPORT!D129)</f>
        <v/>
      </c>
      <c r="E75" s="1">
        <f>IF(MASTER_AR_REPORT!E129="","",MASTER_AR_REPORT!E129)</f>
        <v/>
      </c>
      <c r="F75" s="2">
        <f>MASTER_AR_REPORT!F129</f>
        <v/>
      </c>
      <c r="G75" s="9">
        <f>MASTER_AR_REPORT!G129</f>
        <v/>
      </c>
      <c r="H75" s="2">
        <f>MASTER_AR_REPORT!H129</f>
        <v/>
      </c>
      <c r="I75" s="2">
        <f>MASTER_AR_REPORT!I129</f>
        <v/>
      </c>
      <c r="J75" s="1">
        <f>MASTER_AR_REPORT!J129</f>
        <v/>
      </c>
      <c r="K75" s="1">
        <f>MASTER_AR_REPORT!K129</f>
        <v/>
      </c>
      <c r="L75" s="1">
        <f>MASTER_AR_REPORT!L129</f>
        <v/>
      </c>
      <c r="M75" s="1">
        <f>MASTER_AR_REPORT!M129</f>
        <v/>
      </c>
      <c r="N75" s="1">
        <f>MASTER_AR_REPORT!N129</f>
        <v/>
      </c>
      <c r="O75" s="1">
        <f>MASTER_AR_REPORT!O129</f>
        <v/>
      </c>
    </row>
    <row r="76">
      <c r="A76" s="3" t="n">
        <v>72</v>
      </c>
      <c r="B76" s="3">
        <f>IF(MASTER_AR_REPORT!B130="","",MASTER_AR_REPORT!B130)</f>
        <v/>
      </c>
      <c r="C76" s="8">
        <f>MASTER_AR_REPORT!C130</f>
        <v/>
      </c>
      <c r="D76" s="3">
        <f>IF(MASTER_AR_REPORT!D130="","",MASTER_AR_REPORT!D130)</f>
        <v/>
      </c>
      <c r="E76" s="3">
        <f>IF(MASTER_AR_REPORT!E130="","",MASTER_AR_REPORT!E130)</f>
        <v/>
      </c>
      <c r="F76" s="4">
        <f>MASTER_AR_REPORT!F130</f>
        <v/>
      </c>
      <c r="G76" s="8">
        <f>MASTER_AR_REPORT!G130</f>
        <v/>
      </c>
      <c r="H76" s="4">
        <f>MASTER_AR_REPORT!H130</f>
        <v/>
      </c>
      <c r="I76" s="4">
        <f>MASTER_AR_REPORT!I130</f>
        <v/>
      </c>
      <c r="J76" s="3">
        <f>MASTER_AR_REPORT!J130</f>
        <v/>
      </c>
      <c r="K76" s="3">
        <f>MASTER_AR_REPORT!K130</f>
        <v/>
      </c>
      <c r="L76" s="3">
        <f>MASTER_AR_REPORT!L130</f>
        <v/>
      </c>
      <c r="M76" s="3">
        <f>MASTER_AR_REPORT!M130</f>
        <v/>
      </c>
      <c r="N76" s="3">
        <f>MASTER_AR_REPORT!N130</f>
        <v/>
      </c>
      <c r="O76" s="3">
        <f>MASTER_AR_REPORT!O130</f>
        <v/>
      </c>
    </row>
    <row r="77">
      <c r="A77" s="1" t="n">
        <v>73</v>
      </c>
      <c r="B77" s="1">
        <f>IF(MASTER_AR_REPORT!B131="","",MASTER_AR_REPORT!B131)</f>
        <v/>
      </c>
      <c r="C77" s="9">
        <f>MASTER_AR_REPORT!C131</f>
        <v/>
      </c>
      <c r="D77" s="1">
        <f>IF(MASTER_AR_REPORT!D131="","",MASTER_AR_REPORT!D131)</f>
        <v/>
      </c>
      <c r="E77" s="1">
        <f>IF(MASTER_AR_REPORT!E131="","",MASTER_AR_REPORT!E131)</f>
        <v/>
      </c>
      <c r="F77" s="2">
        <f>MASTER_AR_REPORT!F131</f>
        <v/>
      </c>
      <c r="G77" s="9">
        <f>MASTER_AR_REPORT!G131</f>
        <v/>
      </c>
      <c r="H77" s="2">
        <f>MASTER_AR_REPORT!H131</f>
        <v/>
      </c>
      <c r="I77" s="2">
        <f>MASTER_AR_REPORT!I131</f>
        <v/>
      </c>
      <c r="J77" s="1">
        <f>MASTER_AR_REPORT!J131</f>
        <v/>
      </c>
      <c r="K77" s="1">
        <f>MASTER_AR_REPORT!K131</f>
        <v/>
      </c>
      <c r="L77" s="1">
        <f>MASTER_AR_REPORT!L131</f>
        <v/>
      </c>
      <c r="M77" s="1">
        <f>MASTER_AR_REPORT!M131</f>
        <v/>
      </c>
      <c r="N77" s="1">
        <f>MASTER_AR_REPORT!N131</f>
        <v/>
      </c>
      <c r="O77" s="1">
        <f>MASTER_AR_REPORT!O131</f>
        <v/>
      </c>
    </row>
    <row r="78">
      <c r="A78" s="3" t="n">
        <v>74</v>
      </c>
      <c r="B78" s="3">
        <f>IF(MASTER_AR_REPORT!B132="","",MASTER_AR_REPORT!B132)</f>
        <v/>
      </c>
      <c r="C78" s="8">
        <f>MASTER_AR_REPORT!C132</f>
        <v/>
      </c>
      <c r="D78" s="3">
        <f>IF(MASTER_AR_REPORT!D132="","",MASTER_AR_REPORT!D132)</f>
        <v/>
      </c>
      <c r="E78" s="3">
        <f>IF(MASTER_AR_REPORT!E132="","",MASTER_AR_REPORT!E132)</f>
        <v/>
      </c>
      <c r="F78" s="4">
        <f>MASTER_AR_REPORT!F132</f>
        <v/>
      </c>
      <c r="G78" s="8">
        <f>MASTER_AR_REPORT!G132</f>
        <v/>
      </c>
      <c r="H78" s="4">
        <f>MASTER_AR_REPORT!H132</f>
        <v/>
      </c>
      <c r="I78" s="4">
        <f>MASTER_AR_REPORT!I132</f>
        <v/>
      </c>
      <c r="J78" s="3">
        <f>MASTER_AR_REPORT!J132</f>
        <v/>
      </c>
      <c r="K78" s="3">
        <f>MASTER_AR_REPORT!K132</f>
        <v/>
      </c>
      <c r="L78" s="3">
        <f>MASTER_AR_REPORT!L132</f>
        <v/>
      </c>
      <c r="M78" s="3">
        <f>MASTER_AR_REPORT!M132</f>
        <v/>
      </c>
      <c r="N78" s="3">
        <f>MASTER_AR_REPORT!N132</f>
        <v/>
      </c>
      <c r="O78" s="3">
        <f>MASTER_AR_REPORT!O132</f>
        <v/>
      </c>
    </row>
    <row r="79">
      <c r="A79" s="1" t="n">
        <v>75</v>
      </c>
      <c r="B79" s="1">
        <f>IF(MASTER_AR_REPORT!B133="","",MASTER_AR_REPORT!B133)</f>
        <v/>
      </c>
      <c r="C79" s="9">
        <f>MASTER_AR_REPORT!C133</f>
        <v/>
      </c>
      <c r="D79" s="1">
        <f>IF(MASTER_AR_REPORT!D133="","",MASTER_AR_REPORT!D133)</f>
        <v/>
      </c>
      <c r="E79" s="1">
        <f>IF(MASTER_AR_REPORT!E133="","",MASTER_AR_REPORT!E133)</f>
        <v/>
      </c>
      <c r="F79" s="2">
        <f>MASTER_AR_REPORT!F133</f>
        <v/>
      </c>
      <c r="G79" s="9">
        <f>MASTER_AR_REPORT!G133</f>
        <v/>
      </c>
      <c r="H79" s="2">
        <f>MASTER_AR_REPORT!H133</f>
        <v/>
      </c>
      <c r="I79" s="2">
        <f>MASTER_AR_REPORT!I133</f>
        <v/>
      </c>
      <c r="J79" s="1">
        <f>MASTER_AR_REPORT!J133</f>
        <v/>
      </c>
      <c r="K79" s="1">
        <f>MASTER_AR_REPORT!K133</f>
        <v/>
      </c>
      <c r="L79" s="1">
        <f>MASTER_AR_REPORT!L133</f>
        <v/>
      </c>
      <c r="M79" s="1">
        <f>MASTER_AR_REPORT!M133</f>
        <v/>
      </c>
      <c r="N79" s="1">
        <f>MASTER_AR_REPORT!N133</f>
        <v/>
      </c>
      <c r="O79" s="1">
        <f>MASTER_AR_REPORT!O133</f>
        <v/>
      </c>
    </row>
    <row r="80">
      <c r="A80" s="10" t="n"/>
      <c r="B80" s="10" t="n"/>
      <c r="C80" s="10" t="n"/>
      <c r="D80" s="10" t="n"/>
      <c r="E80" s="5" t="inlineStr">
        <is>
          <t>TOTAL</t>
        </is>
      </c>
      <c r="F80" s="6">
        <f>SUM(F5:F79)</f>
        <v/>
      </c>
      <c r="G80" s="10" t="n"/>
      <c r="H80" s="6">
        <f>SUM(H5:H79)</f>
        <v/>
      </c>
      <c r="I80" s="6">
        <f>SUM(I5:I79)</f>
        <v/>
      </c>
      <c r="J80" s="10" t="n"/>
      <c r="K80" s="10" t="n"/>
      <c r="L80" s="10" t="n"/>
      <c r="M80" s="10" t="n"/>
      <c r="N80" s="10" t="n"/>
      <c r="O80" s="10" t="n"/>
    </row>
  </sheetData>
  <autoFilter ref="A4:O79"/>
  <mergeCells count="2">
    <mergeCell ref="A1:O1"/>
    <mergeCell ref="A2:O2"/>
  </mergeCells>
  <conditionalFormatting sqref="A5:O79">
    <cfRule type="expression" priority="1" dxfId="3">
      <formula>AND($J5&gt;=90,$I5&gt;0)</formula>
    </cfRule>
    <cfRule type="expression" priority="2" dxfId="2">
      <formula>AND($J5&gt;=61,$J5&lt;90,$I5&gt;0)</formula>
    </cfRule>
    <cfRule type="expression" priority="3" dxfId="1">
      <formula>AND($J5&gt;=31,$J5&lt;61,$I5&gt;0)</formula>
    </cfRule>
    <cfRule type="expression" priority="4" dxfId="0">
      <formula>AND($J5&gt;=1,$J5&lt;31,$I5&gt;0)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6"/>
  <sheetViews>
    <sheetView topLeftCell="C1" workbookViewId="0">
      <pane ySplit="4" topLeftCell="A5" activePane="bottomLeft" state="frozen"/>
      <selection activeCell="E67" sqref="E67"/>
      <selection pane="bottomLeft" activeCell="E67" sqref="E67"/>
    </sheetView>
  </sheetViews>
  <sheetFormatPr baseColWidth="8" defaultRowHeight="14.4"/>
  <cols>
    <col width="6" customWidth="1" style="243" min="1" max="1"/>
    <col width="14" customWidth="1" style="243" min="2" max="3"/>
    <col width="20" customWidth="1" style="243" min="4" max="4"/>
    <col width="28" customWidth="1" style="243" min="5" max="5"/>
    <col width="14" customWidth="1" style="243" min="6" max="8"/>
    <col width="16" customWidth="1" style="243" min="9" max="9"/>
    <col width="14" customWidth="1" style="243" min="10" max="10"/>
    <col width="16" customWidth="1" style="243" min="11" max="11"/>
    <col width="14" customWidth="1" style="243" min="12" max="12"/>
    <col width="18" customWidth="1" style="243" min="13" max="13"/>
    <col width="12" customWidth="1" style="243" min="14" max="14"/>
    <col width="23.109375" bestFit="1" customWidth="1" style="243" min="15" max="15"/>
  </cols>
  <sheetData>
    <row r="1" ht="36" customHeight="1" s="243">
      <c r="A1" s="242" t="inlineStr">
        <is>
          <t>AR Aging Report - Mujahid</t>
        </is>
      </c>
    </row>
    <row r="2" ht="22.2" customHeight="1" s="243">
      <c r="A2" s="244" t="inlineStr">
        <is>
          <t>Report Date: 21-May-2026</t>
        </is>
      </c>
    </row>
    <row r="3" ht="6" customHeight="1" s="243"/>
    <row r="4" ht="30" customHeight="1" s="243">
      <c r="A4" s="105" t="inlineStr">
        <is>
          <t>S.No</t>
        </is>
      </c>
      <c r="B4" s="105" t="inlineStr">
        <is>
          <t>Source Sheet</t>
        </is>
      </c>
      <c r="C4" s="105" t="inlineStr">
        <is>
          <t>Date</t>
        </is>
      </c>
      <c r="D4" s="105" t="inlineStr">
        <is>
          <t>Invoice No</t>
        </is>
      </c>
      <c r="E4" s="105" t="inlineStr">
        <is>
          <t>Customer Name</t>
        </is>
      </c>
      <c r="F4" s="105" t="inlineStr">
        <is>
          <t>Invoice Amount</t>
        </is>
      </c>
      <c r="G4" s="105" t="inlineStr">
        <is>
          <t>Due Date</t>
        </is>
      </c>
      <c r="H4" s="105" t="inlineStr">
        <is>
          <t>Paid Amount</t>
        </is>
      </c>
      <c r="I4" s="105" t="inlineStr">
        <is>
          <t>Outstanding Amount</t>
        </is>
      </c>
      <c r="J4" s="105" t="inlineStr">
        <is>
          <t>Days Overdue</t>
        </is>
      </c>
      <c r="K4" s="105" t="inlineStr">
        <is>
          <t>Aging Bucket</t>
        </is>
      </c>
      <c r="L4" s="105" t="inlineStr">
        <is>
          <t>Risk Level</t>
        </is>
      </c>
      <c r="M4" s="105" t="inlineStr">
        <is>
          <t>Follow-up Priority</t>
        </is>
      </c>
      <c r="N4" s="105" t="inlineStr">
        <is>
          <t>Call Status</t>
        </is>
      </c>
      <c r="O4" s="105" t="inlineStr">
        <is>
          <t>Last Follow-up Notes</t>
        </is>
      </c>
    </row>
    <row r="5">
      <c r="A5" s="1" t="n">
        <v>1</v>
      </c>
      <c r="B5" s="1">
        <f>IF(MASTER_AR_REPORT!B134="","",MASTER_AR_REPORT!B134)</f>
        <v/>
      </c>
      <c r="C5" s="9">
        <f>MASTER_AR_REPORT!C134</f>
        <v/>
      </c>
      <c r="D5" s="1">
        <f>IF(MASTER_AR_REPORT!D134="","",MASTER_AR_REPORT!D134)</f>
        <v/>
      </c>
      <c r="E5" s="1">
        <f>IF(MASTER_AR_REPORT!E134="","",MASTER_AR_REPORT!E134)</f>
        <v/>
      </c>
      <c r="F5" s="2">
        <f>MASTER_AR_REPORT!F134</f>
        <v/>
      </c>
      <c r="G5" s="9">
        <f>MASTER_AR_REPORT!G134</f>
        <v/>
      </c>
      <c r="H5" s="2">
        <f>MASTER_AR_REPORT!H134</f>
        <v/>
      </c>
      <c r="I5" s="2">
        <f>MASTER_AR_REPORT!I134</f>
        <v/>
      </c>
      <c r="J5" s="1">
        <f>MASTER_AR_REPORT!J134</f>
        <v/>
      </c>
      <c r="K5" s="1">
        <f>MASTER_AR_REPORT!K134</f>
        <v/>
      </c>
      <c r="L5" s="1">
        <f>MASTER_AR_REPORT!L134</f>
        <v/>
      </c>
      <c r="M5" s="1">
        <f>MASTER_AR_REPORT!M134</f>
        <v/>
      </c>
      <c r="N5" s="1">
        <f>MASTER_AR_REPORT!N134</f>
        <v/>
      </c>
      <c r="O5" s="1">
        <f>MASTER_AR_REPORT!O134</f>
        <v/>
      </c>
    </row>
    <row r="6">
      <c r="A6" s="3" t="n">
        <v>2</v>
      </c>
      <c r="B6" s="3">
        <f>IF(MASTER_AR_REPORT!B135="","",MASTER_AR_REPORT!B135)</f>
        <v/>
      </c>
      <c r="C6" s="8">
        <f>MASTER_AR_REPORT!C135</f>
        <v/>
      </c>
      <c r="D6" s="3">
        <f>IF(MASTER_AR_REPORT!D135="","",MASTER_AR_REPORT!D135)</f>
        <v/>
      </c>
      <c r="E6" s="3">
        <f>IF(MASTER_AR_REPORT!E135="","",MASTER_AR_REPORT!E135)</f>
        <v/>
      </c>
      <c r="F6" s="4">
        <f>MASTER_AR_REPORT!F135</f>
        <v/>
      </c>
      <c r="G6" s="8">
        <f>MASTER_AR_REPORT!G135</f>
        <v/>
      </c>
      <c r="H6" s="4">
        <f>MASTER_AR_REPORT!H135</f>
        <v/>
      </c>
      <c r="I6" s="4">
        <f>MASTER_AR_REPORT!I135</f>
        <v/>
      </c>
      <c r="J6" s="3">
        <f>MASTER_AR_REPORT!J135</f>
        <v/>
      </c>
      <c r="K6" s="3">
        <f>MASTER_AR_REPORT!K135</f>
        <v/>
      </c>
      <c r="L6" s="3">
        <f>MASTER_AR_REPORT!L135</f>
        <v/>
      </c>
      <c r="M6" s="3">
        <f>MASTER_AR_REPORT!M135</f>
        <v/>
      </c>
      <c r="N6" s="3">
        <f>MASTER_AR_REPORT!N135</f>
        <v/>
      </c>
      <c r="O6" s="3">
        <f>MASTER_AR_REPORT!O135</f>
        <v/>
      </c>
    </row>
    <row r="7">
      <c r="A7" s="1" t="n">
        <v>3</v>
      </c>
      <c r="B7" s="1">
        <f>IF(MASTER_AR_REPORT!B136="","",MASTER_AR_REPORT!B136)</f>
        <v/>
      </c>
      <c r="C7" s="9">
        <f>MASTER_AR_REPORT!C136</f>
        <v/>
      </c>
      <c r="D7" s="1">
        <f>IF(MASTER_AR_REPORT!D136="","",MASTER_AR_REPORT!D136)</f>
        <v/>
      </c>
      <c r="E7" s="1">
        <f>IF(MASTER_AR_REPORT!E136="","",MASTER_AR_REPORT!E136)</f>
        <v/>
      </c>
      <c r="F7" s="2">
        <f>MASTER_AR_REPORT!F136</f>
        <v/>
      </c>
      <c r="G7" s="9">
        <f>MASTER_AR_REPORT!G136</f>
        <v/>
      </c>
      <c r="H7" s="2">
        <f>MASTER_AR_REPORT!H136</f>
        <v/>
      </c>
      <c r="I7" s="2">
        <f>MASTER_AR_REPORT!I136</f>
        <v/>
      </c>
      <c r="J7" s="1">
        <f>MASTER_AR_REPORT!J136</f>
        <v/>
      </c>
      <c r="K7" s="1">
        <f>MASTER_AR_REPORT!K136</f>
        <v/>
      </c>
      <c r="L7" s="1">
        <f>MASTER_AR_REPORT!L136</f>
        <v/>
      </c>
      <c r="M7" s="1">
        <f>MASTER_AR_REPORT!M136</f>
        <v/>
      </c>
      <c r="N7" s="1">
        <f>MASTER_AR_REPORT!N136</f>
        <v/>
      </c>
      <c r="O7" s="1">
        <f>MASTER_AR_REPORT!O136</f>
        <v/>
      </c>
    </row>
    <row r="8">
      <c r="A8" s="3" t="n">
        <v>4</v>
      </c>
      <c r="B8" s="3">
        <f>IF(MASTER_AR_REPORT!B137="","",MASTER_AR_REPORT!B137)</f>
        <v/>
      </c>
      <c r="C8" s="8">
        <f>MASTER_AR_REPORT!C137</f>
        <v/>
      </c>
      <c r="D8" s="3">
        <f>IF(MASTER_AR_REPORT!D137="","",MASTER_AR_REPORT!D137)</f>
        <v/>
      </c>
      <c r="E8" s="3">
        <f>IF(MASTER_AR_REPORT!E137="","",MASTER_AR_REPORT!E137)</f>
        <v/>
      </c>
      <c r="F8" s="4">
        <f>MASTER_AR_REPORT!F137</f>
        <v/>
      </c>
      <c r="G8" s="8">
        <f>MASTER_AR_REPORT!G137</f>
        <v/>
      </c>
      <c r="H8" s="4">
        <f>MASTER_AR_REPORT!H137</f>
        <v/>
      </c>
      <c r="I8" s="4">
        <f>MASTER_AR_REPORT!I137</f>
        <v/>
      </c>
      <c r="J8" s="3">
        <f>MASTER_AR_REPORT!J137</f>
        <v/>
      </c>
      <c r="K8" s="3">
        <f>MASTER_AR_REPORT!K137</f>
        <v/>
      </c>
      <c r="L8" s="3">
        <f>MASTER_AR_REPORT!L137</f>
        <v/>
      </c>
      <c r="M8" s="3">
        <f>MASTER_AR_REPORT!M137</f>
        <v/>
      </c>
      <c r="N8" s="3">
        <f>MASTER_AR_REPORT!N137</f>
        <v/>
      </c>
      <c r="O8" s="3">
        <f>MASTER_AR_REPORT!O137</f>
        <v/>
      </c>
    </row>
    <row r="9">
      <c r="A9" s="1" t="n">
        <v>5</v>
      </c>
      <c r="B9" s="1">
        <f>IF(MASTER_AR_REPORT!B138="","",MASTER_AR_REPORT!B138)</f>
        <v/>
      </c>
      <c r="C9" s="9">
        <f>MASTER_AR_REPORT!C138</f>
        <v/>
      </c>
      <c r="D9" s="1">
        <f>IF(MASTER_AR_REPORT!D138="","",MASTER_AR_REPORT!D138)</f>
        <v/>
      </c>
      <c r="E9" s="1">
        <f>IF(MASTER_AR_REPORT!E138="","",MASTER_AR_REPORT!E138)</f>
        <v/>
      </c>
      <c r="F9" s="2">
        <f>MASTER_AR_REPORT!F138</f>
        <v/>
      </c>
      <c r="G9" s="9">
        <f>MASTER_AR_REPORT!G138</f>
        <v/>
      </c>
      <c r="H9" s="2">
        <f>MASTER_AR_REPORT!H138</f>
        <v/>
      </c>
      <c r="I9" s="2">
        <f>MASTER_AR_REPORT!I138</f>
        <v/>
      </c>
      <c r="J9" s="1">
        <f>MASTER_AR_REPORT!J138</f>
        <v/>
      </c>
      <c r="K9" s="1">
        <f>MASTER_AR_REPORT!K138</f>
        <v/>
      </c>
      <c r="L9" s="1">
        <f>MASTER_AR_REPORT!L138</f>
        <v/>
      </c>
      <c r="M9" s="1">
        <f>MASTER_AR_REPORT!M138</f>
        <v/>
      </c>
      <c r="N9" s="1">
        <f>MASTER_AR_REPORT!N138</f>
        <v/>
      </c>
      <c r="O9" s="1">
        <f>MASTER_AR_REPORT!O138</f>
        <v/>
      </c>
    </row>
    <row r="10">
      <c r="A10" s="3" t="n">
        <v>6</v>
      </c>
      <c r="B10" s="3">
        <f>IF(MASTER_AR_REPORT!B139="","",MASTER_AR_REPORT!B139)</f>
        <v/>
      </c>
      <c r="C10" s="8">
        <f>MASTER_AR_REPORT!C139</f>
        <v/>
      </c>
      <c r="D10" s="3">
        <f>IF(MASTER_AR_REPORT!D139="","",MASTER_AR_REPORT!D139)</f>
        <v/>
      </c>
      <c r="E10" s="3">
        <f>IF(MASTER_AR_REPORT!E139="","",MASTER_AR_REPORT!E139)</f>
        <v/>
      </c>
      <c r="F10" s="4">
        <f>MASTER_AR_REPORT!F139</f>
        <v/>
      </c>
      <c r="G10" s="8">
        <f>MASTER_AR_REPORT!G139</f>
        <v/>
      </c>
      <c r="H10" s="4">
        <f>MASTER_AR_REPORT!H139</f>
        <v/>
      </c>
      <c r="I10" s="4">
        <f>MASTER_AR_REPORT!I139</f>
        <v/>
      </c>
      <c r="J10" s="3">
        <f>MASTER_AR_REPORT!J139</f>
        <v/>
      </c>
      <c r="K10" s="3">
        <f>MASTER_AR_REPORT!K139</f>
        <v/>
      </c>
      <c r="L10" s="3">
        <f>MASTER_AR_REPORT!L139</f>
        <v/>
      </c>
      <c r="M10" s="3">
        <f>MASTER_AR_REPORT!M139</f>
        <v/>
      </c>
      <c r="N10" s="3">
        <f>MASTER_AR_REPORT!N139</f>
        <v/>
      </c>
      <c r="O10" s="3">
        <f>MASTER_AR_REPORT!O139</f>
        <v/>
      </c>
    </row>
    <row r="11">
      <c r="A11" s="1" t="n">
        <v>7</v>
      </c>
      <c r="B11" s="1">
        <f>IF(MASTER_AR_REPORT!B140="","",MASTER_AR_REPORT!B140)</f>
        <v/>
      </c>
      <c r="C11" s="9">
        <f>MASTER_AR_REPORT!C140</f>
        <v/>
      </c>
      <c r="D11" s="1">
        <f>IF(MASTER_AR_REPORT!D140="","",MASTER_AR_REPORT!D140)</f>
        <v/>
      </c>
      <c r="E11" s="1">
        <f>IF(MASTER_AR_REPORT!E140="","",MASTER_AR_REPORT!E140)</f>
        <v/>
      </c>
      <c r="F11" s="2">
        <f>MASTER_AR_REPORT!F140</f>
        <v/>
      </c>
      <c r="G11" s="9">
        <f>MASTER_AR_REPORT!G140</f>
        <v/>
      </c>
      <c r="H11" s="2">
        <f>MASTER_AR_REPORT!H140</f>
        <v/>
      </c>
      <c r="I11" s="2">
        <f>MASTER_AR_REPORT!I140</f>
        <v/>
      </c>
      <c r="J11" s="1">
        <f>MASTER_AR_REPORT!J140</f>
        <v/>
      </c>
      <c r="K11" s="1">
        <f>MASTER_AR_REPORT!K140</f>
        <v/>
      </c>
      <c r="L11" s="1">
        <f>MASTER_AR_REPORT!L140</f>
        <v/>
      </c>
      <c r="M11" s="1">
        <f>MASTER_AR_REPORT!M140</f>
        <v/>
      </c>
      <c r="N11" s="1">
        <f>MASTER_AR_REPORT!N140</f>
        <v/>
      </c>
      <c r="O11" s="1">
        <f>MASTER_AR_REPORT!O140</f>
        <v/>
      </c>
    </row>
    <row r="12">
      <c r="A12" s="3" t="n">
        <v>8</v>
      </c>
      <c r="B12" s="3">
        <f>IF(MASTER_AR_REPORT!B141="","",MASTER_AR_REPORT!B141)</f>
        <v/>
      </c>
      <c r="C12" s="8">
        <f>MASTER_AR_REPORT!C141</f>
        <v/>
      </c>
      <c r="D12" s="3">
        <f>IF(MASTER_AR_REPORT!D141="","",MASTER_AR_REPORT!D141)</f>
        <v/>
      </c>
      <c r="E12" s="3">
        <f>IF(MASTER_AR_REPORT!E141="","",MASTER_AR_REPORT!E141)</f>
        <v/>
      </c>
      <c r="F12" s="4">
        <f>MASTER_AR_REPORT!F141</f>
        <v/>
      </c>
      <c r="G12" s="8">
        <f>MASTER_AR_REPORT!G141</f>
        <v/>
      </c>
      <c r="H12" s="4">
        <f>MASTER_AR_REPORT!H141</f>
        <v/>
      </c>
      <c r="I12" s="4">
        <f>MASTER_AR_REPORT!I141</f>
        <v/>
      </c>
      <c r="J12" s="3">
        <f>MASTER_AR_REPORT!J141</f>
        <v/>
      </c>
      <c r="K12" s="3">
        <f>MASTER_AR_REPORT!K141</f>
        <v/>
      </c>
      <c r="L12" s="3">
        <f>MASTER_AR_REPORT!L141</f>
        <v/>
      </c>
      <c r="M12" s="3">
        <f>MASTER_AR_REPORT!M141</f>
        <v/>
      </c>
      <c r="N12" s="3">
        <f>MASTER_AR_REPORT!N141</f>
        <v/>
      </c>
      <c r="O12" s="3">
        <f>MASTER_AR_REPORT!O141</f>
        <v/>
      </c>
    </row>
    <row r="13">
      <c r="A13" s="1" t="n">
        <v>9</v>
      </c>
      <c r="B13" s="1">
        <f>IF(MASTER_AR_REPORT!B142="","",MASTER_AR_REPORT!B142)</f>
        <v/>
      </c>
      <c r="C13" s="9">
        <f>MASTER_AR_REPORT!C142</f>
        <v/>
      </c>
      <c r="D13" s="1">
        <f>IF(MASTER_AR_REPORT!D142="","",MASTER_AR_REPORT!D142)</f>
        <v/>
      </c>
      <c r="E13" s="1">
        <f>IF(MASTER_AR_REPORT!E142="","",MASTER_AR_REPORT!E142)</f>
        <v/>
      </c>
      <c r="F13" s="2">
        <f>MASTER_AR_REPORT!F142</f>
        <v/>
      </c>
      <c r="G13" s="9">
        <f>MASTER_AR_REPORT!G142</f>
        <v/>
      </c>
      <c r="H13" s="2">
        <f>MASTER_AR_REPORT!H142</f>
        <v/>
      </c>
      <c r="I13" s="2">
        <f>MASTER_AR_REPORT!I142</f>
        <v/>
      </c>
      <c r="J13" s="1">
        <f>MASTER_AR_REPORT!J142</f>
        <v/>
      </c>
      <c r="K13" s="1">
        <f>MASTER_AR_REPORT!K142</f>
        <v/>
      </c>
      <c r="L13" s="1">
        <f>MASTER_AR_REPORT!L142</f>
        <v/>
      </c>
      <c r="M13" s="1">
        <f>MASTER_AR_REPORT!M142</f>
        <v/>
      </c>
      <c r="N13" s="1">
        <f>MASTER_AR_REPORT!N142</f>
        <v/>
      </c>
      <c r="O13" s="1">
        <f>MASTER_AR_REPORT!O142</f>
        <v/>
      </c>
    </row>
    <row r="14">
      <c r="A14" s="3" t="n">
        <v>10</v>
      </c>
      <c r="B14" s="3">
        <f>IF(MASTER_AR_REPORT!B143="","",MASTER_AR_REPORT!B143)</f>
        <v/>
      </c>
      <c r="C14" s="8">
        <f>MASTER_AR_REPORT!C143</f>
        <v/>
      </c>
      <c r="D14" s="3">
        <f>IF(MASTER_AR_REPORT!D143="","",MASTER_AR_REPORT!D143)</f>
        <v/>
      </c>
      <c r="E14" s="3">
        <f>IF(MASTER_AR_REPORT!E143="","",MASTER_AR_REPORT!E143)</f>
        <v/>
      </c>
      <c r="F14" s="4">
        <f>MASTER_AR_REPORT!F143</f>
        <v/>
      </c>
      <c r="G14" s="8">
        <f>MASTER_AR_REPORT!G143</f>
        <v/>
      </c>
      <c r="H14" s="4">
        <f>MASTER_AR_REPORT!H143</f>
        <v/>
      </c>
      <c r="I14" s="4">
        <f>MASTER_AR_REPORT!I143</f>
        <v/>
      </c>
      <c r="J14" s="3">
        <f>MASTER_AR_REPORT!J143</f>
        <v/>
      </c>
      <c r="K14" s="3">
        <f>MASTER_AR_REPORT!K143</f>
        <v/>
      </c>
      <c r="L14" s="3">
        <f>MASTER_AR_REPORT!L143</f>
        <v/>
      </c>
      <c r="M14" s="3">
        <f>MASTER_AR_REPORT!M143</f>
        <v/>
      </c>
      <c r="N14" s="3">
        <f>MASTER_AR_REPORT!N143</f>
        <v/>
      </c>
      <c r="O14" s="3">
        <f>MASTER_AR_REPORT!O143</f>
        <v/>
      </c>
    </row>
    <row r="15">
      <c r="A15" s="1" t="n">
        <v>11</v>
      </c>
      <c r="B15" s="1">
        <f>IF(MASTER_AR_REPORT!B144="","",MASTER_AR_REPORT!B144)</f>
        <v/>
      </c>
      <c r="C15" s="9">
        <f>MASTER_AR_REPORT!C144</f>
        <v/>
      </c>
      <c r="D15" s="1">
        <f>IF(MASTER_AR_REPORT!D144="","",MASTER_AR_REPORT!D144)</f>
        <v/>
      </c>
      <c r="E15" s="1">
        <f>IF(MASTER_AR_REPORT!E144="","",MASTER_AR_REPORT!E144)</f>
        <v/>
      </c>
      <c r="F15" s="2">
        <f>MASTER_AR_REPORT!F144</f>
        <v/>
      </c>
      <c r="G15" s="9">
        <f>MASTER_AR_REPORT!G144</f>
        <v/>
      </c>
      <c r="H15" s="2">
        <f>MASTER_AR_REPORT!H144</f>
        <v/>
      </c>
      <c r="I15" s="2">
        <f>MASTER_AR_REPORT!I144</f>
        <v/>
      </c>
      <c r="J15" s="1">
        <f>MASTER_AR_REPORT!J144</f>
        <v/>
      </c>
      <c r="K15" s="1">
        <f>MASTER_AR_REPORT!K144</f>
        <v/>
      </c>
      <c r="L15" s="1">
        <f>MASTER_AR_REPORT!L144</f>
        <v/>
      </c>
      <c r="M15" s="1">
        <f>MASTER_AR_REPORT!M144</f>
        <v/>
      </c>
      <c r="N15" s="1">
        <f>MASTER_AR_REPORT!N144</f>
        <v/>
      </c>
      <c r="O15" s="1">
        <f>MASTER_AR_REPORT!O144</f>
        <v/>
      </c>
    </row>
    <row r="16">
      <c r="A16" s="3" t="n">
        <v>12</v>
      </c>
      <c r="B16" s="3">
        <f>IF(MASTER_AR_REPORT!B145="","",MASTER_AR_REPORT!B145)</f>
        <v/>
      </c>
      <c r="C16" s="8">
        <f>MASTER_AR_REPORT!C145</f>
        <v/>
      </c>
      <c r="D16" s="3">
        <f>IF(MASTER_AR_REPORT!D145="","",MASTER_AR_REPORT!D145)</f>
        <v/>
      </c>
      <c r="E16" s="3">
        <f>IF(MASTER_AR_REPORT!E145="","",MASTER_AR_REPORT!E145)</f>
        <v/>
      </c>
      <c r="F16" s="4">
        <f>MASTER_AR_REPORT!F145</f>
        <v/>
      </c>
      <c r="G16" s="8">
        <f>MASTER_AR_REPORT!G145</f>
        <v/>
      </c>
      <c r="H16" s="4">
        <f>MASTER_AR_REPORT!H145</f>
        <v/>
      </c>
      <c r="I16" s="4">
        <f>MASTER_AR_REPORT!I145</f>
        <v/>
      </c>
      <c r="J16" s="3">
        <f>MASTER_AR_REPORT!J145</f>
        <v/>
      </c>
      <c r="K16" s="3">
        <f>MASTER_AR_REPORT!K145</f>
        <v/>
      </c>
      <c r="L16" s="3">
        <f>MASTER_AR_REPORT!L145</f>
        <v/>
      </c>
      <c r="M16" s="3">
        <f>MASTER_AR_REPORT!M145</f>
        <v/>
      </c>
      <c r="N16" s="3">
        <f>MASTER_AR_REPORT!N145</f>
        <v/>
      </c>
      <c r="O16" s="3">
        <f>MASTER_AR_REPORT!O145</f>
        <v/>
      </c>
    </row>
    <row r="17">
      <c r="A17" s="1" t="n">
        <v>13</v>
      </c>
      <c r="B17" s="1">
        <f>IF(MASTER_AR_REPORT!B146="","",MASTER_AR_REPORT!B146)</f>
        <v/>
      </c>
      <c r="C17" s="9">
        <f>MASTER_AR_REPORT!C146</f>
        <v/>
      </c>
      <c r="D17" s="1">
        <f>IF(MASTER_AR_REPORT!D146="","",MASTER_AR_REPORT!D146)</f>
        <v/>
      </c>
      <c r="E17" s="1">
        <f>IF(MASTER_AR_REPORT!E146="","",MASTER_AR_REPORT!E146)</f>
        <v/>
      </c>
      <c r="F17" s="2">
        <f>MASTER_AR_REPORT!F146</f>
        <v/>
      </c>
      <c r="G17" s="9">
        <f>MASTER_AR_REPORT!G146</f>
        <v/>
      </c>
      <c r="H17" s="2">
        <f>MASTER_AR_REPORT!H146</f>
        <v/>
      </c>
      <c r="I17" s="2">
        <f>MASTER_AR_REPORT!I146</f>
        <v/>
      </c>
      <c r="J17" s="1">
        <f>MASTER_AR_REPORT!J146</f>
        <v/>
      </c>
      <c r="K17" s="1">
        <f>MASTER_AR_REPORT!K146</f>
        <v/>
      </c>
      <c r="L17" s="1">
        <f>MASTER_AR_REPORT!L146</f>
        <v/>
      </c>
      <c r="M17" s="1">
        <f>MASTER_AR_REPORT!M146</f>
        <v/>
      </c>
      <c r="N17" s="1">
        <f>MASTER_AR_REPORT!N146</f>
        <v/>
      </c>
      <c r="O17" s="1">
        <f>MASTER_AR_REPORT!O146</f>
        <v/>
      </c>
    </row>
    <row r="18">
      <c r="A18" s="3" t="n">
        <v>14</v>
      </c>
      <c r="B18" s="3">
        <f>IF(MASTER_AR_REPORT!B147="","",MASTER_AR_REPORT!B147)</f>
        <v/>
      </c>
      <c r="C18" s="8">
        <f>MASTER_AR_REPORT!C147</f>
        <v/>
      </c>
      <c r="D18" s="3">
        <f>IF(MASTER_AR_REPORT!D147="","",MASTER_AR_REPORT!D147)</f>
        <v/>
      </c>
      <c r="E18" s="3">
        <f>IF(MASTER_AR_REPORT!E147="","",MASTER_AR_REPORT!E147)</f>
        <v/>
      </c>
      <c r="F18" s="4">
        <f>MASTER_AR_REPORT!F147</f>
        <v/>
      </c>
      <c r="G18" s="8">
        <f>MASTER_AR_REPORT!G147</f>
        <v/>
      </c>
      <c r="H18" s="4">
        <f>MASTER_AR_REPORT!H147</f>
        <v/>
      </c>
      <c r="I18" s="4">
        <f>MASTER_AR_REPORT!I147</f>
        <v/>
      </c>
      <c r="J18" s="3">
        <f>MASTER_AR_REPORT!J147</f>
        <v/>
      </c>
      <c r="K18" s="3">
        <f>MASTER_AR_REPORT!K147</f>
        <v/>
      </c>
      <c r="L18" s="3">
        <f>MASTER_AR_REPORT!L147</f>
        <v/>
      </c>
      <c r="M18" s="3">
        <f>MASTER_AR_REPORT!M147</f>
        <v/>
      </c>
      <c r="N18" s="3">
        <f>MASTER_AR_REPORT!N147</f>
        <v/>
      </c>
      <c r="O18" s="3">
        <f>MASTER_AR_REPORT!O147</f>
        <v/>
      </c>
    </row>
    <row r="19">
      <c r="A19" s="1" t="n">
        <v>15</v>
      </c>
      <c r="B19" s="1">
        <f>IF(MASTER_AR_REPORT!B148="","",MASTER_AR_REPORT!B148)</f>
        <v/>
      </c>
      <c r="C19" s="9">
        <f>MASTER_AR_REPORT!C148</f>
        <v/>
      </c>
      <c r="D19" s="1">
        <f>IF(MASTER_AR_REPORT!D148="","",MASTER_AR_REPORT!D148)</f>
        <v/>
      </c>
      <c r="E19" s="1">
        <f>IF(MASTER_AR_REPORT!E148="","",MASTER_AR_REPORT!E148)</f>
        <v/>
      </c>
      <c r="F19" s="2">
        <f>MASTER_AR_REPORT!F148</f>
        <v/>
      </c>
      <c r="G19" s="9">
        <f>MASTER_AR_REPORT!G148</f>
        <v/>
      </c>
      <c r="H19" s="2">
        <f>MASTER_AR_REPORT!H148</f>
        <v/>
      </c>
      <c r="I19" s="2">
        <f>MASTER_AR_REPORT!I148</f>
        <v/>
      </c>
      <c r="J19" s="1">
        <f>MASTER_AR_REPORT!J148</f>
        <v/>
      </c>
      <c r="K19" s="1">
        <f>MASTER_AR_REPORT!K148</f>
        <v/>
      </c>
      <c r="L19" s="1">
        <f>MASTER_AR_REPORT!L148</f>
        <v/>
      </c>
      <c r="M19" s="1">
        <f>MASTER_AR_REPORT!M148</f>
        <v/>
      </c>
      <c r="N19" s="1">
        <f>MASTER_AR_REPORT!N148</f>
        <v/>
      </c>
      <c r="O19" s="1">
        <f>MASTER_AR_REPORT!O148</f>
        <v/>
      </c>
    </row>
    <row r="20">
      <c r="A20" s="3" t="n">
        <v>16</v>
      </c>
      <c r="B20" s="3">
        <f>IF(MASTER_AR_REPORT!B149="","",MASTER_AR_REPORT!B149)</f>
        <v/>
      </c>
      <c r="C20" s="8">
        <f>MASTER_AR_REPORT!C149</f>
        <v/>
      </c>
      <c r="D20" s="3">
        <f>IF(MASTER_AR_REPORT!D149="","",MASTER_AR_REPORT!D149)</f>
        <v/>
      </c>
      <c r="E20" s="3">
        <f>IF(MASTER_AR_REPORT!E149="","",MASTER_AR_REPORT!E149)</f>
        <v/>
      </c>
      <c r="F20" s="4">
        <f>MASTER_AR_REPORT!F149</f>
        <v/>
      </c>
      <c r="G20" s="8">
        <f>MASTER_AR_REPORT!G149</f>
        <v/>
      </c>
      <c r="H20" s="4">
        <f>MASTER_AR_REPORT!H149</f>
        <v/>
      </c>
      <c r="I20" s="4">
        <f>MASTER_AR_REPORT!I149</f>
        <v/>
      </c>
      <c r="J20" s="3">
        <f>MASTER_AR_REPORT!J149</f>
        <v/>
      </c>
      <c r="K20" s="3">
        <f>MASTER_AR_REPORT!K149</f>
        <v/>
      </c>
      <c r="L20" s="3">
        <f>MASTER_AR_REPORT!L149</f>
        <v/>
      </c>
      <c r="M20" s="3">
        <f>MASTER_AR_REPORT!M149</f>
        <v/>
      </c>
      <c r="N20" s="3">
        <f>MASTER_AR_REPORT!N149</f>
        <v/>
      </c>
      <c r="O20" s="3">
        <f>MASTER_AR_REPORT!O149</f>
        <v/>
      </c>
    </row>
    <row r="21">
      <c r="A21" s="1" t="n">
        <v>17</v>
      </c>
      <c r="B21" s="1">
        <f>IF(MASTER_AR_REPORT!B150="","",MASTER_AR_REPORT!B150)</f>
        <v/>
      </c>
      <c r="C21" s="9">
        <f>MASTER_AR_REPORT!C150</f>
        <v/>
      </c>
      <c r="D21" s="1">
        <f>IF(MASTER_AR_REPORT!D150="","",MASTER_AR_REPORT!D150)</f>
        <v/>
      </c>
      <c r="E21" s="1">
        <f>IF(MASTER_AR_REPORT!E150="","",MASTER_AR_REPORT!E150)</f>
        <v/>
      </c>
      <c r="F21" s="2">
        <f>MASTER_AR_REPORT!F150</f>
        <v/>
      </c>
      <c r="G21" s="9">
        <f>MASTER_AR_REPORT!G150</f>
        <v/>
      </c>
      <c r="H21" s="2">
        <f>MASTER_AR_REPORT!H150</f>
        <v/>
      </c>
      <c r="I21" s="2">
        <f>MASTER_AR_REPORT!I150</f>
        <v/>
      </c>
      <c r="J21" s="1">
        <f>MASTER_AR_REPORT!J150</f>
        <v/>
      </c>
      <c r="K21" s="1">
        <f>MASTER_AR_REPORT!K150</f>
        <v/>
      </c>
      <c r="L21" s="1">
        <f>MASTER_AR_REPORT!L150</f>
        <v/>
      </c>
      <c r="M21" s="1">
        <f>MASTER_AR_REPORT!M150</f>
        <v/>
      </c>
      <c r="N21" s="1">
        <f>MASTER_AR_REPORT!N150</f>
        <v/>
      </c>
      <c r="O21" s="1">
        <f>MASTER_AR_REPORT!O150</f>
        <v/>
      </c>
    </row>
    <row r="22">
      <c r="A22" s="3" t="n">
        <v>18</v>
      </c>
      <c r="B22" s="3">
        <f>IF(MASTER_AR_REPORT!B151="","",MASTER_AR_REPORT!B151)</f>
        <v/>
      </c>
      <c r="C22" s="8">
        <f>MASTER_AR_REPORT!C151</f>
        <v/>
      </c>
      <c r="D22" s="3">
        <f>IF(MASTER_AR_REPORT!D151="","",MASTER_AR_REPORT!D151)</f>
        <v/>
      </c>
      <c r="E22" s="3">
        <f>IF(MASTER_AR_REPORT!E151="","",MASTER_AR_REPORT!E151)</f>
        <v/>
      </c>
      <c r="F22" s="4">
        <f>MASTER_AR_REPORT!F151</f>
        <v/>
      </c>
      <c r="G22" s="8">
        <f>MASTER_AR_REPORT!G151</f>
        <v/>
      </c>
      <c r="H22" s="4">
        <f>MASTER_AR_REPORT!H151</f>
        <v/>
      </c>
      <c r="I22" s="4">
        <f>MASTER_AR_REPORT!I151</f>
        <v/>
      </c>
      <c r="J22" s="3">
        <f>MASTER_AR_REPORT!J151</f>
        <v/>
      </c>
      <c r="K22" s="3">
        <f>MASTER_AR_REPORT!K151</f>
        <v/>
      </c>
      <c r="L22" s="3">
        <f>MASTER_AR_REPORT!L151</f>
        <v/>
      </c>
      <c r="M22" s="3">
        <f>MASTER_AR_REPORT!M151</f>
        <v/>
      </c>
      <c r="N22" s="3">
        <f>MASTER_AR_REPORT!N151</f>
        <v/>
      </c>
      <c r="O22" s="3">
        <f>MASTER_AR_REPORT!O151</f>
        <v/>
      </c>
    </row>
    <row r="23">
      <c r="A23" s="1" t="n">
        <v>19</v>
      </c>
      <c r="B23" s="1">
        <f>IF(MASTER_AR_REPORT!B152="","",MASTER_AR_REPORT!B152)</f>
        <v/>
      </c>
      <c r="C23" s="9">
        <f>MASTER_AR_REPORT!C152</f>
        <v/>
      </c>
      <c r="D23" s="1">
        <f>IF(MASTER_AR_REPORT!D152="","",MASTER_AR_REPORT!D152)</f>
        <v/>
      </c>
      <c r="E23" s="1">
        <f>IF(MASTER_AR_REPORT!E152="","",MASTER_AR_REPORT!E152)</f>
        <v/>
      </c>
      <c r="F23" s="2">
        <f>MASTER_AR_REPORT!F152</f>
        <v/>
      </c>
      <c r="G23" s="9">
        <f>MASTER_AR_REPORT!G152</f>
        <v/>
      </c>
      <c r="H23" s="2">
        <f>MASTER_AR_REPORT!H152</f>
        <v/>
      </c>
      <c r="I23" s="2">
        <f>MASTER_AR_REPORT!I152</f>
        <v/>
      </c>
      <c r="J23" s="1">
        <f>MASTER_AR_REPORT!J152</f>
        <v/>
      </c>
      <c r="K23" s="1">
        <f>MASTER_AR_REPORT!K152</f>
        <v/>
      </c>
      <c r="L23" s="1">
        <f>MASTER_AR_REPORT!L152</f>
        <v/>
      </c>
      <c r="M23" s="1">
        <f>MASTER_AR_REPORT!M152</f>
        <v/>
      </c>
      <c r="N23" s="1">
        <f>MASTER_AR_REPORT!N152</f>
        <v/>
      </c>
      <c r="O23" s="1">
        <f>MASTER_AR_REPORT!O152</f>
        <v/>
      </c>
    </row>
    <row r="24">
      <c r="A24" s="3" t="n">
        <v>20</v>
      </c>
      <c r="B24" s="3">
        <f>IF(MASTER_AR_REPORT!B153="","",MASTER_AR_REPORT!B153)</f>
        <v/>
      </c>
      <c r="C24" s="8">
        <f>MASTER_AR_REPORT!C153</f>
        <v/>
      </c>
      <c r="D24" s="3">
        <f>IF(MASTER_AR_REPORT!D153="","",MASTER_AR_REPORT!D153)</f>
        <v/>
      </c>
      <c r="E24" s="3">
        <f>IF(MASTER_AR_REPORT!E153="","",MASTER_AR_REPORT!E153)</f>
        <v/>
      </c>
      <c r="F24" s="4">
        <f>MASTER_AR_REPORT!F153</f>
        <v/>
      </c>
      <c r="G24" s="8">
        <f>MASTER_AR_REPORT!G153</f>
        <v/>
      </c>
      <c r="H24" s="4">
        <f>MASTER_AR_REPORT!H153</f>
        <v/>
      </c>
      <c r="I24" s="4">
        <f>MASTER_AR_REPORT!I153</f>
        <v/>
      </c>
      <c r="J24" s="3">
        <f>MASTER_AR_REPORT!J153</f>
        <v/>
      </c>
      <c r="K24" s="3">
        <f>MASTER_AR_REPORT!K153</f>
        <v/>
      </c>
      <c r="L24" s="3">
        <f>MASTER_AR_REPORT!L153</f>
        <v/>
      </c>
      <c r="M24" s="3">
        <f>MASTER_AR_REPORT!M153</f>
        <v/>
      </c>
      <c r="N24" s="3">
        <f>MASTER_AR_REPORT!N153</f>
        <v/>
      </c>
      <c r="O24" s="3">
        <f>MASTER_AR_REPORT!O153</f>
        <v/>
      </c>
    </row>
    <row r="25">
      <c r="A25" s="1" t="n">
        <v>21</v>
      </c>
      <c r="B25" s="1">
        <f>IF(MASTER_AR_REPORT!B154="","",MASTER_AR_REPORT!B154)</f>
        <v/>
      </c>
      <c r="C25" s="9">
        <f>MASTER_AR_REPORT!C154</f>
        <v/>
      </c>
      <c r="D25" s="1">
        <f>IF(MASTER_AR_REPORT!D154="","",MASTER_AR_REPORT!D154)</f>
        <v/>
      </c>
      <c r="E25" s="1">
        <f>IF(MASTER_AR_REPORT!E154="","",MASTER_AR_REPORT!E154)</f>
        <v/>
      </c>
      <c r="F25" s="2">
        <f>MASTER_AR_REPORT!F154</f>
        <v/>
      </c>
      <c r="G25" s="9">
        <f>MASTER_AR_REPORT!G154</f>
        <v/>
      </c>
      <c r="H25" s="2">
        <f>MASTER_AR_REPORT!H154</f>
        <v/>
      </c>
      <c r="I25" s="2">
        <f>MASTER_AR_REPORT!I154</f>
        <v/>
      </c>
      <c r="J25" s="1">
        <f>MASTER_AR_REPORT!J154</f>
        <v/>
      </c>
      <c r="K25" s="1">
        <f>MASTER_AR_REPORT!K154</f>
        <v/>
      </c>
      <c r="L25" s="1">
        <f>MASTER_AR_REPORT!L154</f>
        <v/>
      </c>
      <c r="M25" s="1">
        <f>MASTER_AR_REPORT!M154</f>
        <v/>
      </c>
      <c r="N25" s="1">
        <f>MASTER_AR_REPORT!N154</f>
        <v/>
      </c>
      <c r="O25" s="1">
        <f>MASTER_AR_REPORT!O154</f>
        <v/>
      </c>
    </row>
    <row r="26">
      <c r="A26" s="3" t="n">
        <v>22</v>
      </c>
      <c r="B26" s="3">
        <f>IF(MASTER_AR_REPORT!B155="","",MASTER_AR_REPORT!B155)</f>
        <v/>
      </c>
      <c r="C26" s="8">
        <f>MASTER_AR_REPORT!C155</f>
        <v/>
      </c>
      <c r="D26" s="3">
        <f>IF(MASTER_AR_REPORT!D155="","",MASTER_AR_REPORT!D155)</f>
        <v/>
      </c>
      <c r="E26" s="3">
        <f>IF(MASTER_AR_REPORT!E155="","",MASTER_AR_REPORT!E155)</f>
        <v/>
      </c>
      <c r="F26" s="4">
        <f>MASTER_AR_REPORT!F155</f>
        <v/>
      </c>
      <c r="G26" s="8">
        <f>MASTER_AR_REPORT!G155</f>
        <v/>
      </c>
      <c r="H26" s="4">
        <f>MASTER_AR_REPORT!H155</f>
        <v/>
      </c>
      <c r="I26" s="4">
        <f>MASTER_AR_REPORT!I155</f>
        <v/>
      </c>
      <c r="J26" s="3">
        <f>MASTER_AR_REPORT!J155</f>
        <v/>
      </c>
      <c r="K26" s="3">
        <f>MASTER_AR_REPORT!K155</f>
        <v/>
      </c>
      <c r="L26" s="3">
        <f>MASTER_AR_REPORT!L155</f>
        <v/>
      </c>
      <c r="M26" s="3">
        <f>MASTER_AR_REPORT!M155</f>
        <v/>
      </c>
      <c r="N26" s="3">
        <f>MASTER_AR_REPORT!N155</f>
        <v/>
      </c>
      <c r="O26" s="3">
        <f>MASTER_AR_REPORT!O155</f>
        <v/>
      </c>
    </row>
    <row r="27">
      <c r="A27" s="1" t="n">
        <v>23</v>
      </c>
      <c r="B27" s="1">
        <f>IF(MASTER_AR_REPORT!B156="","",MASTER_AR_REPORT!B156)</f>
        <v/>
      </c>
      <c r="C27" s="9">
        <f>MASTER_AR_REPORT!C156</f>
        <v/>
      </c>
      <c r="D27" s="1">
        <f>IF(MASTER_AR_REPORT!D156="","",MASTER_AR_REPORT!D156)</f>
        <v/>
      </c>
      <c r="E27" s="1">
        <f>IF(MASTER_AR_REPORT!E156="","",MASTER_AR_REPORT!E156)</f>
        <v/>
      </c>
      <c r="F27" s="2">
        <f>MASTER_AR_REPORT!F156</f>
        <v/>
      </c>
      <c r="G27" s="9">
        <f>MASTER_AR_REPORT!G156</f>
        <v/>
      </c>
      <c r="H27" s="2">
        <f>MASTER_AR_REPORT!H156</f>
        <v/>
      </c>
      <c r="I27" s="2">
        <f>MASTER_AR_REPORT!I156</f>
        <v/>
      </c>
      <c r="J27" s="1">
        <f>MASTER_AR_REPORT!J156</f>
        <v/>
      </c>
      <c r="K27" s="1">
        <f>MASTER_AR_REPORT!K156</f>
        <v/>
      </c>
      <c r="L27" s="1">
        <f>MASTER_AR_REPORT!L156</f>
        <v/>
      </c>
      <c r="M27" s="1">
        <f>MASTER_AR_REPORT!M156</f>
        <v/>
      </c>
      <c r="N27" s="1">
        <f>MASTER_AR_REPORT!N156</f>
        <v/>
      </c>
      <c r="O27" s="1">
        <f>MASTER_AR_REPORT!O156</f>
        <v/>
      </c>
    </row>
    <row r="28">
      <c r="A28" s="3" t="n">
        <v>24</v>
      </c>
      <c r="B28" s="3">
        <f>IF(MASTER_AR_REPORT!B157="","",MASTER_AR_REPORT!B157)</f>
        <v/>
      </c>
      <c r="C28" s="8">
        <f>MASTER_AR_REPORT!C157</f>
        <v/>
      </c>
      <c r="D28" s="3">
        <f>IF(MASTER_AR_REPORT!D157="","",MASTER_AR_REPORT!D157)</f>
        <v/>
      </c>
      <c r="E28" s="3">
        <f>IF(MASTER_AR_REPORT!E157="","",MASTER_AR_REPORT!E157)</f>
        <v/>
      </c>
      <c r="F28" s="4">
        <f>MASTER_AR_REPORT!F157</f>
        <v/>
      </c>
      <c r="G28" s="8">
        <f>MASTER_AR_REPORT!G157</f>
        <v/>
      </c>
      <c r="H28" s="4">
        <f>MASTER_AR_REPORT!H157</f>
        <v/>
      </c>
      <c r="I28" s="4">
        <f>MASTER_AR_REPORT!I157</f>
        <v/>
      </c>
      <c r="J28" s="3">
        <f>MASTER_AR_REPORT!J157</f>
        <v/>
      </c>
      <c r="K28" s="3">
        <f>MASTER_AR_REPORT!K157</f>
        <v/>
      </c>
      <c r="L28" s="3">
        <f>MASTER_AR_REPORT!L157</f>
        <v/>
      </c>
      <c r="M28" s="3">
        <f>MASTER_AR_REPORT!M157</f>
        <v/>
      </c>
      <c r="N28" s="3">
        <f>MASTER_AR_REPORT!N157</f>
        <v/>
      </c>
      <c r="O28" s="3">
        <f>MASTER_AR_REPORT!O157</f>
        <v/>
      </c>
    </row>
    <row r="29">
      <c r="A29" s="1" t="n">
        <v>25</v>
      </c>
      <c r="B29" s="1">
        <f>IF(MASTER_AR_REPORT!B158="","",MASTER_AR_REPORT!B158)</f>
        <v/>
      </c>
      <c r="C29" s="9">
        <f>MASTER_AR_REPORT!C158</f>
        <v/>
      </c>
      <c r="D29" s="1">
        <f>IF(MASTER_AR_REPORT!D158="","",MASTER_AR_REPORT!D158)</f>
        <v/>
      </c>
      <c r="E29" s="1">
        <f>IF(MASTER_AR_REPORT!E158="","",MASTER_AR_REPORT!E158)</f>
        <v/>
      </c>
      <c r="F29" s="2">
        <f>MASTER_AR_REPORT!F158</f>
        <v/>
      </c>
      <c r="G29" s="9">
        <f>MASTER_AR_REPORT!G158</f>
        <v/>
      </c>
      <c r="H29" s="2">
        <f>MASTER_AR_REPORT!H158</f>
        <v/>
      </c>
      <c r="I29" s="2">
        <f>MASTER_AR_REPORT!I158</f>
        <v/>
      </c>
      <c r="J29" s="1">
        <f>MASTER_AR_REPORT!J158</f>
        <v/>
      </c>
      <c r="K29" s="1">
        <f>MASTER_AR_REPORT!K158</f>
        <v/>
      </c>
      <c r="L29" s="1">
        <f>MASTER_AR_REPORT!L158</f>
        <v/>
      </c>
      <c r="M29" s="1">
        <f>MASTER_AR_REPORT!M158</f>
        <v/>
      </c>
      <c r="N29" s="1">
        <f>MASTER_AR_REPORT!N158</f>
        <v/>
      </c>
      <c r="O29" s="1">
        <f>MASTER_AR_REPORT!O158</f>
        <v/>
      </c>
    </row>
    <row r="30">
      <c r="A30" s="3" t="n">
        <v>26</v>
      </c>
      <c r="B30" s="3">
        <f>IF(MASTER_AR_REPORT!B159="","",MASTER_AR_REPORT!B159)</f>
        <v/>
      </c>
      <c r="C30" s="8">
        <f>MASTER_AR_REPORT!C159</f>
        <v/>
      </c>
      <c r="D30" s="3">
        <f>IF(MASTER_AR_REPORT!D159="","",MASTER_AR_REPORT!D159)</f>
        <v/>
      </c>
      <c r="E30" s="3">
        <f>IF(MASTER_AR_REPORT!E159="","",MASTER_AR_REPORT!E159)</f>
        <v/>
      </c>
      <c r="F30" s="4">
        <f>MASTER_AR_REPORT!F159</f>
        <v/>
      </c>
      <c r="G30" s="8">
        <f>MASTER_AR_REPORT!G159</f>
        <v/>
      </c>
      <c r="H30" s="4">
        <f>MASTER_AR_REPORT!H159</f>
        <v/>
      </c>
      <c r="I30" s="4">
        <f>MASTER_AR_REPORT!I159</f>
        <v/>
      </c>
      <c r="J30" s="3">
        <f>MASTER_AR_REPORT!J159</f>
        <v/>
      </c>
      <c r="K30" s="3">
        <f>MASTER_AR_REPORT!K159</f>
        <v/>
      </c>
      <c r="L30" s="3">
        <f>MASTER_AR_REPORT!L159</f>
        <v/>
      </c>
      <c r="M30" s="3">
        <f>MASTER_AR_REPORT!M159</f>
        <v/>
      </c>
      <c r="N30" s="3">
        <f>MASTER_AR_REPORT!N159</f>
        <v/>
      </c>
      <c r="O30" s="3">
        <f>MASTER_AR_REPORT!O159</f>
        <v/>
      </c>
    </row>
    <row r="31">
      <c r="A31" s="1" t="n">
        <v>27</v>
      </c>
      <c r="B31" s="1">
        <f>IF(MASTER_AR_REPORT!B160="","",MASTER_AR_REPORT!B160)</f>
        <v/>
      </c>
      <c r="C31" s="9">
        <f>MASTER_AR_REPORT!C160</f>
        <v/>
      </c>
      <c r="D31" s="1">
        <f>IF(MASTER_AR_REPORT!D160="","",MASTER_AR_REPORT!D160)</f>
        <v/>
      </c>
      <c r="E31" s="1">
        <f>IF(MASTER_AR_REPORT!E160="","",MASTER_AR_REPORT!E160)</f>
        <v/>
      </c>
      <c r="F31" s="2">
        <f>MASTER_AR_REPORT!F160</f>
        <v/>
      </c>
      <c r="G31" s="9">
        <f>MASTER_AR_REPORT!G160</f>
        <v/>
      </c>
      <c r="H31" s="2">
        <f>MASTER_AR_REPORT!H160</f>
        <v/>
      </c>
      <c r="I31" s="2">
        <f>MASTER_AR_REPORT!I160</f>
        <v/>
      </c>
      <c r="J31" s="1">
        <f>MASTER_AR_REPORT!J160</f>
        <v/>
      </c>
      <c r="K31" s="1">
        <f>MASTER_AR_REPORT!K160</f>
        <v/>
      </c>
      <c r="L31" s="1">
        <f>MASTER_AR_REPORT!L160</f>
        <v/>
      </c>
      <c r="M31" s="1">
        <f>MASTER_AR_REPORT!M160</f>
        <v/>
      </c>
      <c r="N31" s="1">
        <f>MASTER_AR_REPORT!N160</f>
        <v/>
      </c>
      <c r="O31" s="1">
        <f>MASTER_AR_REPORT!O160</f>
        <v/>
      </c>
    </row>
    <row r="32">
      <c r="A32" s="3" t="n">
        <v>28</v>
      </c>
      <c r="B32" s="3">
        <f>IF(MASTER_AR_REPORT!B161="","",MASTER_AR_REPORT!B161)</f>
        <v/>
      </c>
      <c r="C32" s="8">
        <f>MASTER_AR_REPORT!C161</f>
        <v/>
      </c>
      <c r="D32" s="3">
        <f>IF(MASTER_AR_REPORT!D161="","",MASTER_AR_REPORT!D161)</f>
        <v/>
      </c>
      <c r="E32" s="3">
        <f>IF(MASTER_AR_REPORT!E161="","",MASTER_AR_REPORT!E161)</f>
        <v/>
      </c>
      <c r="F32" s="4">
        <f>MASTER_AR_REPORT!F161</f>
        <v/>
      </c>
      <c r="G32" s="8">
        <f>MASTER_AR_REPORT!G161</f>
        <v/>
      </c>
      <c r="H32" s="4">
        <f>MASTER_AR_REPORT!H161</f>
        <v/>
      </c>
      <c r="I32" s="4">
        <f>MASTER_AR_REPORT!I161</f>
        <v/>
      </c>
      <c r="J32" s="3">
        <f>MASTER_AR_REPORT!J161</f>
        <v/>
      </c>
      <c r="K32" s="3">
        <f>MASTER_AR_REPORT!K161</f>
        <v/>
      </c>
      <c r="L32" s="3">
        <f>MASTER_AR_REPORT!L161</f>
        <v/>
      </c>
      <c r="M32" s="3">
        <f>MASTER_AR_REPORT!M161</f>
        <v/>
      </c>
      <c r="N32" s="3">
        <f>MASTER_AR_REPORT!N161</f>
        <v/>
      </c>
      <c r="O32" s="3">
        <f>MASTER_AR_REPORT!O161</f>
        <v/>
      </c>
    </row>
    <row r="33">
      <c r="A33" s="1" t="n">
        <v>29</v>
      </c>
      <c r="B33" s="1">
        <f>IF(MASTER_AR_REPORT!B162="","",MASTER_AR_REPORT!B162)</f>
        <v/>
      </c>
      <c r="C33" s="9">
        <f>MASTER_AR_REPORT!C162</f>
        <v/>
      </c>
      <c r="D33" s="1">
        <f>IF(MASTER_AR_REPORT!D162="","",MASTER_AR_REPORT!D162)</f>
        <v/>
      </c>
      <c r="E33" s="1">
        <f>IF(MASTER_AR_REPORT!E162="","",MASTER_AR_REPORT!E162)</f>
        <v/>
      </c>
      <c r="F33" s="2">
        <f>MASTER_AR_REPORT!F162</f>
        <v/>
      </c>
      <c r="G33" s="9">
        <f>MASTER_AR_REPORT!G162</f>
        <v/>
      </c>
      <c r="H33" s="2">
        <f>MASTER_AR_REPORT!H162</f>
        <v/>
      </c>
      <c r="I33" s="2">
        <f>MASTER_AR_REPORT!I162</f>
        <v/>
      </c>
      <c r="J33" s="1">
        <f>MASTER_AR_REPORT!J162</f>
        <v/>
      </c>
      <c r="K33" s="1">
        <f>MASTER_AR_REPORT!K162</f>
        <v/>
      </c>
      <c r="L33" s="1">
        <f>MASTER_AR_REPORT!L162</f>
        <v/>
      </c>
      <c r="M33" s="1">
        <f>MASTER_AR_REPORT!M162</f>
        <v/>
      </c>
      <c r="N33" s="1">
        <f>MASTER_AR_REPORT!N162</f>
        <v/>
      </c>
      <c r="O33" s="1">
        <f>MASTER_AR_REPORT!O162</f>
        <v/>
      </c>
    </row>
    <row r="34">
      <c r="A34" s="3" t="n">
        <v>30</v>
      </c>
      <c r="B34" s="3">
        <f>IF(MASTER_AR_REPORT!B163="","",MASTER_AR_REPORT!B163)</f>
        <v/>
      </c>
      <c r="C34" s="8">
        <f>MASTER_AR_REPORT!C163</f>
        <v/>
      </c>
      <c r="D34" s="3">
        <f>IF(MASTER_AR_REPORT!D163="","",MASTER_AR_REPORT!D163)</f>
        <v/>
      </c>
      <c r="E34" s="3">
        <f>IF(MASTER_AR_REPORT!E163="","",MASTER_AR_REPORT!E163)</f>
        <v/>
      </c>
      <c r="F34" s="4">
        <f>MASTER_AR_REPORT!F163</f>
        <v/>
      </c>
      <c r="G34" s="8">
        <f>MASTER_AR_REPORT!G163</f>
        <v/>
      </c>
      <c r="H34" s="4">
        <f>MASTER_AR_REPORT!H163</f>
        <v/>
      </c>
      <c r="I34" s="4">
        <f>MASTER_AR_REPORT!I163</f>
        <v/>
      </c>
      <c r="J34" s="3">
        <f>MASTER_AR_REPORT!J163</f>
        <v/>
      </c>
      <c r="K34" s="3">
        <f>MASTER_AR_REPORT!K163</f>
        <v/>
      </c>
      <c r="L34" s="3">
        <f>MASTER_AR_REPORT!L163</f>
        <v/>
      </c>
      <c r="M34" s="3">
        <f>MASTER_AR_REPORT!M163</f>
        <v/>
      </c>
      <c r="N34" s="3">
        <f>MASTER_AR_REPORT!N163</f>
        <v/>
      </c>
      <c r="O34" s="3">
        <f>MASTER_AR_REPORT!O163</f>
        <v/>
      </c>
    </row>
    <row r="35">
      <c r="A35" s="1" t="n">
        <v>31</v>
      </c>
      <c r="B35" s="1">
        <f>IF(MASTER_AR_REPORT!B164="","",MASTER_AR_REPORT!B164)</f>
        <v/>
      </c>
      <c r="C35" s="9">
        <f>MASTER_AR_REPORT!C164</f>
        <v/>
      </c>
      <c r="D35" s="1">
        <f>IF(MASTER_AR_REPORT!D164="","",MASTER_AR_REPORT!D164)</f>
        <v/>
      </c>
      <c r="E35" s="1">
        <f>IF(MASTER_AR_REPORT!E164="","",MASTER_AR_REPORT!E164)</f>
        <v/>
      </c>
      <c r="F35" s="2">
        <f>MASTER_AR_REPORT!F164</f>
        <v/>
      </c>
      <c r="G35" s="9">
        <f>MASTER_AR_REPORT!G164</f>
        <v/>
      </c>
      <c r="H35" s="2">
        <f>MASTER_AR_REPORT!H164</f>
        <v/>
      </c>
      <c r="I35" s="2">
        <f>MASTER_AR_REPORT!I164</f>
        <v/>
      </c>
      <c r="J35" s="1">
        <f>MASTER_AR_REPORT!J164</f>
        <v/>
      </c>
      <c r="K35" s="1">
        <f>MASTER_AR_REPORT!K164</f>
        <v/>
      </c>
      <c r="L35" s="1">
        <f>MASTER_AR_REPORT!L164</f>
        <v/>
      </c>
      <c r="M35" s="1">
        <f>MASTER_AR_REPORT!M164</f>
        <v/>
      </c>
      <c r="N35" s="1">
        <f>MASTER_AR_REPORT!N164</f>
        <v/>
      </c>
      <c r="O35" s="1">
        <f>MASTER_AR_REPORT!O164</f>
        <v/>
      </c>
    </row>
    <row r="36">
      <c r="A36" s="3" t="n">
        <v>32</v>
      </c>
      <c r="B36" s="3">
        <f>IF(MASTER_AR_REPORT!B165="","",MASTER_AR_REPORT!B165)</f>
        <v/>
      </c>
      <c r="C36" s="8">
        <f>MASTER_AR_REPORT!C165</f>
        <v/>
      </c>
      <c r="D36" s="3">
        <f>IF(MASTER_AR_REPORT!D165="","",MASTER_AR_REPORT!D165)</f>
        <v/>
      </c>
      <c r="E36" s="3">
        <f>IF(MASTER_AR_REPORT!E165="","",MASTER_AR_REPORT!E165)</f>
        <v/>
      </c>
      <c r="F36" s="4">
        <f>MASTER_AR_REPORT!F165</f>
        <v/>
      </c>
      <c r="G36" s="8">
        <f>MASTER_AR_REPORT!G165</f>
        <v/>
      </c>
      <c r="H36" s="4">
        <f>MASTER_AR_REPORT!H165</f>
        <v/>
      </c>
      <c r="I36" s="4">
        <f>MASTER_AR_REPORT!I165</f>
        <v/>
      </c>
      <c r="J36" s="3">
        <f>MASTER_AR_REPORT!J165</f>
        <v/>
      </c>
      <c r="K36" s="3">
        <f>MASTER_AR_REPORT!K165</f>
        <v/>
      </c>
      <c r="L36" s="3">
        <f>MASTER_AR_REPORT!L165</f>
        <v/>
      </c>
      <c r="M36" s="3">
        <f>MASTER_AR_REPORT!M165</f>
        <v/>
      </c>
      <c r="N36" s="3">
        <f>MASTER_AR_REPORT!N165</f>
        <v/>
      </c>
      <c r="O36" s="3">
        <f>MASTER_AR_REPORT!O165</f>
        <v/>
      </c>
    </row>
    <row r="37">
      <c r="A37" s="1" t="n">
        <v>33</v>
      </c>
      <c r="B37" s="1">
        <f>IF(MASTER_AR_REPORT!B166="","",MASTER_AR_REPORT!B166)</f>
        <v/>
      </c>
      <c r="C37" s="9">
        <f>MASTER_AR_REPORT!C166</f>
        <v/>
      </c>
      <c r="D37" s="1">
        <f>IF(MASTER_AR_REPORT!D166="","",MASTER_AR_REPORT!D166)</f>
        <v/>
      </c>
      <c r="E37" s="1">
        <f>IF(MASTER_AR_REPORT!E166="","",MASTER_AR_REPORT!E166)</f>
        <v/>
      </c>
      <c r="F37" s="2">
        <f>MASTER_AR_REPORT!F166</f>
        <v/>
      </c>
      <c r="G37" s="9">
        <f>MASTER_AR_REPORT!G166</f>
        <v/>
      </c>
      <c r="H37" s="2">
        <f>MASTER_AR_REPORT!H166</f>
        <v/>
      </c>
      <c r="I37" s="2">
        <f>MASTER_AR_REPORT!I166</f>
        <v/>
      </c>
      <c r="J37" s="1">
        <f>MASTER_AR_REPORT!J166</f>
        <v/>
      </c>
      <c r="K37" s="1">
        <f>MASTER_AR_REPORT!K166</f>
        <v/>
      </c>
      <c r="L37" s="1">
        <f>MASTER_AR_REPORT!L166</f>
        <v/>
      </c>
      <c r="M37" s="1">
        <f>MASTER_AR_REPORT!M166</f>
        <v/>
      </c>
      <c r="N37" s="1">
        <f>MASTER_AR_REPORT!N166</f>
        <v/>
      </c>
      <c r="O37" s="1">
        <f>MASTER_AR_REPORT!O166</f>
        <v/>
      </c>
    </row>
    <row r="38">
      <c r="A38" s="3" t="n">
        <v>34</v>
      </c>
      <c r="B38" s="3">
        <f>IF(MASTER_AR_REPORT!B167="","",MASTER_AR_REPORT!B167)</f>
        <v/>
      </c>
      <c r="C38" s="8">
        <f>MASTER_AR_REPORT!C167</f>
        <v/>
      </c>
      <c r="D38" s="3">
        <f>IF(MASTER_AR_REPORT!D167="","",MASTER_AR_REPORT!D167)</f>
        <v/>
      </c>
      <c r="E38" s="3">
        <f>IF(MASTER_AR_REPORT!E167="","",MASTER_AR_REPORT!E167)</f>
        <v/>
      </c>
      <c r="F38" s="4">
        <f>MASTER_AR_REPORT!F167</f>
        <v/>
      </c>
      <c r="G38" s="8">
        <f>MASTER_AR_REPORT!G167</f>
        <v/>
      </c>
      <c r="H38" s="4">
        <f>MASTER_AR_REPORT!H167</f>
        <v/>
      </c>
      <c r="I38" s="4">
        <f>MASTER_AR_REPORT!I167</f>
        <v/>
      </c>
      <c r="J38" s="3">
        <f>MASTER_AR_REPORT!J167</f>
        <v/>
      </c>
      <c r="K38" s="3">
        <f>MASTER_AR_REPORT!K167</f>
        <v/>
      </c>
      <c r="L38" s="3">
        <f>MASTER_AR_REPORT!L167</f>
        <v/>
      </c>
      <c r="M38" s="3">
        <f>MASTER_AR_REPORT!M167</f>
        <v/>
      </c>
      <c r="N38" s="3">
        <f>MASTER_AR_REPORT!N167</f>
        <v/>
      </c>
      <c r="O38" s="3">
        <f>MASTER_AR_REPORT!O167</f>
        <v/>
      </c>
    </row>
    <row r="39">
      <c r="A39" s="1" t="n">
        <v>35</v>
      </c>
      <c r="B39" s="1">
        <f>IF(MASTER_AR_REPORT!B168="","",MASTER_AR_REPORT!B168)</f>
        <v/>
      </c>
      <c r="C39" s="9">
        <f>MASTER_AR_REPORT!C168</f>
        <v/>
      </c>
      <c r="D39" s="1">
        <f>IF(MASTER_AR_REPORT!D168="","",MASTER_AR_REPORT!D168)</f>
        <v/>
      </c>
      <c r="E39" s="1">
        <f>IF(MASTER_AR_REPORT!E168="","",MASTER_AR_REPORT!E168)</f>
        <v/>
      </c>
      <c r="F39" s="2">
        <f>MASTER_AR_REPORT!F168</f>
        <v/>
      </c>
      <c r="G39" s="9">
        <f>MASTER_AR_REPORT!G168</f>
        <v/>
      </c>
      <c r="H39" s="2">
        <f>MASTER_AR_REPORT!H168</f>
        <v/>
      </c>
      <c r="I39" s="2">
        <f>MASTER_AR_REPORT!I168</f>
        <v/>
      </c>
      <c r="J39" s="1">
        <f>MASTER_AR_REPORT!J168</f>
        <v/>
      </c>
      <c r="K39" s="1">
        <f>MASTER_AR_REPORT!K168</f>
        <v/>
      </c>
      <c r="L39" s="1">
        <f>MASTER_AR_REPORT!L168</f>
        <v/>
      </c>
      <c r="M39" s="1">
        <f>MASTER_AR_REPORT!M168</f>
        <v/>
      </c>
      <c r="N39" s="1">
        <f>MASTER_AR_REPORT!N168</f>
        <v/>
      </c>
      <c r="O39" s="1">
        <f>MASTER_AR_REPORT!O168</f>
        <v/>
      </c>
    </row>
    <row r="40">
      <c r="A40" s="3" t="n">
        <v>36</v>
      </c>
      <c r="B40" s="3">
        <f>IF(MASTER_AR_REPORT!B169="","",MASTER_AR_REPORT!B169)</f>
        <v/>
      </c>
      <c r="C40" s="8">
        <f>MASTER_AR_REPORT!C169</f>
        <v/>
      </c>
      <c r="D40" s="3">
        <f>IF(MASTER_AR_REPORT!D169="","",MASTER_AR_REPORT!D169)</f>
        <v/>
      </c>
      <c r="E40" s="3">
        <f>IF(MASTER_AR_REPORT!E169="","",MASTER_AR_REPORT!E169)</f>
        <v/>
      </c>
      <c r="F40" s="4">
        <f>MASTER_AR_REPORT!F169</f>
        <v/>
      </c>
      <c r="G40" s="8">
        <f>MASTER_AR_REPORT!G169</f>
        <v/>
      </c>
      <c r="H40" s="4">
        <f>MASTER_AR_REPORT!H169</f>
        <v/>
      </c>
      <c r="I40" s="4">
        <f>MASTER_AR_REPORT!I169</f>
        <v/>
      </c>
      <c r="J40" s="3">
        <f>MASTER_AR_REPORT!J169</f>
        <v/>
      </c>
      <c r="K40" s="3">
        <f>MASTER_AR_REPORT!K169</f>
        <v/>
      </c>
      <c r="L40" s="3">
        <f>MASTER_AR_REPORT!L169</f>
        <v/>
      </c>
      <c r="M40" s="3">
        <f>MASTER_AR_REPORT!M169</f>
        <v/>
      </c>
      <c r="N40" s="3">
        <f>MASTER_AR_REPORT!N169</f>
        <v/>
      </c>
      <c r="O40" s="3">
        <f>MASTER_AR_REPORT!O169</f>
        <v/>
      </c>
    </row>
    <row r="41">
      <c r="A41" s="1" t="n">
        <v>37</v>
      </c>
      <c r="B41" s="1">
        <f>IF(MASTER_AR_REPORT!B170="","",MASTER_AR_REPORT!B170)</f>
        <v/>
      </c>
      <c r="C41" s="9">
        <f>MASTER_AR_REPORT!C170</f>
        <v/>
      </c>
      <c r="D41" s="1">
        <f>IF(MASTER_AR_REPORT!D170="","",MASTER_AR_REPORT!D170)</f>
        <v/>
      </c>
      <c r="E41" s="1">
        <f>IF(MASTER_AR_REPORT!E170="","",MASTER_AR_REPORT!E170)</f>
        <v/>
      </c>
      <c r="F41" s="2">
        <f>MASTER_AR_REPORT!F170</f>
        <v/>
      </c>
      <c r="G41" s="9">
        <f>MASTER_AR_REPORT!G170</f>
        <v/>
      </c>
      <c r="H41" s="2">
        <f>MASTER_AR_REPORT!H170</f>
        <v/>
      </c>
      <c r="I41" s="2">
        <f>MASTER_AR_REPORT!I170</f>
        <v/>
      </c>
      <c r="J41" s="1">
        <f>MASTER_AR_REPORT!J170</f>
        <v/>
      </c>
      <c r="K41" s="1">
        <f>MASTER_AR_REPORT!K170</f>
        <v/>
      </c>
      <c r="L41" s="1">
        <f>MASTER_AR_REPORT!L170</f>
        <v/>
      </c>
      <c r="M41" s="1">
        <f>MASTER_AR_REPORT!M170</f>
        <v/>
      </c>
      <c r="N41" s="1">
        <f>MASTER_AR_REPORT!N170</f>
        <v/>
      </c>
      <c r="O41" s="1">
        <f>MASTER_AR_REPORT!O170</f>
        <v/>
      </c>
    </row>
    <row r="42">
      <c r="A42" s="3" t="n">
        <v>38</v>
      </c>
      <c r="B42" s="3">
        <f>IF(MASTER_AR_REPORT!B171="","",MASTER_AR_REPORT!B171)</f>
        <v/>
      </c>
      <c r="C42" s="8">
        <f>MASTER_AR_REPORT!C171</f>
        <v/>
      </c>
      <c r="D42" s="3">
        <f>IF(MASTER_AR_REPORT!D171="","",MASTER_AR_REPORT!D171)</f>
        <v/>
      </c>
      <c r="E42" s="3">
        <f>IF(MASTER_AR_REPORT!E171="","",MASTER_AR_REPORT!E171)</f>
        <v/>
      </c>
      <c r="F42" s="4">
        <f>MASTER_AR_REPORT!F171</f>
        <v/>
      </c>
      <c r="G42" s="8">
        <f>MASTER_AR_REPORT!G171</f>
        <v/>
      </c>
      <c r="H42" s="4">
        <f>MASTER_AR_REPORT!H171</f>
        <v/>
      </c>
      <c r="I42" s="4">
        <f>MASTER_AR_REPORT!I171</f>
        <v/>
      </c>
      <c r="J42" s="3">
        <f>MASTER_AR_REPORT!J171</f>
        <v/>
      </c>
      <c r="K42" s="3">
        <f>MASTER_AR_REPORT!K171</f>
        <v/>
      </c>
      <c r="L42" s="3">
        <f>MASTER_AR_REPORT!L171</f>
        <v/>
      </c>
      <c r="M42" s="3">
        <f>MASTER_AR_REPORT!M171</f>
        <v/>
      </c>
      <c r="N42" s="3">
        <f>MASTER_AR_REPORT!N171</f>
        <v/>
      </c>
      <c r="O42" s="3">
        <f>MASTER_AR_REPORT!O171</f>
        <v/>
      </c>
    </row>
    <row r="43">
      <c r="A43" s="1" t="n">
        <v>39</v>
      </c>
      <c r="B43" s="1">
        <f>IF(MASTER_AR_REPORT!B172="","",MASTER_AR_REPORT!B172)</f>
        <v/>
      </c>
      <c r="C43" s="9">
        <f>MASTER_AR_REPORT!C172</f>
        <v/>
      </c>
      <c r="D43" s="1">
        <f>IF(MASTER_AR_REPORT!D172="","",MASTER_AR_REPORT!D172)</f>
        <v/>
      </c>
      <c r="E43" s="1">
        <f>IF(MASTER_AR_REPORT!E172="","",MASTER_AR_REPORT!E172)</f>
        <v/>
      </c>
      <c r="F43" s="2">
        <f>MASTER_AR_REPORT!F172</f>
        <v/>
      </c>
      <c r="G43" s="9">
        <f>MASTER_AR_REPORT!G172</f>
        <v/>
      </c>
      <c r="H43" s="2">
        <f>MASTER_AR_REPORT!H172</f>
        <v/>
      </c>
      <c r="I43" s="2">
        <f>MASTER_AR_REPORT!I172</f>
        <v/>
      </c>
      <c r="J43" s="1">
        <f>MASTER_AR_REPORT!J172</f>
        <v/>
      </c>
      <c r="K43" s="1">
        <f>MASTER_AR_REPORT!K172</f>
        <v/>
      </c>
      <c r="L43" s="1">
        <f>MASTER_AR_REPORT!L172</f>
        <v/>
      </c>
      <c r="M43" s="1">
        <f>MASTER_AR_REPORT!M172</f>
        <v/>
      </c>
      <c r="N43" s="1">
        <f>MASTER_AR_REPORT!N172</f>
        <v/>
      </c>
      <c r="O43" s="1">
        <f>MASTER_AR_REPORT!O172</f>
        <v/>
      </c>
    </row>
    <row r="44">
      <c r="A44" s="3" t="n">
        <v>40</v>
      </c>
      <c r="B44" s="3">
        <f>IF(MASTER_AR_REPORT!B173="","",MASTER_AR_REPORT!B173)</f>
        <v/>
      </c>
      <c r="C44" s="8">
        <f>MASTER_AR_REPORT!C173</f>
        <v/>
      </c>
      <c r="D44" s="3">
        <f>IF(MASTER_AR_REPORT!D173="","",MASTER_AR_REPORT!D173)</f>
        <v/>
      </c>
      <c r="E44" s="3">
        <f>IF(MASTER_AR_REPORT!E173="","",MASTER_AR_REPORT!E173)</f>
        <v/>
      </c>
      <c r="F44" s="4">
        <f>MASTER_AR_REPORT!F173</f>
        <v/>
      </c>
      <c r="G44" s="8">
        <f>MASTER_AR_REPORT!G173</f>
        <v/>
      </c>
      <c r="H44" s="4">
        <f>MASTER_AR_REPORT!H173</f>
        <v/>
      </c>
      <c r="I44" s="4">
        <f>MASTER_AR_REPORT!I173</f>
        <v/>
      </c>
      <c r="J44" s="3">
        <f>MASTER_AR_REPORT!J173</f>
        <v/>
      </c>
      <c r="K44" s="3">
        <f>MASTER_AR_REPORT!K173</f>
        <v/>
      </c>
      <c r="L44" s="3">
        <f>MASTER_AR_REPORT!L173</f>
        <v/>
      </c>
      <c r="M44" s="3">
        <f>MASTER_AR_REPORT!M173</f>
        <v/>
      </c>
      <c r="N44" s="3">
        <f>MASTER_AR_REPORT!N173</f>
        <v/>
      </c>
      <c r="O44" s="3">
        <f>MASTER_AR_REPORT!O173</f>
        <v/>
      </c>
    </row>
    <row r="45">
      <c r="A45" s="1" t="n">
        <v>41</v>
      </c>
      <c r="B45" s="1">
        <f>IF(MASTER_AR_REPORT!B174="","",MASTER_AR_REPORT!B174)</f>
        <v/>
      </c>
      <c r="C45" s="9">
        <f>MASTER_AR_REPORT!C174</f>
        <v/>
      </c>
      <c r="D45" s="1">
        <f>IF(MASTER_AR_REPORT!D174="","",MASTER_AR_REPORT!D174)</f>
        <v/>
      </c>
      <c r="E45" s="1">
        <f>IF(MASTER_AR_REPORT!E174="","",MASTER_AR_REPORT!E174)</f>
        <v/>
      </c>
      <c r="F45" s="2">
        <f>MASTER_AR_REPORT!F174</f>
        <v/>
      </c>
      <c r="G45" s="9">
        <f>MASTER_AR_REPORT!G174</f>
        <v/>
      </c>
      <c r="H45" s="2">
        <f>MASTER_AR_REPORT!H174</f>
        <v/>
      </c>
      <c r="I45" s="2">
        <f>MASTER_AR_REPORT!I174</f>
        <v/>
      </c>
      <c r="J45" s="1">
        <f>MASTER_AR_REPORT!J174</f>
        <v/>
      </c>
      <c r="K45" s="1">
        <f>MASTER_AR_REPORT!K174</f>
        <v/>
      </c>
      <c r="L45" s="1">
        <f>MASTER_AR_REPORT!L174</f>
        <v/>
      </c>
      <c r="M45" s="1">
        <f>MASTER_AR_REPORT!M174</f>
        <v/>
      </c>
      <c r="N45" s="1">
        <f>MASTER_AR_REPORT!N174</f>
        <v/>
      </c>
      <c r="O45" s="1">
        <f>MASTER_AR_REPORT!O174</f>
        <v/>
      </c>
    </row>
    <row r="46">
      <c r="A46" s="3" t="n">
        <v>42</v>
      </c>
      <c r="B46" s="3">
        <f>IF(MASTER_AR_REPORT!B175="","",MASTER_AR_REPORT!B175)</f>
        <v/>
      </c>
      <c r="C46" s="8">
        <f>MASTER_AR_REPORT!C175</f>
        <v/>
      </c>
      <c r="D46" s="3">
        <f>IF(MASTER_AR_REPORT!D175="","",MASTER_AR_REPORT!D175)</f>
        <v/>
      </c>
      <c r="E46" s="3">
        <f>IF(MASTER_AR_REPORT!E175="","",MASTER_AR_REPORT!E175)</f>
        <v/>
      </c>
      <c r="F46" s="4">
        <f>MASTER_AR_REPORT!F175</f>
        <v/>
      </c>
      <c r="G46" s="8">
        <f>MASTER_AR_REPORT!G175</f>
        <v/>
      </c>
      <c r="H46" s="4">
        <f>MASTER_AR_REPORT!H175</f>
        <v/>
      </c>
      <c r="I46" s="4">
        <f>MASTER_AR_REPORT!I175</f>
        <v/>
      </c>
      <c r="J46" s="3">
        <f>MASTER_AR_REPORT!J175</f>
        <v/>
      </c>
      <c r="K46" s="3">
        <f>MASTER_AR_REPORT!K175</f>
        <v/>
      </c>
      <c r="L46" s="3">
        <f>MASTER_AR_REPORT!L175</f>
        <v/>
      </c>
      <c r="M46" s="3">
        <f>MASTER_AR_REPORT!M175</f>
        <v/>
      </c>
      <c r="N46" s="3">
        <f>MASTER_AR_REPORT!N175</f>
        <v/>
      </c>
      <c r="O46" s="3">
        <f>MASTER_AR_REPORT!O175</f>
        <v/>
      </c>
    </row>
    <row r="47">
      <c r="A47" s="1" t="n">
        <v>43</v>
      </c>
      <c r="B47" s="1">
        <f>IF(MASTER_AR_REPORT!B176="","",MASTER_AR_REPORT!B176)</f>
        <v/>
      </c>
      <c r="C47" s="9">
        <f>MASTER_AR_REPORT!C176</f>
        <v/>
      </c>
      <c r="D47" s="1">
        <f>IF(MASTER_AR_REPORT!D176="","",MASTER_AR_REPORT!D176)</f>
        <v/>
      </c>
      <c r="E47" s="1">
        <f>IF(MASTER_AR_REPORT!E176="","",MASTER_AR_REPORT!E176)</f>
        <v/>
      </c>
      <c r="F47" s="2">
        <f>MASTER_AR_REPORT!F176</f>
        <v/>
      </c>
      <c r="G47" s="9">
        <f>MASTER_AR_REPORT!G176</f>
        <v/>
      </c>
      <c r="H47" s="2">
        <f>MASTER_AR_REPORT!H176</f>
        <v/>
      </c>
      <c r="I47" s="2">
        <f>MASTER_AR_REPORT!I176</f>
        <v/>
      </c>
      <c r="J47" s="1">
        <f>MASTER_AR_REPORT!J176</f>
        <v/>
      </c>
      <c r="K47" s="1">
        <f>MASTER_AR_REPORT!K176</f>
        <v/>
      </c>
      <c r="L47" s="1">
        <f>MASTER_AR_REPORT!L176</f>
        <v/>
      </c>
      <c r="M47" s="1">
        <f>MASTER_AR_REPORT!M176</f>
        <v/>
      </c>
      <c r="N47" s="1">
        <f>MASTER_AR_REPORT!N176</f>
        <v/>
      </c>
      <c r="O47" s="1">
        <f>MASTER_AR_REPORT!O176</f>
        <v/>
      </c>
    </row>
    <row r="48">
      <c r="A48" s="3" t="n">
        <v>44</v>
      </c>
      <c r="B48" s="3">
        <f>IF(MASTER_AR_REPORT!B177="","",MASTER_AR_REPORT!B177)</f>
        <v/>
      </c>
      <c r="C48" s="8">
        <f>MASTER_AR_REPORT!C177</f>
        <v/>
      </c>
      <c r="D48" s="3">
        <f>IF(MASTER_AR_REPORT!D177="","",MASTER_AR_REPORT!D177)</f>
        <v/>
      </c>
      <c r="E48" s="3">
        <f>IF(MASTER_AR_REPORT!E177="","",MASTER_AR_REPORT!E177)</f>
        <v/>
      </c>
      <c r="F48" s="4">
        <f>MASTER_AR_REPORT!F177</f>
        <v/>
      </c>
      <c r="G48" s="8">
        <f>MASTER_AR_REPORT!G177</f>
        <v/>
      </c>
      <c r="H48" s="4">
        <f>MASTER_AR_REPORT!H177</f>
        <v/>
      </c>
      <c r="I48" s="4">
        <f>MASTER_AR_REPORT!I177</f>
        <v/>
      </c>
      <c r="J48" s="3">
        <f>MASTER_AR_REPORT!J177</f>
        <v/>
      </c>
      <c r="K48" s="3">
        <f>MASTER_AR_REPORT!K177</f>
        <v/>
      </c>
      <c r="L48" s="3">
        <f>MASTER_AR_REPORT!L177</f>
        <v/>
      </c>
      <c r="M48" s="3">
        <f>MASTER_AR_REPORT!M177</f>
        <v/>
      </c>
      <c r="N48" s="3">
        <f>MASTER_AR_REPORT!N177</f>
        <v/>
      </c>
      <c r="O48" s="3">
        <f>MASTER_AR_REPORT!O177</f>
        <v/>
      </c>
    </row>
    <row r="49">
      <c r="A49" s="1" t="n">
        <v>45</v>
      </c>
      <c r="B49" s="1">
        <f>IF(MASTER_AR_REPORT!B178="","",MASTER_AR_REPORT!B178)</f>
        <v/>
      </c>
      <c r="C49" s="9">
        <f>MASTER_AR_REPORT!C178</f>
        <v/>
      </c>
      <c r="D49" s="1">
        <f>IF(MASTER_AR_REPORT!D178="","",MASTER_AR_REPORT!D178)</f>
        <v/>
      </c>
      <c r="E49" s="1">
        <f>IF(MASTER_AR_REPORT!E178="","",MASTER_AR_REPORT!E178)</f>
        <v/>
      </c>
      <c r="F49" s="2">
        <f>MASTER_AR_REPORT!F178</f>
        <v/>
      </c>
      <c r="G49" s="9">
        <f>MASTER_AR_REPORT!G178</f>
        <v/>
      </c>
      <c r="H49" s="2">
        <f>MASTER_AR_REPORT!H178</f>
        <v/>
      </c>
      <c r="I49" s="2">
        <f>MASTER_AR_REPORT!I178</f>
        <v/>
      </c>
      <c r="J49" s="1">
        <f>MASTER_AR_REPORT!J178</f>
        <v/>
      </c>
      <c r="K49" s="1">
        <f>MASTER_AR_REPORT!K178</f>
        <v/>
      </c>
      <c r="L49" s="1">
        <f>MASTER_AR_REPORT!L178</f>
        <v/>
      </c>
      <c r="M49" s="1">
        <f>MASTER_AR_REPORT!M178</f>
        <v/>
      </c>
      <c r="N49" s="1">
        <f>MASTER_AR_REPORT!N178</f>
        <v/>
      </c>
      <c r="O49" s="1">
        <f>MASTER_AR_REPORT!O178</f>
        <v/>
      </c>
    </row>
    <row r="50">
      <c r="A50" s="3" t="n">
        <v>46</v>
      </c>
      <c r="B50" s="3">
        <f>IF(MASTER_AR_REPORT!B179="","",MASTER_AR_REPORT!B179)</f>
        <v/>
      </c>
      <c r="C50" s="8">
        <f>MASTER_AR_REPORT!C179</f>
        <v/>
      </c>
      <c r="D50" s="3">
        <f>IF(MASTER_AR_REPORT!D179="","",MASTER_AR_REPORT!D179)</f>
        <v/>
      </c>
      <c r="E50" s="3">
        <f>IF(MASTER_AR_REPORT!E179="","",MASTER_AR_REPORT!E179)</f>
        <v/>
      </c>
      <c r="F50" s="4">
        <f>MASTER_AR_REPORT!F179</f>
        <v/>
      </c>
      <c r="G50" s="8">
        <f>MASTER_AR_REPORT!G179</f>
        <v/>
      </c>
      <c r="H50" s="4">
        <f>MASTER_AR_REPORT!H179</f>
        <v/>
      </c>
      <c r="I50" s="4">
        <f>MASTER_AR_REPORT!I179</f>
        <v/>
      </c>
      <c r="J50" s="3">
        <f>MASTER_AR_REPORT!J179</f>
        <v/>
      </c>
      <c r="K50" s="3">
        <f>MASTER_AR_REPORT!K179</f>
        <v/>
      </c>
      <c r="L50" s="3">
        <f>MASTER_AR_REPORT!L179</f>
        <v/>
      </c>
      <c r="M50" s="3">
        <f>MASTER_AR_REPORT!M179</f>
        <v/>
      </c>
      <c r="N50" s="3">
        <f>MASTER_AR_REPORT!N179</f>
        <v/>
      </c>
      <c r="O50" s="3">
        <f>MASTER_AR_REPORT!O179</f>
        <v/>
      </c>
    </row>
    <row r="51">
      <c r="A51" s="1" t="n">
        <v>47</v>
      </c>
      <c r="B51" s="1">
        <f>IF(MASTER_AR_REPORT!B180="","",MASTER_AR_REPORT!B180)</f>
        <v/>
      </c>
      <c r="C51" s="9">
        <f>MASTER_AR_REPORT!C180</f>
        <v/>
      </c>
      <c r="D51" s="1">
        <f>IF(MASTER_AR_REPORT!D180="","",MASTER_AR_REPORT!D180)</f>
        <v/>
      </c>
      <c r="E51" s="1">
        <f>IF(MASTER_AR_REPORT!E180="","",MASTER_AR_REPORT!E180)</f>
        <v/>
      </c>
      <c r="F51" s="2">
        <f>MASTER_AR_REPORT!F180</f>
        <v/>
      </c>
      <c r="G51" s="9">
        <f>MASTER_AR_REPORT!G180</f>
        <v/>
      </c>
      <c r="H51" s="2">
        <f>MASTER_AR_REPORT!H180</f>
        <v/>
      </c>
      <c r="I51" s="2">
        <f>MASTER_AR_REPORT!I180</f>
        <v/>
      </c>
      <c r="J51" s="1">
        <f>MASTER_AR_REPORT!J180</f>
        <v/>
      </c>
      <c r="K51" s="1">
        <f>MASTER_AR_REPORT!K180</f>
        <v/>
      </c>
      <c r="L51" s="1">
        <f>MASTER_AR_REPORT!L180</f>
        <v/>
      </c>
      <c r="M51" s="1">
        <f>MASTER_AR_REPORT!M180</f>
        <v/>
      </c>
      <c r="N51" s="1">
        <f>MASTER_AR_REPORT!N180</f>
        <v/>
      </c>
      <c r="O51" s="1">
        <f>MASTER_AR_REPORT!O180</f>
        <v/>
      </c>
    </row>
    <row r="52">
      <c r="A52" s="3" t="n">
        <v>48</v>
      </c>
      <c r="B52" s="3">
        <f>IF(MASTER_AR_REPORT!B181="","",MASTER_AR_REPORT!B181)</f>
        <v/>
      </c>
      <c r="C52" s="8">
        <f>MASTER_AR_REPORT!C181</f>
        <v/>
      </c>
      <c r="D52" s="3">
        <f>IF(MASTER_AR_REPORT!D181="","",MASTER_AR_REPORT!D181)</f>
        <v/>
      </c>
      <c r="E52" s="3">
        <f>IF(MASTER_AR_REPORT!E181="","",MASTER_AR_REPORT!E181)</f>
        <v/>
      </c>
      <c r="F52" s="4">
        <f>MASTER_AR_REPORT!F181</f>
        <v/>
      </c>
      <c r="G52" s="8">
        <f>MASTER_AR_REPORT!G181</f>
        <v/>
      </c>
      <c r="H52" s="4">
        <f>MASTER_AR_REPORT!H181</f>
        <v/>
      </c>
      <c r="I52" s="4">
        <f>MASTER_AR_REPORT!I181</f>
        <v/>
      </c>
      <c r="J52" s="3">
        <f>MASTER_AR_REPORT!J181</f>
        <v/>
      </c>
      <c r="K52" s="3">
        <f>MASTER_AR_REPORT!K181</f>
        <v/>
      </c>
      <c r="L52" s="3">
        <f>MASTER_AR_REPORT!L181</f>
        <v/>
      </c>
      <c r="M52" s="3">
        <f>MASTER_AR_REPORT!M181</f>
        <v/>
      </c>
      <c r="N52" s="3">
        <f>MASTER_AR_REPORT!N181</f>
        <v/>
      </c>
      <c r="O52" s="3">
        <f>MASTER_AR_REPORT!O181</f>
        <v/>
      </c>
    </row>
    <row r="53">
      <c r="A53" s="1" t="n">
        <v>49</v>
      </c>
      <c r="B53" s="1">
        <f>IF(MASTER_AR_REPORT!B182="","",MASTER_AR_REPORT!B182)</f>
        <v/>
      </c>
      <c r="C53" s="9">
        <f>MASTER_AR_REPORT!C182</f>
        <v/>
      </c>
      <c r="D53" s="1">
        <f>IF(MASTER_AR_REPORT!D182="","",MASTER_AR_REPORT!D182)</f>
        <v/>
      </c>
      <c r="E53" s="1">
        <f>IF(MASTER_AR_REPORT!E182="","",MASTER_AR_REPORT!E182)</f>
        <v/>
      </c>
      <c r="F53" s="2">
        <f>MASTER_AR_REPORT!F182</f>
        <v/>
      </c>
      <c r="G53" s="9">
        <f>MASTER_AR_REPORT!G182</f>
        <v/>
      </c>
      <c r="H53" s="2">
        <f>MASTER_AR_REPORT!H182</f>
        <v/>
      </c>
      <c r="I53" s="2">
        <f>MASTER_AR_REPORT!I182</f>
        <v/>
      </c>
      <c r="J53" s="1">
        <f>MASTER_AR_REPORT!J182</f>
        <v/>
      </c>
      <c r="K53" s="1">
        <f>MASTER_AR_REPORT!K182</f>
        <v/>
      </c>
      <c r="L53" s="1">
        <f>MASTER_AR_REPORT!L182</f>
        <v/>
      </c>
      <c r="M53" s="1">
        <f>MASTER_AR_REPORT!M182</f>
        <v/>
      </c>
      <c r="N53" s="1">
        <f>MASTER_AR_REPORT!N182</f>
        <v/>
      </c>
      <c r="O53" s="1">
        <f>MASTER_AR_REPORT!O182</f>
        <v/>
      </c>
    </row>
    <row r="54">
      <c r="A54" s="3" t="n">
        <v>50</v>
      </c>
      <c r="B54" s="3">
        <f>IF(MASTER_AR_REPORT!B183="","",MASTER_AR_REPORT!B183)</f>
        <v/>
      </c>
      <c r="C54" s="8">
        <f>MASTER_AR_REPORT!C183</f>
        <v/>
      </c>
      <c r="D54" s="3">
        <f>IF(MASTER_AR_REPORT!D183="","",MASTER_AR_REPORT!D183)</f>
        <v/>
      </c>
      <c r="E54" s="3">
        <f>IF(MASTER_AR_REPORT!E183="","",MASTER_AR_REPORT!E183)</f>
        <v/>
      </c>
      <c r="F54" s="4">
        <f>MASTER_AR_REPORT!F183</f>
        <v/>
      </c>
      <c r="G54" s="8">
        <f>MASTER_AR_REPORT!G183</f>
        <v/>
      </c>
      <c r="H54" s="4">
        <f>MASTER_AR_REPORT!H183</f>
        <v/>
      </c>
      <c r="I54" s="4">
        <f>MASTER_AR_REPORT!I183</f>
        <v/>
      </c>
      <c r="J54" s="3">
        <f>MASTER_AR_REPORT!J183</f>
        <v/>
      </c>
      <c r="K54" s="3">
        <f>MASTER_AR_REPORT!K183</f>
        <v/>
      </c>
      <c r="L54" s="3">
        <f>MASTER_AR_REPORT!L183</f>
        <v/>
      </c>
      <c r="M54" s="3">
        <f>MASTER_AR_REPORT!M183</f>
        <v/>
      </c>
      <c r="N54" s="3">
        <f>MASTER_AR_REPORT!N183</f>
        <v/>
      </c>
      <c r="O54" s="3">
        <f>MASTER_AR_REPORT!O183</f>
        <v/>
      </c>
    </row>
    <row r="55">
      <c r="A55" s="1" t="n">
        <v>51</v>
      </c>
      <c r="B55" s="1">
        <f>IF(MASTER_AR_REPORT!B184="","",MASTER_AR_REPORT!B184)</f>
        <v/>
      </c>
      <c r="C55" s="9">
        <f>MASTER_AR_REPORT!C184</f>
        <v/>
      </c>
      <c r="D55" s="1">
        <f>IF(MASTER_AR_REPORT!D184="","",MASTER_AR_REPORT!D184)</f>
        <v/>
      </c>
      <c r="E55" s="1">
        <f>IF(MASTER_AR_REPORT!E184="","",MASTER_AR_REPORT!E184)</f>
        <v/>
      </c>
      <c r="F55" s="2">
        <f>MASTER_AR_REPORT!F184</f>
        <v/>
      </c>
      <c r="G55" s="9">
        <f>MASTER_AR_REPORT!G184</f>
        <v/>
      </c>
      <c r="H55" s="2">
        <f>MASTER_AR_REPORT!H184</f>
        <v/>
      </c>
      <c r="I55" s="2">
        <f>MASTER_AR_REPORT!I184</f>
        <v/>
      </c>
      <c r="J55" s="1">
        <f>MASTER_AR_REPORT!J184</f>
        <v/>
      </c>
      <c r="K55" s="1">
        <f>MASTER_AR_REPORT!K184</f>
        <v/>
      </c>
      <c r="L55" s="1">
        <f>MASTER_AR_REPORT!L184</f>
        <v/>
      </c>
      <c r="M55" s="1">
        <f>MASTER_AR_REPORT!M184</f>
        <v/>
      </c>
      <c r="N55" s="1">
        <f>MASTER_AR_REPORT!N184</f>
        <v/>
      </c>
      <c r="O55" s="1">
        <f>MASTER_AR_REPORT!O184</f>
        <v/>
      </c>
    </row>
    <row r="56">
      <c r="A56" s="3" t="n">
        <v>52</v>
      </c>
      <c r="B56" s="3">
        <f>IF(MASTER_AR_REPORT!B185="","",MASTER_AR_REPORT!B185)</f>
        <v/>
      </c>
      <c r="C56" s="8">
        <f>MASTER_AR_REPORT!C185</f>
        <v/>
      </c>
      <c r="D56" s="3">
        <f>IF(MASTER_AR_REPORT!D185="","",MASTER_AR_REPORT!D185)</f>
        <v/>
      </c>
      <c r="E56" s="3">
        <f>IF(MASTER_AR_REPORT!E185="","",MASTER_AR_REPORT!E185)</f>
        <v/>
      </c>
      <c r="F56" s="4">
        <f>MASTER_AR_REPORT!F185</f>
        <v/>
      </c>
      <c r="G56" s="8">
        <f>MASTER_AR_REPORT!G185</f>
        <v/>
      </c>
      <c r="H56" s="4">
        <f>MASTER_AR_REPORT!H185</f>
        <v/>
      </c>
      <c r="I56" s="4">
        <f>MASTER_AR_REPORT!I185</f>
        <v/>
      </c>
      <c r="J56" s="3">
        <f>MASTER_AR_REPORT!J185</f>
        <v/>
      </c>
      <c r="K56" s="3">
        <f>MASTER_AR_REPORT!K185</f>
        <v/>
      </c>
      <c r="L56" s="3">
        <f>MASTER_AR_REPORT!L185</f>
        <v/>
      </c>
      <c r="M56" s="3">
        <f>MASTER_AR_REPORT!M185</f>
        <v/>
      </c>
      <c r="N56" s="3">
        <f>MASTER_AR_REPORT!N185</f>
        <v/>
      </c>
      <c r="O56" s="3">
        <f>MASTER_AR_REPORT!O185</f>
        <v/>
      </c>
    </row>
    <row r="57">
      <c r="A57" s="1" t="n">
        <v>53</v>
      </c>
      <c r="B57" s="1">
        <f>IF(MASTER_AR_REPORT!B186="","",MASTER_AR_REPORT!B186)</f>
        <v/>
      </c>
      <c r="C57" s="9">
        <f>MASTER_AR_REPORT!C186</f>
        <v/>
      </c>
      <c r="D57" s="1">
        <f>IF(MASTER_AR_REPORT!D186="","",MASTER_AR_REPORT!D186)</f>
        <v/>
      </c>
      <c r="E57" s="1">
        <f>IF(MASTER_AR_REPORT!E186="","",MASTER_AR_REPORT!E186)</f>
        <v/>
      </c>
      <c r="F57" s="2">
        <f>MASTER_AR_REPORT!F186</f>
        <v/>
      </c>
      <c r="G57" s="9">
        <f>MASTER_AR_REPORT!G186</f>
        <v/>
      </c>
      <c r="H57" s="2">
        <f>MASTER_AR_REPORT!H186</f>
        <v/>
      </c>
      <c r="I57" s="2">
        <f>MASTER_AR_REPORT!I186</f>
        <v/>
      </c>
      <c r="J57" s="1">
        <f>MASTER_AR_REPORT!J186</f>
        <v/>
      </c>
      <c r="K57" s="1">
        <f>MASTER_AR_REPORT!K186</f>
        <v/>
      </c>
      <c r="L57" s="1">
        <f>MASTER_AR_REPORT!L186</f>
        <v/>
      </c>
      <c r="M57" s="1">
        <f>MASTER_AR_REPORT!M186</f>
        <v/>
      </c>
      <c r="N57" s="1">
        <f>MASTER_AR_REPORT!N186</f>
        <v/>
      </c>
      <c r="O57" s="1">
        <f>MASTER_AR_REPORT!O186</f>
        <v/>
      </c>
    </row>
    <row r="58">
      <c r="A58" s="3" t="n">
        <v>54</v>
      </c>
      <c r="B58" s="3">
        <f>IF(MASTER_AR_REPORT!B187="","",MASTER_AR_REPORT!B187)</f>
        <v/>
      </c>
      <c r="C58" s="8">
        <f>MASTER_AR_REPORT!C187</f>
        <v/>
      </c>
      <c r="D58" s="3">
        <f>IF(MASTER_AR_REPORT!D187="","",MASTER_AR_REPORT!D187)</f>
        <v/>
      </c>
      <c r="E58" s="3">
        <f>IF(MASTER_AR_REPORT!E187="","",MASTER_AR_REPORT!E187)</f>
        <v/>
      </c>
      <c r="F58" s="4">
        <f>MASTER_AR_REPORT!F187</f>
        <v/>
      </c>
      <c r="G58" s="8">
        <f>MASTER_AR_REPORT!G187</f>
        <v/>
      </c>
      <c r="H58" s="4">
        <f>MASTER_AR_REPORT!H187</f>
        <v/>
      </c>
      <c r="I58" s="4">
        <f>MASTER_AR_REPORT!I187</f>
        <v/>
      </c>
      <c r="J58" s="3">
        <f>MASTER_AR_REPORT!J187</f>
        <v/>
      </c>
      <c r="K58" s="3">
        <f>MASTER_AR_REPORT!K187</f>
        <v/>
      </c>
      <c r="L58" s="3">
        <f>MASTER_AR_REPORT!L187</f>
        <v/>
      </c>
      <c r="M58" s="3">
        <f>MASTER_AR_REPORT!M187</f>
        <v/>
      </c>
      <c r="N58" s="3">
        <f>MASTER_AR_REPORT!N187</f>
        <v/>
      </c>
      <c r="O58" s="3">
        <f>MASTER_AR_REPORT!O187</f>
        <v/>
      </c>
    </row>
    <row r="59">
      <c r="A59" s="1" t="n">
        <v>55</v>
      </c>
      <c r="B59" s="1">
        <f>IF(MASTER_AR_REPORT!B188="","",MASTER_AR_REPORT!B188)</f>
        <v/>
      </c>
      <c r="C59" s="9">
        <f>MASTER_AR_REPORT!C188</f>
        <v/>
      </c>
      <c r="D59" s="1">
        <f>IF(MASTER_AR_REPORT!D188="","",MASTER_AR_REPORT!D188)</f>
        <v/>
      </c>
      <c r="E59" s="1">
        <f>IF(MASTER_AR_REPORT!E188="","",MASTER_AR_REPORT!E188)</f>
        <v/>
      </c>
      <c r="F59" s="2">
        <f>MASTER_AR_REPORT!F188</f>
        <v/>
      </c>
      <c r="G59" s="9">
        <f>MASTER_AR_REPORT!G188</f>
        <v/>
      </c>
      <c r="H59" s="2">
        <f>MASTER_AR_REPORT!H188</f>
        <v/>
      </c>
      <c r="I59" s="2">
        <f>MASTER_AR_REPORT!I188</f>
        <v/>
      </c>
      <c r="J59" s="1">
        <f>MASTER_AR_REPORT!J188</f>
        <v/>
      </c>
      <c r="K59" s="1">
        <f>MASTER_AR_REPORT!K188</f>
        <v/>
      </c>
      <c r="L59" s="1">
        <f>MASTER_AR_REPORT!L188</f>
        <v/>
      </c>
      <c r="M59" s="1">
        <f>MASTER_AR_REPORT!M188</f>
        <v/>
      </c>
      <c r="N59" s="1">
        <f>MASTER_AR_REPORT!N188</f>
        <v/>
      </c>
      <c r="O59" s="1">
        <f>MASTER_AR_REPORT!O188</f>
        <v/>
      </c>
    </row>
    <row r="60">
      <c r="A60" s="3" t="n">
        <v>56</v>
      </c>
      <c r="B60" s="3">
        <f>IF(MASTER_AR_REPORT!B189="","",MASTER_AR_REPORT!B189)</f>
        <v/>
      </c>
      <c r="C60" s="8">
        <f>MASTER_AR_REPORT!C189</f>
        <v/>
      </c>
      <c r="D60" s="3">
        <f>IF(MASTER_AR_REPORT!D189="","",MASTER_AR_REPORT!D189)</f>
        <v/>
      </c>
      <c r="E60" s="3">
        <f>IF(MASTER_AR_REPORT!E189="","",MASTER_AR_REPORT!E189)</f>
        <v/>
      </c>
      <c r="F60" s="4">
        <f>MASTER_AR_REPORT!F189</f>
        <v/>
      </c>
      <c r="G60" s="8">
        <f>MASTER_AR_REPORT!G189</f>
        <v/>
      </c>
      <c r="H60" s="4">
        <f>MASTER_AR_REPORT!H189</f>
        <v/>
      </c>
      <c r="I60" s="4">
        <f>MASTER_AR_REPORT!I189</f>
        <v/>
      </c>
      <c r="J60" s="3">
        <f>MASTER_AR_REPORT!J189</f>
        <v/>
      </c>
      <c r="K60" s="3">
        <f>MASTER_AR_REPORT!K189</f>
        <v/>
      </c>
      <c r="L60" s="3">
        <f>MASTER_AR_REPORT!L189</f>
        <v/>
      </c>
      <c r="M60" s="3">
        <f>MASTER_AR_REPORT!M189</f>
        <v/>
      </c>
      <c r="N60" s="3">
        <f>MASTER_AR_REPORT!N189</f>
        <v/>
      </c>
      <c r="O60" s="3">
        <f>MASTER_AR_REPORT!O189</f>
        <v/>
      </c>
    </row>
    <row r="61">
      <c r="A61" s="1" t="n">
        <v>57</v>
      </c>
      <c r="B61" s="1">
        <f>IF(MASTER_AR_REPORT!B190="","",MASTER_AR_REPORT!B190)</f>
        <v/>
      </c>
      <c r="C61" s="9">
        <f>MASTER_AR_REPORT!C190</f>
        <v/>
      </c>
      <c r="D61" s="1">
        <f>IF(MASTER_AR_REPORT!D190="","",MASTER_AR_REPORT!D190)</f>
        <v/>
      </c>
      <c r="E61" s="1">
        <f>IF(MASTER_AR_REPORT!E190="","",MASTER_AR_REPORT!E190)</f>
        <v/>
      </c>
      <c r="F61" s="2">
        <f>MASTER_AR_REPORT!F190</f>
        <v/>
      </c>
      <c r="G61" s="9">
        <f>MASTER_AR_REPORT!G190</f>
        <v/>
      </c>
      <c r="H61" s="2">
        <f>MASTER_AR_REPORT!H190</f>
        <v/>
      </c>
      <c r="I61" s="2">
        <f>MASTER_AR_REPORT!I190</f>
        <v/>
      </c>
      <c r="J61" s="1">
        <f>MASTER_AR_REPORT!J190</f>
        <v/>
      </c>
      <c r="K61" s="1">
        <f>MASTER_AR_REPORT!K190</f>
        <v/>
      </c>
      <c r="L61" s="1">
        <f>MASTER_AR_REPORT!L190</f>
        <v/>
      </c>
      <c r="M61" s="1">
        <f>MASTER_AR_REPORT!M190</f>
        <v/>
      </c>
      <c r="N61" s="1">
        <f>MASTER_AR_REPORT!N190</f>
        <v/>
      </c>
      <c r="O61" s="1">
        <f>MASTER_AR_REPORT!O190</f>
        <v/>
      </c>
    </row>
    <row r="62">
      <c r="A62" s="3" t="n">
        <v>58</v>
      </c>
      <c r="B62" s="3">
        <f>IF(MASTER_AR_REPORT!B191="","",MASTER_AR_REPORT!B191)</f>
        <v/>
      </c>
      <c r="C62" s="8">
        <f>MASTER_AR_REPORT!C191</f>
        <v/>
      </c>
      <c r="D62" s="3">
        <f>IF(MASTER_AR_REPORT!D191="","",MASTER_AR_REPORT!D191)</f>
        <v/>
      </c>
      <c r="E62" s="3">
        <f>IF(MASTER_AR_REPORT!E191="","",MASTER_AR_REPORT!E191)</f>
        <v/>
      </c>
      <c r="F62" s="4">
        <f>MASTER_AR_REPORT!F191</f>
        <v/>
      </c>
      <c r="G62" s="8">
        <f>MASTER_AR_REPORT!G191</f>
        <v/>
      </c>
      <c r="H62" s="4">
        <f>MASTER_AR_REPORT!H191</f>
        <v/>
      </c>
      <c r="I62" s="4">
        <f>MASTER_AR_REPORT!I191</f>
        <v/>
      </c>
      <c r="J62" s="3">
        <f>MASTER_AR_REPORT!J191</f>
        <v/>
      </c>
      <c r="K62" s="3">
        <f>MASTER_AR_REPORT!K191</f>
        <v/>
      </c>
      <c r="L62" s="3">
        <f>MASTER_AR_REPORT!L191</f>
        <v/>
      </c>
      <c r="M62" s="3">
        <f>MASTER_AR_REPORT!M191</f>
        <v/>
      </c>
      <c r="N62" s="3">
        <f>MASTER_AR_REPORT!N191</f>
        <v/>
      </c>
      <c r="O62" s="3">
        <f>MASTER_AR_REPORT!O191</f>
        <v/>
      </c>
    </row>
    <row r="63">
      <c r="A63" s="1" t="n">
        <v>59</v>
      </c>
      <c r="B63" s="1">
        <f>IF(MASTER_AR_REPORT!B192="","",MASTER_AR_REPORT!B192)</f>
        <v/>
      </c>
      <c r="C63" s="9">
        <f>MASTER_AR_REPORT!C192</f>
        <v/>
      </c>
      <c r="D63" s="1">
        <f>IF(MASTER_AR_REPORT!D192="","",MASTER_AR_REPORT!D192)</f>
        <v/>
      </c>
      <c r="E63" s="1">
        <f>IF(MASTER_AR_REPORT!E192="","",MASTER_AR_REPORT!E192)</f>
        <v/>
      </c>
      <c r="F63" s="2">
        <f>MASTER_AR_REPORT!F192</f>
        <v/>
      </c>
      <c r="G63" s="9">
        <f>MASTER_AR_REPORT!G192</f>
        <v/>
      </c>
      <c r="H63" s="2">
        <f>MASTER_AR_REPORT!H192</f>
        <v/>
      </c>
      <c r="I63" s="2">
        <f>MASTER_AR_REPORT!I192</f>
        <v/>
      </c>
      <c r="J63" s="1">
        <f>MASTER_AR_REPORT!J192</f>
        <v/>
      </c>
      <c r="K63" s="1">
        <f>MASTER_AR_REPORT!K192</f>
        <v/>
      </c>
      <c r="L63" s="1">
        <f>MASTER_AR_REPORT!L192</f>
        <v/>
      </c>
      <c r="M63" s="1">
        <f>MASTER_AR_REPORT!M192</f>
        <v/>
      </c>
      <c r="N63" s="1">
        <f>MASTER_AR_REPORT!N192</f>
        <v/>
      </c>
      <c r="O63" s="1">
        <f>MASTER_AR_REPORT!O192</f>
        <v/>
      </c>
    </row>
    <row r="64">
      <c r="A64" s="3" t="n">
        <v>60</v>
      </c>
      <c r="B64" s="3">
        <f>IF(MASTER_AR_REPORT!B193="","",MASTER_AR_REPORT!B193)</f>
        <v/>
      </c>
      <c r="C64" s="8">
        <f>MASTER_AR_REPORT!C193</f>
        <v/>
      </c>
      <c r="D64" s="3">
        <f>IF(MASTER_AR_REPORT!D193="","",MASTER_AR_REPORT!D193)</f>
        <v/>
      </c>
      <c r="E64" s="3">
        <f>IF(MASTER_AR_REPORT!E193="","",MASTER_AR_REPORT!E193)</f>
        <v/>
      </c>
      <c r="F64" s="4">
        <f>MASTER_AR_REPORT!F193</f>
        <v/>
      </c>
      <c r="G64" s="8">
        <f>MASTER_AR_REPORT!G193</f>
        <v/>
      </c>
      <c r="H64" s="4">
        <f>MASTER_AR_REPORT!H193</f>
        <v/>
      </c>
      <c r="I64" s="4">
        <f>MASTER_AR_REPORT!I193</f>
        <v/>
      </c>
      <c r="J64" s="3">
        <f>MASTER_AR_REPORT!J193</f>
        <v/>
      </c>
      <c r="K64" s="3">
        <f>MASTER_AR_REPORT!K193</f>
        <v/>
      </c>
      <c r="L64" s="3">
        <f>MASTER_AR_REPORT!L193</f>
        <v/>
      </c>
      <c r="M64" s="3">
        <f>MASTER_AR_REPORT!M193</f>
        <v/>
      </c>
      <c r="N64" s="3">
        <f>MASTER_AR_REPORT!N193</f>
        <v/>
      </c>
      <c r="O64" s="3">
        <f>MASTER_AR_REPORT!O193</f>
        <v/>
      </c>
    </row>
    <row r="65">
      <c r="A65" s="1" t="n">
        <v>61</v>
      </c>
      <c r="B65" s="1">
        <f>IF(MASTER_AR_REPORT!B194="","",MASTER_AR_REPORT!B194)</f>
        <v/>
      </c>
      <c r="C65" s="9">
        <f>MASTER_AR_REPORT!C194</f>
        <v/>
      </c>
      <c r="D65" s="1">
        <f>IF(MASTER_AR_REPORT!D194="","",MASTER_AR_REPORT!D194)</f>
        <v/>
      </c>
      <c r="E65" s="1">
        <f>IF(MASTER_AR_REPORT!E194="","",MASTER_AR_REPORT!E194)</f>
        <v/>
      </c>
      <c r="F65" s="2">
        <f>MASTER_AR_REPORT!F194</f>
        <v/>
      </c>
      <c r="G65" s="9">
        <f>MASTER_AR_REPORT!G194</f>
        <v/>
      </c>
      <c r="H65" s="2">
        <f>MASTER_AR_REPORT!H194</f>
        <v/>
      </c>
      <c r="I65" s="2">
        <f>MASTER_AR_REPORT!I194</f>
        <v/>
      </c>
      <c r="J65" s="1">
        <f>MASTER_AR_REPORT!J194</f>
        <v/>
      </c>
      <c r="K65" s="1">
        <f>MASTER_AR_REPORT!K194</f>
        <v/>
      </c>
      <c r="L65" s="1">
        <f>MASTER_AR_REPORT!L194</f>
        <v/>
      </c>
      <c r="M65" s="1">
        <f>MASTER_AR_REPORT!M194</f>
        <v/>
      </c>
      <c r="N65" s="1">
        <f>MASTER_AR_REPORT!N194</f>
        <v/>
      </c>
      <c r="O65" s="1">
        <f>MASTER_AR_REPORT!O194</f>
        <v/>
      </c>
    </row>
    <row r="66">
      <c r="A66" s="3" t="n">
        <v>62</v>
      </c>
      <c r="B66" s="3">
        <f>IF(MASTER_AR_REPORT!B195="","",MASTER_AR_REPORT!B195)</f>
        <v/>
      </c>
      <c r="C66" s="8">
        <f>MASTER_AR_REPORT!C195</f>
        <v/>
      </c>
      <c r="D66" s="3">
        <f>IF(MASTER_AR_REPORT!D195="","",MASTER_AR_REPORT!D195)</f>
        <v/>
      </c>
      <c r="E66" s="3">
        <f>IF(MASTER_AR_REPORT!E195="","",MASTER_AR_REPORT!E195)</f>
        <v/>
      </c>
      <c r="F66" s="4">
        <f>MASTER_AR_REPORT!F195</f>
        <v/>
      </c>
      <c r="G66" s="8">
        <f>MASTER_AR_REPORT!G195</f>
        <v/>
      </c>
      <c r="H66" s="4">
        <f>MASTER_AR_REPORT!H195</f>
        <v/>
      </c>
      <c r="I66" s="4">
        <f>MASTER_AR_REPORT!I195</f>
        <v/>
      </c>
      <c r="J66" s="3">
        <f>MASTER_AR_REPORT!J195</f>
        <v/>
      </c>
      <c r="K66" s="3">
        <f>MASTER_AR_REPORT!K195</f>
        <v/>
      </c>
      <c r="L66" s="3">
        <f>MASTER_AR_REPORT!L195</f>
        <v/>
      </c>
      <c r="M66" s="3">
        <f>MASTER_AR_REPORT!M195</f>
        <v/>
      </c>
      <c r="N66" s="3">
        <f>MASTER_AR_REPORT!N195</f>
        <v/>
      </c>
      <c r="O66" s="3">
        <f>MASTER_AR_REPORT!O195</f>
        <v/>
      </c>
    </row>
    <row r="67">
      <c r="A67" s="1" t="n">
        <v>63</v>
      </c>
      <c r="B67" s="1">
        <f>IF(MASTER_AR_REPORT!B196="","",MASTER_AR_REPORT!B196)</f>
        <v/>
      </c>
      <c r="C67" s="9">
        <f>MASTER_AR_REPORT!C196</f>
        <v/>
      </c>
      <c r="D67" s="1">
        <f>IF(MASTER_AR_REPORT!D196="","",MASTER_AR_REPORT!D196)</f>
        <v/>
      </c>
      <c r="E67" s="1">
        <f>IF(MASTER_AR_REPORT!E196="","",MASTER_AR_REPORT!E196)</f>
        <v/>
      </c>
      <c r="F67" s="2">
        <f>MASTER_AR_REPORT!F196</f>
        <v/>
      </c>
      <c r="G67" s="9">
        <f>MASTER_AR_REPORT!G196</f>
        <v/>
      </c>
      <c r="H67" s="2">
        <f>MASTER_AR_REPORT!H196</f>
        <v/>
      </c>
      <c r="I67" s="2">
        <f>MASTER_AR_REPORT!I196</f>
        <v/>
      </c>
      <c r="J67" s="1">
        <f>MASTER_AR_REPORT!J196</f>
        <v/>
      </c>
      <c r="K67" s="1">
        <f>MASTER_AR_REPORT!K196</f>
        <v/>
      </c>
      <c r="L67" s="1">
        <f>MASTER_AR_REPORT!L196</f>
        <v/>
      </c>
      <c r="M67" s="1">
        <f>MASTER_AR_REPORT!M196</f>
        <v/>
      </c>
      <c r="N67" s="1">
        <f>MASTER_AR_REPORT!N196</f>
        <v/>
      </c>
      <c r="O67" s="1">
        <f>MASTER_AR_REPORT!O196</f>
        <v/>
      </c>
    </row>
    <row r="68">
      <c r="A68" s="3" t="n">
        <v>64</v>
      </c>
      <c r="B68" s="3">
        <f>IF(MASTER_AR_REPORT!B197="","",MASTER_AR_REPORT!B197)</f>
        <v/>
      </c>
      <c r="C68" s="8">
        <f>MASTER_AR_REPORT!C197</f>
        <v/>
      </c>
      <c r="D68" s="3">
        <f>IF(MASTER_AR_REPORT!D197="","",MASTER_AR_REPORT!D197)</f>
        <v/>
      </c>
      <c r="E68" s="3">
        <f>IF(MASTER_AR_REPORT!E197="","",MASTER_AR_REPORT!E197)</f>
        <v/>
      </c>
      <c r="F68" s="4">
        <f>MASTER_AR_REPORT!F197</f>
        <v/>
      </c>
      <c r="G68" s="8">
        <f>MASTER_AR_REPORT!G197</f>
        <v/>
      </c>
      <c r="H68" s="4">
        <f>MASTER_AR_REPORT!H197</f>
        <v/>
      </c>
      <c r="I68" s="4">
        <f>MASTER_AR_REPORT!I197</f>
        <v/>
      </c>
      <c r="J68" s="3">
        <f>MASTER_AR_REPORT!J197</f>
        <v/>
      </c>
      <c r="K68" s="3">
        <f>MASTER_AR_REPORT!K197</f>
        <v/>
      </c>
      <c r="L68" s="3">
        <f>MASTER_AR_REPORT!L197</f>
        <v/>
      </c>
      <c r="M68" s="3">
        <f>MASTER_AR_REPORT!M197</f>
        <v/>
      </c>
      <c r="N68" s="3">
        <f>MASTER_AR_REPORT!N197</f>
        <v/>
      </c>
      <c r="O68" s="3">
        <f>MASTER_AR_REPORT!O197</f>
        <v/>
      </c>
    </row>
    <row r="69">
      <c r="A69" s="1" t="n">
        <v>65</v>
      </c>
      <c r="B69" s="1">
        <f>IF(MASTER_AR_REPORT!B198="","",MASTER_AR_REPORT!B198)</f>
        <v/>
      </c>
      <c r="C69" s="9">
        <f>MASTER_AR_REPORT!C198</f>
        <v/>
      </c>
      <c r="D69" s="1">
        <f>IF(MASTER_AR_REPORT!D198="","",MASTER_AR_REPORT!D198)</f>
        <v/>
      </c>
      <c r="E69" s="1">
        <f>IF(MASTER_AR_REPORT!E198="","",MASTER_AR_REPORT!E198)</f>
        <v/>
      </c>
      <c r="F69" s="2">
        <f>MASTER_AR_REPORT!F198</f>
        <v/>
      </c>
      <c r="G69" s="9">
        <f>MASTER_AR_REPORT!G198</f>
        <v/>
      </c>
      <c r="H69" s="2">
        <f>MASTER_AR_REPORT!H198</f>
        <v/>
      </c>
      <c r="I69" s="2">
        <f>MASTER_AR_REPORT!I198</f>
        <v/>
      </c>
      <c r="J69" s="1">
        <f>MASTER_AR_REPORT!J198</f>
        <v/>
      </c>
      <c r="K69" s="1">
        <f>MASTER_AR_REPORT!K198</f>
        <v/>
      </c>
      <c r="L69" s="1">
        <f>MASTER_AR_REPORT!L198</f>
        <v/>
      </c>
      <c r="M69" s="1">
        <f>MASTER_AR_REPORT!M198</f>
        <v/>
      </c>
      <c r="N69" s="1">
        <f>MASTER_AR_REPORT!N198</f>
        <v/>
      </c>
      <c r="O69" s="1">
        <f>MASTER_AR_REPORT!O198</f>
        <v/>
      </c>
    </row>
    <row r="70">
      <c r="A70" s="3" t="n">
        <v>66</v>
      </c>
      <c r="B70" s="3">
        <f>IF(MASTER_AR_REPORT!B199="","",MASTER_AR_REPORT!B199)</f>
        <v/>
      </c>
      <c r="C70" s="8">
        <f>MASTER_AR_REPORT!C199</f>
        <v/>
      </c>
      <c r="D70" s="3">
        <f>IF(MASTER_AR_REPORT!D199="","",MASTER_AR_REPORT!D199)</f>
        <v/>
      </c>
      <c r="E70" s="3">
        <f>IF(MASTER_AR_REPORT!E199="","",MASTER_AR_REPORT!E199)</f>
        <v/>
      </c>
      <c r="F70" s="4">
        <f>MASTER_AR_REPORT!F199</f>
        <v/>
      </c>
      <c r="G70" s="8">
        <f>MASTER_AR_REPORT!G199</f>
        <v/>
      </c>
      <c r="H70" s="4">
        <f>MASTER_AR_REPORT!H199</f>
        <v/>
      </c>
      <c r="I70" s="4">
        <f>MASTER_AR_REPORT!I199</f>
        <v/>
      </c>
      <c r="J70" s="3">
        <f>MASTER_AR_REPORT!J199</f>
        <v/>
      </c>
      <c r="K70" s="3">
        <f>MASTER_AR_REPORT!K199</f>
        <v/>
      </c>
      <c r="L70" s="3">
        <f>MASTER_AR_REPORT!L199</f>
        <v/>
      </c>
      <c r="M70" s="3">
        <f>MASTER_AR_REPORT!M199</f>
        <v/>
      </c>
      <c r="N70" s="3">
        <f>MASTER_AR_REPORT!N199</f>
        <v/>
      </c>
      <c r="O70" s="3">
        <f>MASTER_AR_REPORT!O199</f>
        <v/>
      </c>
    </row>
    <row r="71">
      <c r="A71" s="1" t="n">
        <v>67</v>
      </c>
      <c r="B71" s="1">
        <f>IF(MASTER_AR_REPORT!B200="","",MASTER_AR_REPORT!B200)</f>
        <v/>
      </c>
      <c r="C71" s="9">
        <f>MASTER_AR_REPORT!C200</f>
        <v/>
      </c>
      <c r="D71" s="1">
        <f>IF(MASTER_AR_REPORT!D200="","",MASTER_AR_REPORT!D200)</f>
        <v/>
      </c>
      <c r="E71" s="1">
        <f>IF(MASTER_AR_REPORT!E200="","",MASTER_AR_REPORT!E200)</f>
        <v/>
      </c>
      <c r="F71" s="2">
        <f>MASTER_AR_REPORT!F200</f>
        <v/>
      </c>
      <c r="G71" s="9">
        <f>MASTER_AR_REPORT!G200</f>
        <v/>
      </c>
      <c r="H71" s="2">
        <f>MASTER_AR_REPORT!H200</f>
        <v/>
      </c>
      <c r="I71" s="2">
        <f>MASTER_AR_REPORT!I200</f>
        <v/>
      </c>
      <c r="J71" s="1">
        <f>MASTER_AR_REPORT!J200</f>
        <v/>
      </c>
      <c r="K71" s="1">
        <f>MASTER_AR_REPORT!K200</f>
        <v/>
      </c>
      <c r="L71" s="1">
        <f>MASTER_AR_REPORT!L200</f>
        <v/>
      </c>
      <c r="M71" s="1">
        <f>MASTER_AR_REPORT!M200</f>
        <v/>
      </c>
      <c r="N71" s="1">
        <f>MASTER_AR_REPORT!N200</f>
        <v/>
      </c>
      <c r="O71" s="1">
        <f>MASTER_AR_REPORT!O200</f>
        <v/>
      </c>
    </row>
    <row r="72">
      <c r="A72" s="3" t="n">
        <v>68</v>
      </c>
      <c r="B72" s="3">
        <f>IF(MASTER_AR_REPORT!B201="","",MASTER_AR_REPORT!B201)</f>
        <v/>
      </c>
      <c r="C72" s="8">
        <f>MASTER_AR_REPORT!C201</f>
        <v/>
      </c>
      <c r="D72" s="3">
        <f>IF(MASTER_AR_REPORT!D201="","",MASTER_AR_REPORT!D201)</f>
        <v/>
      </c>
      <c r="E72" s="3">
        <f>IF(MASTER_AR_REPORT!E201="","",MASTER_AR_REPORT!E201)</f>
        <v/>
      </c>
      <c r="F72" s="4">
        <f>MASTER_AR_REPORT!F201</f>
        <v/>
      </c>
      <c r="G72" s="8">
        <f>MASTER_AR_REPORT!G201</f>
        <v/>
      </c>
      <c r="H72" s="4">
        <f>MASTER_AR_REPORT!H201</f>
        <v/>
      </c>
      <c r="I72" s="4">
        <f>MASTER_AR_REPORT!I201</f>
        <v/>
      </c>
      <c r="J72" s="3">
        <f>MASTER_AR_REPORT!J201</f>
        <v/>
      </c>
      <c r="K72" s="3">
        <f>MASTER_AR_REPORT!K201</f>
        <v/>
      </c>
      <c r="L72" s="3">
        <f>MASTER_AR_REPORT!L201</f>
        <v/>
      </c>
      <c r="M72" s="3">
        <f>MASTER_AR_REPORT!M201</f>
        <v/>
      </c>
      <c r="N72" s="3">
        <f>MASTER_AR_REPORT!N201</f>
        <v/>
      </c>
      <c r="O72" s="3">
        <f>MASTER_AR_REPORT!O201</f>
        <v/>
      </c>
    </row>
    <row r="73">
      <c r="A73" s="1" t="n">
        <v>69</v>
      </c>
      <c r="B73" s="1">
        <f>IF(MASTER_AR_REPORT!B202="","",MASTER_AR_REPORT!B202)</f>
        <v/>
      </c>
      <c r="C73" s="9">
        <f>MASTER_AR_REPORT!C202</f>
        <v/>
      </c>
      <c r="D73" s="1">
        <f>IF(MASTER_AR_REPORT!D202="","",MASTER_AR_REPORT!D202)</f>
        <v/>
      </c>
      <c r="E73" s="1">
        <f>IF(MASTER_AR_REPORT!E202="","",MASTER_AR_REPORT!E202)</f>
        <v/>
      </c>
      <c r="F73" s="2">
        <f>MASTER_AR_REPORT!F202</f>
        <v/>
      </c>
      <c r="G73" s="9">
        <f>MASTER_AR_REPORT!G202</f>
        <v/>
      </c>
      <c r="H73" s="2">
        <f>MASTER_AR_REPORT!H202</f>
        <v/>
      </c>
      <c r="I73" s="2">
        <f>MASTER_AR_REPORT!I202</f>
        <v/>
      </c>
      <c r="J73" s="1">
        <f>MASTER_AR_REPORT!J202</f>
        <v/>
      </c>
      <c r="K73" s="1">
        <f>MASTER_AR_REPORT!K202</f>
        <v/>
      </c>
      <c r="L73" s="1">
        <f>MASTER_AR_REPORT!L202</f>
        <v/>
      </c>
      <c r="M73" s="1">
        <f>MASTER_AR_REPORT!M202</f>
        <v/>
      </c>
      <c r="N73" s="1">
        <f>MASTER_AR_REPORT!N202</f>
        <v/>
      </c>
      <c r="O73" s="1">
        <f>MASTER_AR_REPORT!O202</f>
        <v/>
      </c>
    </row>
    <row r="74">
      <c r="A74" s="3" t="n">
        <v>70</v>
      </c>
      <c r="B74" s="3">
        <f>IF(MASTER_AR_REPORT!B203="","",MASTER_AR_REPORT!B203)</f>
        <v/>
      </c>
      <c r="C74" s="8">
        <f>MASTER_AR_REPORT!C203</f>
        <v/>
      </c>
      <c r="D74" s="3">
        <f>IF(MASTER_AR_REPORT!D203="","",MASTER_AR_REPORT!D203)</f>
        <v/>
      </c>
      <c r="E74" s="3">
        <f>IF(MASTER_AR_REPORT!E203="","",MASTER_AR_REPORT!E203)</f>
        <v/>
      </c>
      <c r="F74" s="4">
        <f>MASTER_AR_REPORT!F203</f>
        <v/>
      </c>
      <c r="G74" s="8">
        <f>MASTER_AR_REPORT!G203</f>
        <v/>
      </c>
      <c r="H74" s="4">
        <f>MASTER_AR_REPORT!H203</f>
        <v/>
      </c>
      <c r="I74" s="4">
        <f>MASTER_AR_REPORT!I203</f>
        <v/>
      </c>
      <c r="J74" s="3">
        <f>MASTER_AR_REPORT!J203</f>
        <v/>
      </c>
      <c r="K74" s="3">
        <f>MASTER_AR_REPORT!K203</f>
        <v/>
      </c>
      <c r="L74" s="3">
        <f>MASTER_AR_REPORT!L203</f>
        <v/>
      </c>
      <c r="M74" s="3">
        <f>MASTER_AR_REPORT!M203</f>
        <v/>
      </c>
      <c r="N74" s="3">
        <f>MASTER_AR_REPORT!N203</f>
        <v/>
      </c>
      <c r="O74" s="3">
        <f>MASTER_AR_REPORT!O203</f>
        <v/>
      </c>
    </row>
    <row r="75">
      <c r="A75" s="1" t="n">
        <v>71</v>
      </c>
      <c r="B75" s="1">
        <f>IF(MASTER_AR_REPORT!B204="","",MASTER_AR_REPORT!B204)</f>
        <v/>
      </c>
      <c r="C75" s="9">
        <f>MASTER_AR_REPORT!C204</f>
        <v/>
      </c>
      <c r="D75" s="1">
        <f>IF(MASTER_AR_REPORT!D204="","",MASTER_AR_REPORT!D204)</f>
        <v/>
      </c>
      <c r="E75" s="1">
        <f>IF(MASTER_AR_REPORT!E204="","",MASTER_AR_REPORT!E204)</f>
        <v/>
      </c>
      <c r="F75" s="2">
        <f>MASTER_AR_REPORT!F204</f>
        <v/>
      </c>
      <c r="G75" s="9">
        <f>MASTER_AR_REPORT!G204</f>
        <v/>
      </c>
      <c r="H75" s="2">
        <f>MASTER_AR_REPORT!H204</f>
        <v/>
      </c>
      <c r="I75" s="2">
        <f>MASTER_AR_REPORT!I204</f>
        <v/>
      </c>
      <c r="J75" s="1">
        <f>MASTER_AR_REPORT!J204</f>
        <v/>
      </c>
      <c r="K75" s="1">
        <f>MASTER_AR_REPORT!K204</f>
        <v/>
      </c>
      <c r="L75" s="1">
        <f>MASTER_AR_REPORT!L204</f>
        <v/>
      </c>
      <c r="M75" s="1">
        <f>MASTER_AR_REPORT!M204</f>
        <v/>
      </c>
      <c r="N75" s="1">
        <f>MASTER_AR_REPORT!N204</f>
        <v/>
      </c>
      <c r="O75" s="1">
        <f>MASTER_AR_REPORT!O204</f>
        <v/>
      </c>
    </row>
    <row r="76">
      <c r="A76" s="10" t="n"/>
      <c r="B76" s="10" t="n"/>
      <c r="C76" s="10" t="n"/>
      <c r="D76" s="10" t="n"/>
      <c r="E76" s="5" t="inlineStr">
        <is>
          <t>TOTAL</t>
        </is>
      </c>
      <c r="F76" s="6">
        <f>SUM(F5:F75)</f>
        <v/>
      </c>
      <c r="G76" s="10" t="n"/>
      <c r="H76" s="6">
        <f>SUM(H5:H75)</f>
        <v/>
      </c>
      <c r="I76" s="6">
        <f>SUM(I5:I75)</f>
        <v/>
      </c>
      <c r="J76" s="10" t="n"/>
      <c r="K76" s="10" t="n"/>
      <c r="L76" s="10" t="n"/>
      <c r="M76" s="10" t="n"/>
      <c r="N76" s="10" t="n"/>
      <c r="O76" s="10" t="n"/>
    </row>
  </sheetData>
  <autoFilter ref="A4:O75"/>
  <mergeCells count="2">
    <mergeCell ref="A1:O1"/>
    <mergeCell ref="A2:O2"/>
  </mergeCells>
  <conditionalFormatting sqref="A5:O75">
    <cfRule type="expression" priority="1" dxfId="3">
      <formula>AND($J5&gt;=90,$I5&gt;0)</formula>
    </cfRule>
    <cfRule type="expression" priority="2" dxfId="2">
      <formula>AND($J5&gt;=61,$J5&lt;90,$I5&gt;0)</formula>
    </cfRule>
    <cfRule type="expression" priority="3" dxfId="1">
      <formula>AND($J5&gt;=31,$J5&lt;61,$I5&gt;0)</formula>
    </cfRule>
    <cfRule type="expression" priority="4" dxfId="0">
      <formula>AND($J5&gt;=1,$J5&lt;31,$I5&gt;0)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7"/>
  <sheetViews>
    <sheetView topLeftCell="B1" zoomScale="95" zoomScaleNormal="95" workbookViewId="0">
      <pane ySplit="4" topLeftCell="A5" activePane="bottomLeft" state="frozen"/>
      <selection pane="bottomLeft" activeCell="E19" sqref="E19"/>
    </sheetView>
  </sheetViews>
  <sheetFormatPr baseColWidth="8" defaultRowHeight="14.4"/>
  <cols>
    <col width="6" customWidth="1" style="243" min="1" max="1"/>
    <col width="14" customWidth="1" style="243" min="2" max="3"/>
    <col width="20" customWidth="1" style="243" min="4" max="4"/>
    <col width="43.33203125" bestFit="1" customWidth="1" style="243" min="5" max="5"/>
    <col width="14" customWidth="1" style="243" min="6" max="8"/>
    <col width="16" customWidth="1" style="243" min="9" max="9"/>
    <col width="14" customWidth="1" style="243" min="10" max="10"/>
    <col width="16" customWidth="1" style="243" min="11" max="11"/>
    <col width="14" customWidth="1" style="243" min="12" max="12"/>
    <col width="18" customWidth="1" style="243" min="13" max="13"/>
    <col width="12" customWidth="1" style="243" min="14" max="14"/>
    <col width="23.109375" bestFit="1" customWidth="1" style="243" min="15" max="15"/>
  </cols>
  <sheetData>
    <row r="1" ht="36" customHeight="1" s="243">
      <c r="A1" s="242" t="inlineStr">
        <is>
          <t>AR Aging Report - Vinod</t>
        </is>
      </c>
    </row>
    <row r="2" ht="22.2" customHeight="1" s="243">
      <c r="A2" s="244" t="inlineStr">
        <is>
          <t>Report Date: 21-May-2026</t>
        </is>
      </c>
    </row>
    <row r="3" ht="6" customHeight="1" s="243"/>
    <row r="4" ht="30" customHeight="1" s="243">
      <c r="A4" s="105" t="inlineStr">
        <is>
          <t>S.No</t>
        </is>
      </c>
      <c r="B4" s="105" t="inlineStr">
        <is>
          <t>Source Sheet</t>
        </is>
      </c>
      <c r="C4" s="105" t="inlineStr">
        <is>
          <t>Date</t>
        </is>
      </c>
      <c r="D4" s="105" t="inlineStr">
        <is>
          <t>Invoice No</t>
        </is>
      </c>
      <c r="E4" s="105" t="inlineStr">
        <is>
          <t>Customer Name</t>
        </is>
      </c>
      <c r="F4" s="105" t="inlineStr">
        <is>
          <t>Invoice Amount</t>
        </is>
      </c>
      <c r="G4" s="105" t="inlineStr">
        <is>
          <t>Due Date</t>
        </is>
      </c>
      <c r="H4" s="105" t="inlineStr">
        <is>
          <t>Paid Amount</t>
        </is>
      </c>
      <c r="I4" s="105" t="inlineStr">
        <is>
          <t>Outstanding Amount</t>
        </is>
      </c>
      <c r="J4" s="105" t="inlineStr">
        <is>
          <t>Days Overdue</t>
        </is>
      </c>
      <c r="K4" s="105" t="inlineStr">
        <is>
          <t>Aging Bucket</t>
        </is>
      </c>
      <c r="L4" s="105" t="inlineStr">
        <is>
          <t>Risk Level</t>
        </is>
      </c>
      <c r="M4" s="105" t="inlineStr">
        <is>
          <t>Follow-up Priority</t>
        </is>
      </c>
      <c r="N4" s="105" t="inlineStr">
        <is>
          <t>Call Status</t>
        </is>
      </c>
      <c r="O4" s="105" t="inlineStr">
        <is>
          <t>Last Follow-up Notes</t>
        </is>
      </c>
    </row>
    <row r="5">
      <c r="A5" s="1" t="n">
        <v>1</v>
      </c>
      <c r="B5" s="1">
        <f>IF(MASTER_AR_REPORT!B205="","",MASTER_AR_REPORT!B205)</f>
        <v/>
      </c>
      <c r="C5" s="9">
        <f>MASTER_AR_REPORT!C205</f>
        <v/>
      </c>
      <c r="D5" s="1">
        <f>IF(MASTER_AR_REPORT!D205="","",MASTER_AR_REPORT!D205)</f>
        <v/>
      </c>
      <c r="E5" s="1">
        <f>IF(MASTER_AR_REPORT!E205="","",MASTER_AR_REPORT!E205)</f>
        <v/>
      </c>
      <c r="F5" s="2">
        <f>MASTER_AR_REPORT!F205</f>
        <v/>
      </c>
      <c r="G5" s="9">
        <f>MASTER_AR_REPORT!G205</f>
        <v/>
      </c>
      <c r="H5" s="2">
        <f>MASTER_AR_REPORT!H205</f>
        <v/>
      </c>
      <c r="I5" s="2">
        <f>MASTER_AR_REPORT!I205</f>
        <v/>
      </c>
      <c r="J5" s="1">
        <f>MASTER_AR_REPORT!J205</f>
        <v/>
      </c>
      <c r="K5" s="1">
        <f>MASTER_AR_REPORT!K205</f>
        <v/>
      </c>
      <c r="L5" s="1">
        <f>MASTER_AR_REPORT!L205</f>
        <v/>
      </c>
      <c r="M5" s="1">
        <f>MASTER_AR_REPORT!M205</f>
        <v/>
      </c>
      <c r="N5" s="1">
        <f>MASTER_AR_REPORT!N205</f>
        <v/>
      </c>
      <c r="O5" s="1">
        <f>MASTER_AR_REPORT!O205</f>
        <v/>
      </c>
    </row>
    <row r="6">
      <c r="A6" s="3" t="n">
        <v>2</v>
      </c>
      <c r="B6" s="3">
        <f>IF(MASTER_AR_REPORT!B206="","",MASTER_AR_REPORT!B206)</f>
        <v/>
      </c>
      <c r="C6" s="8">
        <f>MASTER_AR_REPORT!C206</f>
        <v/>
      </c>
      <c r="D6" s="3">
        <f>IF(MASTER_AR_REPORT!D206="","",MASTER_AR_REPORT!D206)</f>
        <v/>
      </c>
      <c r="E6" s="3">
        <f>IF(MASTER_AR_REPORT!E206="","",MASTER_AR_REPORT!E206)</f>
        <v/>
      </c>
      <c r="F6" s="4">
        <f>MASTER_AR_REPORT!F206</f>
        <v/>
      </c>
      <c r="G6" s="8">
        <f>MASTER_AR_REPORT!G206</f>
        <v/>
      </c>
      <c r="H6" s="4">
        <f>MASTER_AR_REPORT!H206</f>
        <v/>
      </c>
      <c r="I6" s="4">
        <f>MASTER_AR_REPORT!I206</f>
        <v/>
      </c>
      <c r="J6" s="3">
        <f>MASTER_AR_REPORT!J206</f>
        <v/>
      </c>
      <c r="K6" s="3">
        <f>MASTER_AR_REPORT!K206</f>
        <v/>
      </c>
      <c r="L6" s="3">
        <f>MASTER_AR_REPORT!L206</f>
        <v/>
      </c>
      <c r="M6" s="3">
        <f>MASTER_AR_REPORT!M206</f>
        <v/>
      </c>
      <c r="N6" s="3">
        <f>MASTER_AR_REPORT!N206</f>
        <v/>
      </c>
      <c r="O6" s="3">
        <f>MASTER_AR_REPORT!O206</f>
        <v/>
      </c>
    </row>
    <row r="7">
      <c r="A7" s="1" t="n">
        <v>3</v>
      </c>
      <c r="B7" s="1">
        <f>IF(MASTER_AR_REPORT!B207="","",MASTER_AR_REPORT!B207)</f>
        <v/>
      </c>
      <c r="C7" s="9">
        <f>MASTER_AR_REPORT!C207</f>
        <v/>
      </c>
      <c r="D7" s="1">
        <f>IF(MASTER_AR_REPORT!D207="","",MASTER_AR_REPORT!D207)</f>
        <v/>
      </c>
      <c r="E7" s="1">
        <f>IF(MASTER_AR_REPORT!E207="","",MASTER_AR_REPORT!E207)</f>
        <v/>
      </c>
      <c r="F7" s="2">
        <f>MASTER_AR_REPORT!F207</f>
        <v/>
      </c>
      <c r="G7" s="9">
        <f>MASTER_AR_REPORT!G207</f>
        <v/>
      </c>
      <c r="H7" s="2">
        <f>MASTER_AR_REPORT!H207</f>
        <v/>
      </c>
      <c r="I7" s="2">
        <f>MASTER_AR_REPORT!I207</f>
        <v/>
      </c>
      <c r="J7" s="1">
        <f>MASTER_AR_REPORT!J207</f>
        <v/>
      </c>
      <c r="K7" s="1">
        <f>MASTER_AR_REPORT!K207</f>
        <v/>
      </c>
      <c r="L7" s="1">
        <f>MASTER_AR_REPORT!L207</f>
        <v/>
      </c>
      <c r="M7" s="1">
        <f>MASTER_AR_REPORT!M207</f>
        <v/>
      </c>
      <c r="N7" s="1">
        <f>MASTER_AR_REPORT!N207</f>
        <v/>
      </c>
      <c r="O7" s="1">
        <f>MASTER_AR_REPORT!O207</f>
        <v/>
      </c>
    </row>
    <row r="8">
      <c r="A8" s="3" t="n">
        <v>4</v>
      </c>
      <c r="B8" s="3">
        <f>IF(MASTER_AR_REPORT!B208="","",MASTER_AR_REPORT!B208)</f>
        <v/>
      </c>
      <c r="C8" s="8">
        <f>MASTER_AR_REPORT!C208</f>
        <v/>
      </c>
      <c r="D8" s="3">
        <f>IF(MASTER_AR_REPORT!D208="","",MASTER_AR_REPORT!D208)</f>
        <v/>
      </c>
      <c r="E8" s="3">
        <f>IF(MASTER_AR_REPORT!E208="","",MASTER_AR_REPORT!E208)</f>
        <v/>
      </c>
      <c r="F8" s="4">
        <f>MASTER_AR_REPORT!F208</f>
        <v/>
      </c>
      <c r="G8" s="8">
        <f>MASTER_AR_REPORT!G208</f>
        <v/>
      </c>
      <c r="H8" s="4">
        <f>MASTER_AR_REPORT!H208</f>
        <v/>
      </c>
      <c r="I8" s="4">
        <f>MASTER_AR_REPORT!I208</f>
        <v/>
      </c>
      <c r="J8" s="3">
        <f>MASTER_AR_REPORT!J208</f>
        <v/>
      </c>
      <c r="K8" s="3">
        <f>MASTER_AR_REPORT!K208</f>
        <v/>
      </c>
      <c r="L8" s="3">
        <f>MASTER_AR_REPORT!L208</f>
        <v/>
      </c>
      <c r="M8" s="3">
        <f>MASTER_AR_REPORT!M208</f>
        <v/>
      </c>
      <c r="N8" s="3">
        <f>MASTER_AR_REPORT!N208</f>
        <v/>
      </c>
      <c r="O8" s="3">
        <f>MASTER_AR_REPORT!O208</f>
        <v/>
      </c>
    </row>
    <row r="9">
      <c r="A9" s="1" t="n">
        <v>5</v>
      </c>
      <c r="B9" s="1">
        <f>IF(MASTER_AR_REPORT!B209="","",MASTER_AR_REPORT!B209)</f>
        <v/>
      </c>
      <c r="C9" s="9">
        <f>MASTER_AR_REPORT!C209</f>
        <v/>
      </c>
      <c r="D9" s="1">
        <f>IF(MASTER_AR_REPORT!D209="","",MASTER_AR_REPORT!D209)</f>
        <v/>
      </c>
      <c r="E9" s="1">
        <f>IF(MASTER_AR_REPORT!E209="","",MASTER_AR_REPORT!E209)</f>
        <v/>
      </c>
      <c r="F9" s="2">
        <f>MASTER_AR_REPORT!F209</f>
        <v/>
      </c>
      <c r="G9" s="9">
        <f>MASTER_AR_REPORT!G209</f>
        <v/>
      </c>
      <c r="H9" s="2">
        <f>MASTER_AR_REPORT!H209</f>
        <v/>
      </c>
      <c r="I9" s="2">
        <f>MASTER_AR_REPORT!I209</f>
        <v/>
      </c>
      <c r="J9" s="1">
        <f>MASTER_AR_REPORT!J209</f>
        <v/>
      </c>
      <c r="K9" s="1">
        <f>MASTER_AR_REPORT!K209</f>
        <v/>
      </c>
      <c r="L9" s="1">
        <f>MASTER_AR_REPORT!L209</f>
        <v/>
      </c>
      <c r="M9" s="1">
        <f>MASTER_AR_REPORT!M209</f>
        <v/>
      </c>
      <c r="N9" s="1">
        <f>MASTER_AR_REPORT!N209</f>
        <v/>
      </c>
      <c r="O9" s="1">
        <f>MASTER_AR_REPORT!O209</f>
        <v/>
      </c>
    </row>
    <row r="10">
      <c r="A10" s="3" t="n">
        <v>6</v>
      </c>
      <c r="B10" s="3">
        <f>IF(MASTER_AR_REPORT!B210="","",MASTER_AR_REPORT!B210)</f>
        <v/>
      </c>
      <c r="C10" s="8">
        <f>MASTER_AR_REPORT!C210</f>
        <v/>
      </c>
      <c r="D10" s="3">
        <f>IF(MASTER_AR_REPORT!D210="","",MASTER_AR_REPORT!D210)</f>
        <v/>
      </c>
      <c r="E10" s="3">
        <f>IF(MASTER_AR_REPORT!E210="","",MASTER_AR_REPORT!E210)</f>
        <v/>
      </c>
      <c r="F10" s="4">
        <f>MASTER_AR_REPORT!F210</f>
        <v/>
      </c>
      <c r="G10" s="8">
        <f>MASTER_AR_REPORT!G210</f>
        <v/>
      </c>
      <c r="H10" s="4">
        <f>MASTER_AR_REPORT!H210</f>
        <v/>
      </c>
      <c r="I10" s="4">
        <f>MASTER_AR_REPORT!I210</f>
        <v/>
      </c>
      <c r="J10" s="3">
        <f>MASTER_AR_REPORT!J210</f>
        <v/>
      </c>
      <c r="K10" s="3">
        <f>MASTER_AR_REPORT!K210</f>
        <v/>
      </c>
      <c r="L10" s="3">
        <f>MASTER_AR_REPORT!L210</f>
        <v/>
      </c>
      <c r="M10" s="3">
        <f>MASTER_AR_REPORT!M210</f>
        <v/>
      </c>
      <c r="N10" s="3">
        <f>MASTER_AR_REPORT!N210</f>
        <v/>
      </c>
      <c r="O10" s="3">
        <f>MASTER_AR_REPORT!O210</f>
        <v/>
      </c>
    </row>
    <row r="11">
      <c r="A11" s="1" t="n">
        <v>7</v>
      </c>
      <c r="B11" s="1">
        <f>IF(MASTER_AR_REPORT!B211="","",MASTER_AR_REPORT!B211)</f>
        <v/>
      </c>
      <c r="C11" s="9">
        <f>MASTER_AR_REPORT!C211</f>
        <v/>
      </c>
      <c r="D11" s="1">
        <f>IF(MASTER_AR_REPORT!D211="","",MASTER_AR_REPORT!D211)</f>
        <v/>
      </c>
      <c r="E11" s="1">
        <f>IF(MASTER_AR_REPORT!E211="","",MASTER_AR_REPORT!E211)</f>
        <v/>
      </c>
      <c r="F11" s="2">
        <f>MASTER_AR_REPORT!F211</f>
        <v/>
      </c>
      <c r="G11" s="9">
        <f>MASTER_AR_REPORT!G211</f>
        <v/>
      </c>
      <c r="H11" s="2">
        <f>MASTER_AR_REPORT!H211</f>
        <v/>
      </c>
      <c r="I11" s="2">
        <f>MASTER_AR_REPORT!I211</f>
        <v/>
      </c>
      <c r="J11" s="1">
        <f>MASTER_AR_REPORT!J211</f>
        <v/>
      </c>
      <c r="K11" s="1">
        <f>MASTER_AR_REPORT!K211</f>
        <v/>
      </c>
      <c r="L11" s="1">
        <f>MASTER_AR_REPORT!L211</f>
        <v/>
      </c>
      <c r="M11" s="1">
        <f>MASTER_AR_REPORT!M211</f>
        <v/>
      </c>
      <c r="N11" s="1">
        <f>MASTER_AR_REPORT!N211</f>
        <v/>
      </c>
      <c r="O11" s="1">
        <f>MASTER_AR_REPORT!O211</f>
        <v/>
      </c>
    </row>
    <row r="12">
      <c r="A12" s="3" t="n">
        <v>8</v>
      </c>
      <c r="B12" s="3">
        <f>IF(MASTER_AR_REPORT!B212="","",MASTER_AR_REPORT!B212)</f>
        <v/>
      </c>
      <c r="C12" s="8">
        <f>MASTER_AR_REPORT!C212</f>
        <v/>
      </c>
      <c r="D12" s="3">
        <f>IF(MASTER_AR_REPORT!D212="","",MASTER_AR_REPORT!D212)</f>
        <v/>
      </c>
      <c r="E12" s="3">
        <f>IF(MASTER_AR_REPORT!E212="","",MASTER_AR_REPORT!E212)</f>
        <v/>
      </c>
      <c r="F12" s="4">
        <f>MASTER_AR_REPORT!F212</f>
        <v/>
      </c>
      <c r="G12" s="8">
        <f>MASTER_AR_REPORT!G212</f>
        <v/>
      </c>
      <c r="H12" s="4">
        <f>MASTER_AR_REPORT!H212</f>
        <v/>
      </c>
      <c r="I12" s="4">
        <f>MASTER_AR_REPORT!I212</f>
        <v/>
      </c>
      <c r="J12" s="3">
        <f>MASTER_AR_REPORT!J212</f>
        <v/>
      </c>
      <c r="K12" s="3">
        <f>MASTER_AR_REPORT!K212</f>
        <v/>
      </c>
      <c r="L12" s="3">
        <f>MASTER_AR_REPORT!L212</f>
        <v/>
      </c>
      <c r="M12" s="3">
        <f>MASTER_AR_REPORT!M212</f>
        <v/>
      </c>
      <c r="N12" s="3">
        <f>MASTER_AR_REPORT!N212</f>
        <v/>
      </c>
      <c r="O12" s="3">
        <f>MASTER_AR_REPORT!O212</f>
        <v/>
      </c>
    </row>
    <row r="13">
      <c r="A13" s="1" t="n">
        <v>9</v>
      </c>
      <c r="B13" s="1">
        <f>IF(MASTER_AR_REPORT!B213="","",MASTER_AR_REPORT!B213)</f>
        <v/>
      </c>
      <c r="C13" s="9">
        <f>MASTER_AR_REPORT!C213</f>
        <v/>
      </c>
      <c r="D13" s="1">
        <f>IF(MASTER_AR_REPORT!D213="","",MASTER_AR_REPORT!D213)</f>
        <v/>
      </c>
      <c r="E13" s="1">
        <f>IF(MASTER_AR_REPORT!E213="","",MASTER_AR_REPORT!E213)</f>
        <v/>
      </c>
      <c r="F13" s="2">
        <f>MASTER_AR_REPORT!F213</f>
        <v/>
      </c>
      <c r="G13" s="9">
        <f>MASTER_AR_REPORT!G213</f>
        <v/>
      </c>
      <c r="H13" s="2">
        <f>MASTER_AR_REPORT!H213</f>
        <v/>
      </c>
      <c r="I13" s="2">
        <f>MASTER_AR_REPORT!I213</f>
        <v/>
      </c>
      <c r="J13" s="1">
        <f>MASTER_AR_REPORT!J213</f>
        <v/>
      </c>
      <c r="K13" s="1">
        <f>MASTER_AR_REPORT!K213</f>
        <v/>
      </c>
      <c r="L13" s="1">
        <f>MASTER_AR_REPORT!L213</f>
        <v/>
      </c>
      <c r="M13" s="1">
        <f>MASTER_AR_REPORT!M213</f>
        <v/>
      </c>
      <c r="N13" s="1">
        <f>MASTER_AR_REPORT!N213</f>
        <v/>
      </c>
      <c r="O13" s="1">
        <f>MASTER_AR_REPORT!O213</f>
        <v/>
      </c>
    </row>
    <row r="14">
      <c r="A14" s="3" t="n">
        <v>10</v>
      </c>
      <c r="B14" s="3">
        <f>IF(MASTER_AR_REPORT!B214="","",MASTER_AR_REPORT!B214)</f>
        <v/>
      </c>
      <c r="C14" s="8">
        <f>MASTER_AR_REPORT!C214</f>
        <v/>
      </c>
      <c r="D14" s="3">
        <f>IF(MASTER_AR_REPORT!D214="","",MASTER_AR_REPORT!D214)</f>
        <v/>
      </c>
      <c r="E14" s="3">
        <f>IF(MASTER_AR_REPORT!E214="","",MASTER_AR_REPORT!E214)</f>
        <v/>
      </c>
      <c r="F14" s="4">
        <f>MASTER_AR_REPORT!F214</f>
        <v/>
      </c>
      <c r="G14" s="8">
        <f>MASTER_AR_REPORT!G214</f>
        <v/>
      </c>
      <c r="H14" s="4">
        <f>MASTER_AR_REPORT!H214</f>
        <v/>
      </c>
      <c r="I14" s="4">
        <f>MASTER_AR_REPORT!I214</f>
        <v/>
      </c>
      <c r="J14" s="3">
        <f>MASTER_AR_REPORT!J214</f>
        <v/>
      </c>
      <c r="K14" s="3">
        <f>MASTER_AR_REPORT!K214</f>
        <v/>
      </c>
      <c r="L14" s="3">
        <f>MASTER_AR_REPORT!L214</f>
        <v/>
      </c>
      <c r="M14" s="3">
        <f>MASTER_AR_REPORT!M214</f>
        <v/>
      </c>
      <c r="N14" s="3">
        <f>MASTER_AR_REPORT!N214</f>
        <v/>
      </c>
      <c r="O14" s="3">
        <f>MASTER_AR_REPORT!O214</f>
        <v/>
      </c>
    </row>
    <row r="15">
      <c r="A15" s="1" t="n">
        <v>11</v>
      </c>
      <c r="B15" s="1">
        <f>IF(MASTER_AR_REPORT!B215="","",MASTER_AR_REPORT!B215)</f>
        <v/>
      </c>
      <c r="C15" s="9">
        <f>MASTER_AR_REPORT!C215</f>
        <v/>
      </c>
      <c r="D15" s="1">
        <f>IF(MASTER_AR_REPORT!D215="","",MASTER_AR_REPORT!D215)</f>
        <v/>
      </c>
      <c r="E15" s="1">
        <f>IF(MASTER_AR_REPORT!E215="","",MASTER_AR_REPORT!E215)</f>
        <v/>
      </c>
      <c r="F15" s="2">
        <f>MASTER_AR_REPORT!F215</f>
        <v/>
      </c>
      <c r="G15" s="9">
        <f>MASTER_AR_REPORT!G215</f>
        <v/>
      </c>
      <c r="H15" s="2">
        <f>MASTER_AR_REPORT!H215</f>
        <v/>
      </c>
      <c r="I15" s="2">
        <f>MASTER_AR_REPORT!I215</f>
        <v/>
      </c>
      <c r="J15" s="1">
        <f>MASTER_AR_REPORT!J215</f>
        <v/>
      </c>
      <c r="K15" s="1">
        <f>MASTER_AR_REPORT!K215</f>
        <v/>
      </c>
      <c r="L15" s="1">
        <f>MASTER_AR_REPORT!L215</f>
        <v/>
      </c>
      <c r="M15" s="1">
        <f>MASTER_AR_REPORT!M215</f>
        <v/>
      </c>
      <c r="N15" s="1">
        <f>MASTER_AR_REPORT!N215</f>
        <v/>
      </c>
      <c r="O15" s="1">
        <f>MASTER_AR_REPORT!O215</f>
        <v/>
      </c>
    </row>
    <row r="16">
      <c r="A16" s="3" t="n">
        <v>12</v>
      </c>
      <c r="B16" s="3">
        <f>IF(MASTER_AR_REPORT!B216="","",MASTER_AR_REPORT!B216)</f>
        <v/>
      </c>
      <c r="C16" s="8">
        <f>MASTER_AR_REPORT!C216</f>
        <v/>
      </c>
      <c r="D16" s="3">
        <f>IF(MASTER_AR_REPORT!D216="","",MASTER_AR_REPORT!D216)</f>
        <v/>
      </c>
      <c r="E16" s="3">
        <f>IF(MASTER_AR_REPORT!E216="","",MASTER_AR_REPORT!E216)</f>
        <v/>
      </c>
      <c r="F16" s="4">
        <f>MASTER_AR_REPORT!F216</f>
        <v/>
      </c>
      <c r="G16" s="8">
        <f>MASTER_AR_REPORT!G216</f>
        <v/>
      </c>
      <c r="H16" s="4">
        <f>MASTER_AR_REPORT!H216</f>
        <v/>
      </c>
      <c r="I16" s="4">
        <f>MASTER_AR_REPORT!I216</f>
        <v/>
      </c>
      <c r="J16" s="3">
        <f>MASTER_AR_REPORT!J216</f>
        <v/>
      </c>
      <c r="K16" s="3">
        <f>MASTER_AR_REPORT!K216</f>
        <v/>
      </c>
      <c r="L16" s="3">
        <f>MASTER_AR_REPORT!L216</f>
        <v/>
      </c>
      <c r="M16" s="3">
        <f>MASTER_AR_REPORT!M216</f>
        <v/>
      </c>
      <c r="N16" s="3">
        <f>MASTER_AR_REPORT!N216</f>
        <v/>
      </c>
      <c r="O16" s="3">
        <f>MASTER_AR_REPORT!O216</f>
        <v/>
      </c>
    </row>
    <row r="17">
      <c r="A17" s="1" t="n">
        <v>13</v>
      </c>
      <c r="B17" s="1">
        <f>IF(MASTER_AR_REPORT!B217="","",MASTER_AR_REPORT!B217)</f>
        <v/>
      </c>
      <c r="C17" s="9">
        <f>MASTER_AR_REPORT!C217</f>
        <v/>
      </c>
      <c r="D17" s="1">
        <f>IF(MASTER_AR_REPORT!D217="","",MASTER_AR_REPORT!D217)</f>
        <v/>
      </c>
      <c r="E17" s="1">
        <f>IF(MASTER_AR_REPORT!E217="","",MASTER_AR_REPORT!E217)</f>
        <v/>
      </c>
      <c r="F17" s="2">
        <f>MASTER_AR_REPORT!F217</f>
        <v/>
      </c>
      <c r="G17" s="9">
        <f>MASTER_AR_REPORT!G217</f>
        <v/>
      </c>
      <c r="H17" s="2">
        <f>MASTER_AR_REPORT!H217</f>
        <v/>
      </c>
      <c r="I17" s="2">
        <f>MASTER_AR_REPORT!I217</f>
        <v/>
      </c>
      <c r="J17" s="1">
        <f>MASTER_AR_REPORT!J217</f>
        <v/>
      </c>
      <c r="K17" s="1">
        <f>MASTER_AR_REPORT!K217</f>
        <v/>
      </c>
      <c r="L17" s="1">
        <f>MASTER_AR_REPORT!L217</f>
        <v/>
      </c>
      <c r="M17" s="1">
        <f>MASTER_AR_REPORT!M217</f>
        <v/>
      </c>
      <c r="N17" s="1">
        <f>MASTER_AR_REPORT!N217</f>
        <v/>
      </c>
      <c r="O17" s="1">
        <f>MASTER_AR_REPORT!O217</f>
        <v/>
      </c>
    </row>
    <row r="18">
      <c r="A18" s="3" t="n">
        <v>14</v>
      </c>
      <c r="B18" s="3">
        <f>IF(MASTER_AR_REPORT!B218="","",MASTER_AR_REPORT!B218)</f>
        <v/>
      </c>
      <c r="C18" s="8">
        <f>MASTER_AR_REPORT!C218</f>
        <v/>
      </c>
      <c r="D18" s="3">
        <f>IF(MASTER_AR_REPORT!D218="","",MASTER_AR_REPORT!D218)</f>
        <v/>
      </c>
      <c r="E18" s="3">
        <f>IF(MASTER_AR_REPORT!E218="","",MASTER_AR_REPORT!E218)</f>
        <v/>
      </c>
      <c r="F18" s="4">
        <f>MASTER_AR_REPORT!F218</f>
        <v/>
      </c>
      <c r="G18" s="8">
        <f>MASTER_AR_REPORT!G218</f>
        <v/>
      </c>
      <c r="H18" s="4">
        <f>MASTER_AR_REPORT!H218</f>
        <v/>
      </c>
      <c r="I18" s="4">
        <f>MASTER_AR_REPORT!I218</f>
        <v/>
      </c>
      <c r="J18" s="3">
        <f>MASTER_AR_REPORT!J218</f>
        <v/>
      </c>
      <c r="K18" s="3">
        <f>MASTER_AR_REPORT!K218</f>
        <v/>
      </c>
      <c r="L18" s="3">
        <f>MASTER_AR_REPORT!L218</f>
        <v/>
      </c>
      <c r="M18" s="3">
        <f>MASTER_AR_REPORT!M218</f>
        <v/>
      </c>
      <c r="N18" s="3">
        <f>MASTER_AR_REPORT!N218</f>
        <v/>
      </c>
      <c r="O18" s="3">
        <f>MASTER_AR_REPORT!O218</f>
        <v/>
      </c>
    </row>
    <row r="19">
      <c r="A19" s="1" t="n">
        <v>15</v>
      </c>
      <c r="B19" s="1">
        <f>IF(MASTER_AR_REPORT!B219="","",MASTER_AR_REPORT!B219)</f>
        <v/>
      </c>
      <c r="C19" s="9">
        <f>MASTER_AR_REPORT!C219</f>
        <v/>
      </c>
      <c r="D19" s="1">
        <f>IF(MASTER_AR_REPORT!D219="","",MASTER_AR_REPORT!D219)</f>
        <v/>
      </c>
      <c r="E19" s="1">
        <f>IF(MASTER_AR_REPORT!E219="","",MASTER_AR_REPORT!E219)</f>
        <v/>
      </c>
      <c r="F19" s="2">
        <f>MASTER_AR_REPORT!F219</f>
        <v/>
      </c>
      <c r="G19" s="9">
        <f>MASTER_AR_REPORT!G219</f>
        <v/>
      </c>
      <c r="H19" s="2">
        <f>MASTER_AR_REPORT!H219</f>
        <v/>
      </c>
      <c r="I19" s="2">
        <f>MASTER_AR_REPORT!I219</f>
        <v/>
      </c>
      <c r="J19" s="1">
        <f>MASTER_AR_REPORT!J219</f>
        <v/>
      </c>
      <c r="K19" s="1">
        <f>MASTER_AR_REPORT!K219</f>
        <v/>
      </c>
      <c r="L19" s="1">
        <f>MASTER_AR_REPORT!L219</f>
        <v/>
      </c>
      <c r="M19" s="1">
        <f>MASTER_AR_REPORT!M219</f>
        <v/>
      </c>
      <c r="N19" s="1">
        <f>MASTER_AR_REPORT!N219</f>
        <v/>
      </c>
      <c r="O19" s="1">
        <f>MASTER_AR_REPORT!O219</f>
        <v/>
      </c>
    </row>
    <row r="20">
      <c r="A20" s="3" t="n">
        <v>16</v>
      </c>
      <c r="B20" s="3">
        <f>IF(MASTER_AR_REPORT!B220="","",MASTER_AR_REPORT!B220)</f>
        <v/>
      </c>
      <c r="C20" s="8">
        <f>MASTER_AR_REPORT!C220</f>
        <v/>
      </c>
      <c r="D20" s="3">
        <f>IF(MASTER_AR_REPORT!D220="","",MASTER_AR_REPORT!D220)</f>
        <v/>
      </c>
      <c r="E20" s="3">
        <f>IF(MASTER_AR_REPORT!E220="","",MASTER_AR_REPORT!E220)</f>
        <v/>
      </c>
      <c r="F20" s="4">
        <f>MASTER_AR_REPORT!F220</f>
        <v/>
      </c>
      <c r="G20" s="8">
        <f>MASTER_AR_REPORT!G220</f>
        <v/>
      </c>
      <c r="H20" s="4">
        <f>MASTER_AR_REPORT!H220</f>
        <v/>
      </c>
      <c r="I20" s="4">
        <f>MASTER_AR_REPORT!I220</f>
        <v/>
      </c>
      <c r="J20" s="3">
        <f>MASTER_AR_REPORT!J220</f>
        <v/>
      </c>
      <c r="K20" s="3">
        <f>MASTER_AR_REPORT!K220</f>
        <v/>
      </c>
      <c r="L20" s="3">
        <f>MASTER_AR_REPORT!L220</f>
        <v/>
      </c>
      <c r="M20" s="3">
        <f>MASTER_AR_REPORT!M220</f>
        <v/>
      </c>
      <c r="N20" s="3">
        <f>MASTER_AR_REPORT!N220</f>
        <v/>
      </c>
      <c r="O20" s="3">
        <f>MASTER_AR_REPORT!O220</f>
        <v/>
      </c>
    </row>
    <row r="21">
      <c r="A21" s="1" t="n">
        <v>17</v>
      </c>
      <c r="B21" s="1">
        <f>IF(MASTER_AR_REPORT!B221="","",MASTER_AR_REPORT!B221)</f>
        <v/>
      </c>
      <c r="C21" s="9">
        <f>MASTER_AR_REPORT!C221</f>
        <v/>
      </c>
      <c r="D21" s="1">
        <f>IF(MASTER_AR_REPORT!D221="","",MASTER_AR_REPORT!D221)</f>
        <v/>
      </c>
      <c r="E21" s="1">
        <f>IF(MASTER_AR_REPORT!E221="","",MASTER_AR_REPORT!E221)</f>
        <v/>
      </c>
      <c r="F21" s="2">
        <f>MASTER_AR_REPORT!F221</f>
        <v/>
      </c>
      <c r="G21" s="9">
        <f>MASTER_AR_REPORT!G221</f>
        <v/>
      </c>
      <c r="H21" s="2">
        <f>MASTER_AR_REPORT!H221</f>
        <v/>
      </c>
      <c r="I21" s="2">
        <f>MASTER_AR_REPORT!I221</f>
        <v/>
      </c>
      <c r="J21" s="1">
        <f>MASTER_AR_REPORT!J221</f>
        <v/>
      </c>
      <c r="K21" s="1">
        <f>MASTER_AR_REPORT!K221</f>
        <v/>
      </c>
      <c r="L21" s="1">
        <f>MASTER_AR_REPORT!L221</f>
        <v/>
      </c>
      <c r="M21" s="1">
        <f>MASTER_AR_REPORT!M221</f>
        <v/>
      </c>
      <c r="N21" s="1">
        <f>MASTER_AR_REPORT!N221</f>
        <v/>
      </c>
      <c r="O21" s="1">
        <f>MASTER_AR_REPORT!O221</f>
        <v/>
      </c>
    </row>
    <row r="22">
      <c r="A22" s="3" t="n">
        <v>18</v>
      </c>
      <c r="B22" s="3">
        <f>IF(MASTER_AR_REPORT!B222="","",MASTER_AR_REPORT!B222)</f>
        <v/>
      </c>
      <c r="C22" s="8">
        <f>MASTER_AR_REPORT!C222</f>
        <v/>
      </c>
      <c r="D22" s="3">
        <f>IF(MASTER_AR_REPORT!D222="","",MASTER_AR_REPORT!D222)</f>
        <v/>
      </c>
      <c r="E22" s="3">
        <f>IF(MASTER_AR_REPORT!E222="","",MASTER_AR_REPORT!E222)</f>
        <v/>
      </c>
      <c r="F22" s="4">
        <f>MASTER_AR_REPORT!F222</f>
        <v/>
      </c>
      <c r="G22" s="8">
        <f>MASTER_AR_REPORT!G222</f>
        <v/>
      </c>
      <c r="H22" s="4">
        <f>MASTER_AR_REPORT!H222</f>
        <v/>
      </c>
      <c r="I22" s="4">
        <f>MASTER_AR_REPORT!I222</f>
        <v/>
      </c>
      <c r="J22" s="3">
        <f>MASTER_AR_REPORT!J222</f>
        <v/>
      </c>
      <c r="K22" s="3">
        <f>MASTER_AR_REPORT!K222</f>
        <v/>
      </c>
      <c r="L22" s="3">
        <f>MASTER_AR_REPORT!L222</f>
        <v/>
      </c>
      <c r="M22" s="3">
        <f>MASTER_AR_REPORT!M222</f>
        <v/>
      </c>
      <c r="N22" s="3">
        <f>MASTER_AR_REPORT!N222</f>
        <v/>
      </c>
      <c r="O22" s="3">
        <f>MASTER_AR_REPORT!O222</f>
        <v/>
      </c>
    </row>
    <row r="23">
      <c r="A23" s="1" t="n">
        <v>19</v>
      </c>
      <c r="B23" s="1">
        <f>IF(MASTER_AR_REPORT!B223="","",MASTER_AR_REPORT!B223)</f>
        <v/>
      </c>
      <c r="C23" s="9">
        <f>MASTER_AR_REPORT!C223</f>
        <v/>
      </c>
      <c r="D23" s="1">
        <f>IF(MASTER_AR_REPORT!D223="","",MASTER_AR_REPORT!D223)</f>
        <v/>
      </c>
      <c r="E23" s="1">
        <f>IF(MASTER_AR_REPORT!E223="","",MASTER_AR_REPORT!E223)</f>
        <v/>
      </c>
      <c r="F23" s="2">
        <f>MASTER_AR_REPORT!F223</f>
        <v/>
      </c>
      <c r="G23" s="9">
        <f>MASTER_AR_REPORT!G223</f>
        <v/>
      </c>
      <c r="H23" s="2">
        <f>MASTER_AR_REPORT!H223</f>
        <v/>
      </c>
      <c r="I23" s="2">
        <f>MASTER_AR_REPORT!I223</f>
        <v/>
      </c>
      <c r="J23" s="1">
        <f>MASTER_AR_REPORT!J223</f>
        <v/>
      </c>
      <c r="K23" s="1">
        <f>MASTER_AR_REPORT!K223</f>
        <v/>
      </c>
      <c r="L23" s="1">
        <f>MASTER_AR_REPORT!L223</f>
        <v/>
      </c>
      <c r="M23" s="1">
        <f>MASTER_AR_REPORT!M223</f>
        <v/>
      </c>
      <c r="N23" s="1">
        <f>MASTER_AR_REPORT!N223</f>
        <v/>
      </c>
      <c r="O23" s="1">
        <f>MASTER_AR_REPORT!O223</f>
        <v/>
      </c>
    </row>
    <row r="24">
      <c r="A24" s="3" t="n">
        <v>20</v>
      </c>
      <c r="B24" s="3">
        <f>IF(MASTER_AR_REPORT!B224="","",MASTER_AR_REPORT!B224)</f>
        <v/>
      </c>
      <c r="C24" s="8">
        <f>MASTER_AR_REPORT!C224</f>
        <v/>
      </c>
      <c r="D24" s="3">
        <f>IF(MASTER_AR_REPORT!D224="","",MASTER_AR_REPORT!D224)</f>
        <v/>
      </c>
      <c r="E24" s="3">
        <f>IF(MASTER_AR_REPORT!E224="","",MASTER_AR_REPORT!E224)</f>
        <v/>
      </c>
      <c r="F24" s="4">
        <f>MASTER_AR_REPORT!F224</f>
        <v/>
      </c>
      <c r="G24" s="8">
        <f>MASTER_AR_REPORT!G224</f>
        <v/>
      </c>
      <c r="H24" s="4">
        <f>MASTER_AR_REPORT!H224</f>
        <v/>
      </c>
      <c r="I24" s="4">
        <f>MASTER_AR_REPORT!I224</f>
        <v/>
      </c>
      <c r="J24" s="3">
        <f>MASTER_AR_REPORT!J224</f>
        <v/>
      </c>
      <c r="K24" s="3">
        <f>MASTER_AR_REPORT!K224</f>
        <v/>
      </c>
      <c r="L24" s="3">
        <f>MASTER_AR_REPORT!L224</f>
        <v/>
      </c>
      <c r="M24" s="3">
        <f>MASTER_AR_REPORT!M224</f>
        <v/>
      </c>
      <c r="N24" s="3">
        <f>MASTER_AR_REPORT!N224</f>
        <v/>
      </c>
      <c r="O24" s="3">
        <f>MASTER_AR_REPORT!O224</f>
        <v/>
      </c>
    </row>
    <row r="25">
      <c r="A25" s="1" t="n">
        <v>21</v>
      </c>
      <c r="B25" s="1">
        <f>IF(MASTER_AR_REPORT!B225="","",MASTER_AR_REPORT!B225)</f>
        <v/>
      </c>
      <c r="C25" s="9">
        <f>MASTER_AR_REPORT!C225</f>
        <v/>
      </c>
      <c r="D25" s="1">
        <f>IF(MASTER_AR_REPORT!D225="","",MASTER_AR_REPORT!D225)</f>
        <v/>
      </c>
      <c r="E25" s="1">
        <f>IF(MASTER_AR_REPORT!E225="","",MASTER_AR_REPORT!E225)</f>
        <v/>
      </c>
      <c r="F25" s="2">
        <f>MASTER_AR_REPORT!F225</f>
        <v/>
      </c>
      <c r="G25" s="9">
        <f>MASTER_AR_REPORT!G225</f>
        <v/>
      </c>
      <c r="H25" s="2">
        <f>MASTER_AR_REPORT!H225</f>
        <v/>
      </c>
      <c r="I25" s="2">
        <f>MASTER_AR_REPORT!I225</f>
        <v/>
      </c>
      <c r="J25" s="1">
        <f>MASTER_AR_REPORT!J225</f>
        <v/>
      </c>
      <c r="K25" s="1">
        <f>MASTER_AR_REPORT!K225</f>
        <v/>
      </c>
      <c r="L25" s="1">
        <f>MASTER_AR_REPORT!L225</f>
        <v/>
      </c>
      <c r="M25" s="1">
        <f>MASTER_AR_REPORT!M225</f>
        <v/>
      </c>
      <c r="N25" s="1">
        <f>MASTER_AR_REPORT!N225</f>
        <v/>
      </c>
      <c r="O25" s="1">
        <f>MASTER_AR_REPORT!O225</f>
        <v/>
      </c>
    </row>
    <row r="26">
      <c r="A26" s="3" t="n">
        <v>22</v>
      </c>
      <c r="B26" s="3">
        <f>IF(MASTER_AR_REPORT!B226="","",MASTER_AR_REPORT!B226)</f>
        <v/>
      </c>
      <c r="C26" s="8">
        <f>MASTER_AR_REPORT!C226</f>
        <v/>
      </c>
      <c r="D26" s="3">
        <f>IF(MASTER_AR_REPORT!D226="","",MASTER_AR_REPORT!D226)</f>
        <v/>
      </c>
      <c r="E26" s="3">
        <f>IF(MASTER_AR_REPORT!E226="","",MASTER_AR_REPORT!E226)</f>
        <v/>
      </c>
      <c r="F26" s="4">
        <f>MASTER_AR_REPORT!F226</f>
        <v/>
      </c>
      <c r="G26" s="8">
        <f>MASTER_AR_REPORT!G226</f>
        <v/>
      </c>
      <c r="H26" s="4">
        <f>MASTER_AR_REPORT!H226</f>
        <v/>
      </c>
      <c r="I26" s="4">
        <f>MASTER_AR_REPORT!I226</f>
        <v/>
      </c>
      <c r="J26" s="3">
        <f>MASTER_AR_REPORT!J226</f>
        <v/>
      </c>
      <c r="K26" s="3">
        <f>MASTER_AR_REPORT!K226</f>
        <v/>
      </c>
      <c r="L26" s="3">
        <f>MASTER_AR_REPORT!L226</f>
        <v/>
      </c>
      <c r="M26" s="3">
        <f>MASTER_AR_REPORT!M226</f>
        <v/>
      </c>
      <c r="N26" s="3">
        <f>MASTER_AR_REPORT!N226</f>
        <v/>
      </c>
      <c r="O26" s="3">
        <f>MASTER_AR_REPORT!O226</f>
        <v/>
      </c>
    </row>
    <row r="27">
      <c r="A27" s="1" t="n">
        <v>23</v>
      </c>
      <c r="B27" s="1">
        <f>IF(MASTER_AR_REPORT!B227="","",MASTER_AR_REPORT!B227)</f>
        <v/>
      </c>
      <c r="C27" s="9">
        <f>MASTER_AR_REPORT!C227</f>
        <v/>
      </c>
      <c r="D27" s="1">
        <f>IF(MASTER_AR_REPORT!D227="","",MASTER_AR_REPORT!D227)</f>
        <v/>
      </c>
      <c r="E27" s="1">
        <f>IF(MASTER_AR_REPORT!E227="","",MASTER_AR_REPORT!E227)</f>
        <v/>
      </c>
      <c r="F27" s="2">
        <f>MASTER_AR_REPORT!F227</f>
        <v/>
      </c>
      <c r="G27" s="9">
        <f>MASTER_AR_REPORT!G227</f>
        <v/>
      </c>
      <c r="H27" s="2">
        <f>MASTER_AR_REPORT!H227</f>
        <v/>
      </c>
      <c r="I27" s="2">
        <f>MASTER_AR_REPORT!I227</f>
        <v/>
      </c>
      <c r="J27" s="1">
        <f>MASTER_AR_REPORT!J227</f>
        <v/>
      </c>
      <c r="K27" s="1">
        <f>MASTER_AR_REPORT!K227</f>
        <v/>
      </c>
      <c r="L27" s="1">
        <f>MASTER_AR_REPORT!L227</f>
        <v/>
      </c>
      <c r="M27" s="1">
        <f>MASTER_AR_REPORT!M227</f>
        <v/>
      </c>
      <c r="N27" s="1">
        <f>MASTER_AR_REPORT!N227</f>
        <v/>
      </c>
      <c r="O27" s="1">
        <f>MASTER_AR_REPORT!O227</f>
        <v/>
      </c>
    </row>
    <row r="28">
      <c r="A28" s="3" t="n">
        <v>24</v>
      </c>
      <c r="B28" s="3">
        <f>IF(MASTER_AR_REPORT!B228="","",MASTER_AR_REPORT!B228)</f>
        <v/>
      </c>
      <c r="C28" s="8">
        <f>MASTER_AR_REPORT!C228</f>
        <v/>
      </c>
      <c r="D28" s="3">
        <f>IF(MASTER_AR_REPORT!D228="","",MASTER_AR_REPORT!D228)</f>
        <v/>
      </c>
      <c r="E28" s="3">
        <f>IF(MASTER_AR_REPORT!E228="","",MASTER_AR_REPORT!E228)</f>
        <v/>
      </c>
      <c r="F28" s="4">
        <f>MASTER_AR_REPORT!F228</f>
        <v/>
      </c>
      <c r="G28" s="8">
        <f>MASTER_AR_REPORT!G228</f>
        <v/>
      </c>
      <c r="H28" s="4">
        <f>MASTER_AR_REPORT!H228</f>
        <v/>
      </c>
      <c r="I28" s="4">
        <f>MASTER_AR_REPORT!I228</f>
        <v/>
      </c>
      <c r="J28" s="3">
        <f>MASTER_AR_REPORT!J228</f>
        <v/>
      </c>
      <c r="K28" s="3">
        <f>MASTER_AR_REPORT!K228</f>
        <v/>
      </c>
      <c r="L28" s="3">
        <f>MASTER_AR_REPORT!L228</f>
        <v/>
      </c>
      <c r="M28" s="3">
        <f>MASTER_AR_REPORT!M228</f>
        <v/>
      </c>
      <c r="N28" s="3">
        <f>MASTER_AR_REPORT!N228</f>
        <v/>
      </c>
      <c r="O28" s="3">
        <f>MASTER_AR_REPORT!O228</f>
        <v/>
      </c>
    </row>
    <row r="29">
      <c r="A29" s="1" t="n">
        <v>25</v>
      </c>
      <c r="B29" s="1">
        <f>IF(MASTER_AR_REPORT!B229="","",MASTER_AR_REPORT!B229)</f>
        <v/>
      </c>
      <c r="C29" s="9">
        <f>MASTER_AR_REPORT!C229</f>
        <v/>
      </c>
      <c r="D29" s="1">
        <f>IF(MASTER_AR_REPORT!D229="","",MASTER_AR_REPORT!D229)</f>
        <v/>
      </c>
      <c r="E29" s="1">
        <f>IF(MASTER_AR_REPORT!E229="","",MASTER_AR_REPORT!E229)</f>
        <v/>
      </c>
      <c r="F29" s="2">
        <f>MASTER_AR_REPORT!F229</f>
        <v/>
      </c>
      <c r="G29" s="9">
        <f>MASTER_AR_REPORT!G229</f>
        <v/>
      </c>
      <c r="H29" s="2">
        <f>MASTER_AR_REPORT!H229</f>
        <v/>
      </c>
      <c r="I29" s="2">
        <f>MASTER_AR_REPORT!I229</f>
        <v/>
      </c>
      <c r="J29" s="1">
        <f>MASTER_AR_REPORT!J229</f>
        <v/>
      </c>
      <c r="K29" s="1">
        <f>MASTER_AR_REPORT!K229</f>
        <v/>
      </c>
      <c r="L29" s="1">
        <f>MASTER_AR_REPORT!L229</f>
        <v/>
      </c>
      <c r="M29" s="1">
        <f>MASTER_AR_REPORT!M229</f>
        <v/>
      </c>
      <c r="N29" s="1">
        <f>MASTER_AR_REPORT!N229</f>
        <v/>
      </c>
      <c r="O29" s="1">
        <f>MASTER_AR_REPORT!O229</f>
        <v/>
      </c>
    </row>
    <row r="30">
      <c r="A30" s="3" t="n">
        <v>26</v>
      </c>
      <c r="B30" s="3">
        <f>IF(MASTER_AR_REPORT!B230="","",MASTER_AR_REPORT!B230)</f>
        <v/>
      </c>
      <c r="C30" s="8">
        <f>MASTER_AR_REPORT!C230</f>
        <v/>
      </c>
      <c r="D30" s="3">
        <f>IF(MASTER_AR_REPORT!D230="","",MASTER_AR_REPORT!D230)</f>
        <v/>
      </c>
      <c r="E30" s="3">
        <f>IF(MASTER_AR_REPORT!E230="","",MASTER_AR_REPORT!E230)</f>
        <v/>
      </c>
      <c r="F30" s="4">
        <f>MASTER_AR_REPORT!F230</f>
        <v/>
      </c>
      <c r="G30" s="8">
        <f>MASTER_AR_REPORT!G230</f>
        <v/>
      </c>
      <c r="H30" s="4">
        <f>MASTER_AR_REPORT!H230</f>
        <v/>
      </c>
      <c r="I30" s="4">
        <f>MASTER_AR_REPORT!I230</f>
        <v/>
      </c>
      <c r="J30" s="3">
        <f>MASTER_AR_REPORT!J230</f>
        <v/>
      </c>
      <c r="K30" s="3">
        <f>MASTER_AR_REPORT!K230</f>
        <v/>
      </c>
      <c r="L30" s="3">
        <f>MASTER_AR_REPORT!L230</f>
        <v/>
      </c>
      <c r="M30" s="3">
        <f>MASTER_AR_REPORT!M230</f>
        <v/>
      </c>
      <c r="N30" s="3">
        <f>MASTER_AR_REPORT!N230</f>
        <v/>
      </c>
      <c r="O30" s="3">
        <f>MASTER_AR_REPORT!O230</f>
        <v/>
      </c>
    </row>
    <row r="31">
      <c r="A31" s="1" t="n">
        <v>27</v>
      </c>
      <c r="B31" s="1">
        <f>IF(MASTER_AR_REPORT!B231="","",MASTER_AR_REPORT!B231)</f>
        <v/>
      </c>
      <c r="C31" s="9">
        <f>MASTER_AR_REPORT!C231</f>
        <v/>
      </c>
      <c r="D31" s="1">
        <f>IF(MASTER_AR_REPORT!D231="","",MASTER_AR_REPORT!D231)</f>
        <v/>
      </c>
      <c r="E31" s="1">
        <f>IF(MASTER_AR_REPORT!E231="","",MASTER_AR_REPORT!E231)</f>
        <v/>
      </c>
      <c r="F31" s="2">
        <f>MASTER_AR_REPORT!F231</f>
        <v/>
      </c>
      <c r="G31" s="9">
        <f>MASTER_AR_REPORT!G231</f>
        <v/>
      </c>
      <c r="H31" s="2">
        <f>MASTER_AR_REPORT!H231</f>
        <v/>
      </c>
      <c r="I31" s="2">
        <f>MASTER_AR_REPORT!I231</f>
        <v/>
      </c>
      <c r="J31" s="1">
        <f>MASTER_AR_REPORT!J231</f>
        <v/>
      </c>
      <c r="K31" s="1">
        <f>MASTER_AR_REPORT!K231</f>
        <v/>
      </c>
      <c r="L31" s="1">
        <f>MASTER_AR_REPORT!L231</f>
        <v/>
      </c>
      <c r="M31" s="1">
        <f>MASTER_AR_REPORT!M231</f>
        <v/>
      </c>
      <c r="N31" s="1">
        <f>MASTER_AR_REPORT!N231</f>
        <v/>
      </c>
      <c r="O31" s="1">
        <f>MASTER_AR_REPORT!O231</f>
        <v/>
      </c>
    </row>
    <row r="32">
      <c r="A32" s="3" t="n">
        <v>28</v>
      </c>
      <c r="B32" s="3">
        <f>IF(MASTER_AR_REPORT!B232="","",MASTER_AR_REPORT!B232)</f>
        <v/>
      </c>
      <c r="C32" s="8">
        <f>MASTER_AR_REPORT!C232</f>
        <v/>
      </c>
      <c r="D32" s="3">
        <f>IF(MASTER_AR_REPORT!D232="","",MASTER_AR_REPORT!D232)</f>
        <v/>
      </c>
      <c r="E32" s="3">
        <f>IF(MASTER_AR_REPORT!E232="","",MASTER_AR_REPORT!E232)</f>
        <v/>
      </c>
      <c r="F32" s="4">
        <f>MASTER_AR_REPORT!F232</f>
        <v/>
      </c>
      <c r="G32" s="8">
        <f>MASTER_AR_REPORT!G232</f>
        <v/>
      </c>
      <c r="H32" s="4">
        <f>MASTER_AR_REPORT!H232</f>
        <v/>
      </c>
      <c r="I32" s="4">
        <f>MASTER_AR_REPORT!I232</f>
        <v/>
      </c>
      <c r="J32" s="3">
        <f>MASTER_AR_REPORT!J232</f>
        <v/>
      </c>
      <c r="K32" s="3">
        <f>MASTER_AR_REPORT!K232</f>
        <v/>
      </c>
      <c r="L32" s="3">
        <f>MASTER_AR_REPORT!L232</f>
        <v/>
      </c>
      <c r="M32" s="3">
        <f>MASTER_AR_REPORT!M232</f>
        <v/>
      </c>
      <c r="N32" s="3">
        <f>MASTER_AR_REPORT!N232</f>
        <v/>
      </c>
      <c r="O32" s="3">
        <f>MASTER_AR_REPORT!O232</f>
        <v/>
      </c>
    </row>
    <row r="33">
      <c r="A33" s="1" t="n">
        <v>29</v>
      </c>
      <c r="B33" s="1">
        <f>IF(MASTER_AR_REPORT!B233="","",MASTER_AR_REPORT!B233)</f>
        <v/>
      </c>
      <c r="C33" s="9">
        <f>MASTER_AR_REPORT!C233</f>
        <v/>
      </c>
      <c r="D33" s="1">
        <f>IF(MASTER_AR_REPORT!D233="","",MASTER_AR_REPORT!D233)</f>
        <v/>
      </c>
      <c r="E33" s="1">
        <f>IF(MASTER_AR_REPORT!E233="","",MASTER_AR_REPORT!E233)</f>
        <v/>
      </c>
      <c r="F33" s="2">
        <f>MASTER_AR_REPORT!F233</f>
        <v/>
      </c>
      <c r="G33" s="9">
        <f>MASTER_AR_REPORT!G233</f>
        <v/>
      </c>
      <c r="H33" s="2">
        <f>MASTER_AR_REPORT!H233</f>
        <v/>
      </c>
      <c r="I33" s="2">
        <f>MASTER_AR_REPORT!I233</f>
        <v/>
      </c>
      <c r="J33" s="1">
        <f>MASTER_AR_REPORT!J233</f>
        <v/>
      </c>
      <c r="K33" s="1">
        <f>MASTER_AR_REPORT!K233</f>
        <v/>
      </c>
      <c r="L33" s="1">
        <f>MASTER_AR_REPORT!L233</f>
        <v/>
      </c>
      <c r="M33" s="1">
        <f>MASTER_AR_REPORT!M233</f>
        <v/>
      </c>
      <c r="N33" s="1">
        <f>MASTER_AR_REPORT!N233</f>
        <v/>
      </c>
      <c r="O33" s="1">
        <f>MASTER_AR_REPORT!O233</f>
        <v/>
      </c>
    </row>
    <row r="34">
      <c r="A34" s="3" t="n">
        <v>30</v>
      </c>
      <c r="B34" s="3">
        <f>IF(MASTER_AR_REPORT!B234="","",MASTER_AR_REPORT!B234)</f>
        <v/>
      </c>
      <c r="C34" s="8">
        <f>MASTER_AR_REPORT!C234</f>
        <v/>
      </c>
      <c r="D34" s="3">
        <f>IF(MASTER_AR_REPORT!D234="","",MASTER_AR_REPORT!D234)</f>
        <v/>
      </c>
      <c r="E34" s="3">
        <f>IF(MASTER_AR_REPORT!E234="","",MASTER_AR_REPORT!E234)</f>
        <v/>
      </c>
      <c r="F34" s="4">
        <f>MASTER_AR_REPORT!F234</f>
        <v/>
      </c>
      <c r="G34" s="8">
        <f>MASTER_AR_REPORT!G234</f>
        <v/>
      </c>
      <c r="H34" s="4">
        <f>MASTER_AR_REPORT!H234</f>
        <v/>
      </c>
      <c r="I34" s="4">
        <f>MASTER_AR_REPORT!I234</f>
        <v/>
      </c>
      <c r="J34" s="3">
        <f>MASTER_AR_REPORT!J234</f>
        <v/>
      </c>
      <c r="K34" s="3">
        <f>MASTER_AR_REPORT!K234</f>
        <v/>
      </c>
      <c r="L34" s="3">
        <f>MASTER_AR_REPORT!L234</f>
        <v/>
      </c>
      <c r="M34" s="3">
        <f>MASTER_AR_REPORT!M234</f>
        <v/>
      </c>
      <c r="N34" s="3">
        <f>MASTER_AR_REPORT!N234</f>
        <v/>
      </c>
      <c r="O34" s="3">
        <f>MASTER_AR_REPORT!O234</f>
        <v/>
      </c>
    </row>
    <row r="35">
      <c r="A35" s="1" t="n">
        <v>31</v>
      </c>
      <c r="B35" s="1">
        <f>IF(MASTER_AR_REPORT!B235="","",MASTER_AR_REPORT!B235)</f>
        <v/>
      </c>
      <c r="C35" s="9">
        <f>MASTER_AR_REPORT!C235</f>
        <v/>
      </c>
      <c r="D35" s="1">
        <f>IF(MASTER_AR_REPORT!D235="","",MASTER_AR_REPORT!D235)</f>
        <v/>
      </c>
      <c r="E35" s="1">
        <f>IF(MASTER_AR_REPORT!E235="","",MASTER_AR_REPORT!E235)</f>
        <v/>
      </c>
      <c r="F35" s="2">
        <f>MASTER_AR_REPORT!F235</f>
        <v/>
      </c>
      <c r="G35" s="9">
        <f>MASTER_AR_REPORT!G235</f>
        <v/>
      </c>
      <c r="H35" s="2">
        <f>MASTER_AR_REPORT!H235</f>
        <v/>
      </c>
      <c r="I35" s="2">
        <f>MASTER_AR_REPORT!I235</f>
        <v/>
      </c>
      <c r="J35" s="1">
        <f>MASTER_AR_REPORT!J235</f>
        <v/>
      </c>
      <c r="K35" s="1">
        <f>MASTER_AR_REPORT!K235</f>
        <v/>
      </c>
      <c r="L35" s="1">
        <f>MASTER_AR_REPORT!L235</f>
        <v/>
      </c>
      <c r="M35" s="1">
        <f>MASTER_AR_REPORT!M235</f>
        <v/>
      </c>
      <c r="N35" s="1">
        <f>MASTER_AR_REPORT!N235</f>
        <v/>
      </c>
      <c r="O35" s="1">
        <f>MASTER_AR_REPORT!O235</f>
        <v/>
      </c>
    </row>
    <row r="36">
      <c r="A36" s="3" t="n">
        <v>32</v>
      </c>
      <c r="B36" s="3">
        <f>IF(MASTER_AR_REPORT!B236="","",MASTER_AR_REPORT!B236)</f>
        <v/>
      </c>
      <c r="C36" s="8">
        <f>MASTER_AR_REPORT!C236</f>
        <v/>
      </c>
      <c r="D36" s="3">
        <f>IF(MASTER_AR_REPORT!D236="","",MASTER_AR_REPORT!D236)</f>
        <v/>
      </c>
      <c r="E36" s="3">
        <f>IF(MASTER_AR_REPORT!E236="","",MASTER_AR_REPORT!E236)</f>
        <v/>
      </c>
      <c r="F36" s="4">
        <f>MASTER_AR_REPORT!F236</f>
        <v/>
      </c>
      <c r="G36" s="8">
        <f>MASTER_AR_REPORT!G236</f>
        <v/>
      </c>
      <c r="H36" s="4">
        <f>MASTER_AR_REPORT!H236</f>
        <v/>
      </c>
      <c r="I36" s="4">
        <f>MASTER_AR_REPORT!I236</f>
        <v/>
      </c>
      <c r="J36" s="3">
        <f>MASTER_AR_REPORT!J236</f>
        <v/>
      </c>
      <c r="K36" s="3">
        <f>MASTER_AR_REPORT!K236</f>
        <v/>
      </c>
      <c r="L36" s="3">
        <f>MASTER_AR_REPORT!L236</f>
        <v/>
      </c>
      <c r="M36" s="3">
        <f>MASTER_AR_REPORT!M236</f>
        <v/>
      </c>
      <c r="N36" s="3">
        <f>MASTER_AR_REPORT!N236</f>
        <v/>
      </c>
      <c r="O36" s="3">
        <f>MASTER_AR_REPORT!O236</f>
        <v/>
      </c>
    </row>
    <row r="37">
      <c r="A37" s="1" t="n">
        <v>33</v>
      </c>
      <c r="B37" s="1">
        <f>IF(MASTER_AR_REPORT!B237="","",MASTER_AR_REPORT!B237)</f>
        <v/>
      </c>
      <c r="C37" s="9">
        <f>MASTER_AR_REPORT!C237</f>
        <v/>
      </c>
      <c r="D37" s="1">
        <f>IF(MASTER_AR_REPORT!D237="","",MASTER_AR_REPORT!D237)</f>
        <v/>
      </c>
      <c r="E37" s="1">
        <f>IF(MASTER_AR_REPORT!E237="","",MASTER_AR_REPORT!E237)</f>
        <v/>
      </c>
      <c r="F37" s="2">
        <f>MASTER_AR_REPORT!F237</f>
        <v/>
      </c>
      <c r="G37" s="9">
        <f>MASTER_AR_REPORT!G237</f>
        <v/>
      </c>
      <c r="H37" s="2">
        <f>MASTER_AR_REPORT!H237</f>
        <v/>
      </c>
      <c r="I37" s="2">
        <f>MASTER_AR_REPORT!I237</f>
        <v/>
      </c>
      <c r="J37" s="1">
        <f>MASTER_AR_REPORT!J237</f>
        <v/>
      </c>
      <c r="K37" s="1">
        <f>MASTER_AR_REPORT!K237</f>
        <v/>
      </c>
      <c r="L37" s="1">
        <f>MASTER_AR_REPORT!L237</f>
        <v/>
      </c>
      <c r="M37" s="1">
        <f>MASTER_AR_REPORT!M237</f>
        <v/>
      </c>
      <c r="N37" s="1">
        <f>MASTER_AR_REPORT!N237</f>
        <v/>
      </c>
      <c r="O37" s="1">
        <f>MASTER_AR_REPORT!O237</f>
        <v/>
      </c>
    </row>
    <row r="38">
      <c r="A38" s="3" t="n">
        <v>34</v>
      </c>
      <c r="B38" s="3">
        <f>IF(MASTER_AR_REPORT!B238="","",MASTER_AR_REPORT!B238)</f>
        <v/>
      </c>
      <c r="C38" s="8">
        <f>MASTER_AR_REPORT!C238</f>
        <v/>
      </c>
      <c r="D38" s="3">
        <f>IF(MASTER_AR_REPORT!D238="","",MASTER_AR_REPORT!D238)</f>
        <v/>
      </c>
      <c r="E38" s="3">
        <f>IF(MASTER_AR_REPORT!E238="","",MASTER_AR_REPORT!E238)</f>
        <v/>
      </c>
      <c r="F38" s="4">
        <f>MASTER_AR_REPORT!F238</f>
        <v/>
      </c>
      <c r="G38" s="8">
        <f>MASTER_AR_REPORT!G238</f>
        <v/>
      </c>
      <c r="H38" s="4">
        <f>MASTER_AR_REPORT!H238</f>
        <v/>
      </c>
      <c r="I38" s="4">
        <f>MASTER_AR_REPORT!I238</f>
        <v/>
      </c>
      <c r="J38" s="3">
        <f>MASTER_AR_REPORT!J238</f>
        <v/>
      </c>
      <c r="K38" s="3">
        <f>MASTER_AR_REPORT!K238</f>
        <v/>
      </c>
      <c r="L38" s="3">
        <f>MASTER_AR_REPORT!L238</f>
        <v/>
      </c>
      <c r="M38" s="3">
        <f>MASTER_AR_REPORT!M238</f>
        <v/>
      </c>
      <c r="N38" s="3">
        <f>MASTER_AR_REPORT!N238</f>
        <v/>
      </c>
      <c r="O38" s="3">
        <f>MASTER_AR_REPORT!O238</f>
        <v/>
      </c>
    </row>
    <row r="39">
      <c r="A39" s="1" t="n">
        <v>35</v>
      </c>
      <c r="B39" s="1">
        <f>IF(MASTER_AR_REPORT!B239="","",MASTER_AR_REPORT!B239)</f>
        <v/>
      </c>
      <c r="C39" s="9">
        <f>MASTER_AR_REPORT!C239</f>
        <v/>
      </c>
      <c r="D39" s="1">
        <f>IF(MASTER_AR_REPORT!D239="","",MASTER_AR_REPORT!D239)</f>
        <v/>
      </c>
      <c r="E39" s="1">
        <f>IF(MASTER_AR_REPORT!E239="","",MASTER_AR_REPORT!E239)</f>
        <v/>
      </c>
      <c r="F39" s="2">
        <f>MASTER_AR_REPORT!F239</f>
        <v/>
      </c>
      <c r="G39" s="9">
        <f>MASTER_AR_REPORT!G239</f>
        <v/>
      </c>
      <c r="H39" s="2">
        <f>MASTER_AR_REPORT!H239</f>
        <v/>
      </c>
      <c r="I39" s="2">
        <f>MASTER_AR_REPORT!I239</f>
        <v/>
      </c>
      <c r="J39" s="1">
        <f>MASTER_AR_REPORT!J239</f>
        <v/>
      </c>
      <c r="K39" s="1">
        <f>MASTER_AR_REPORT!K239</f>
        <v/>
      </c>
      <c r="L39" s="1">
        <f>MASTER_AR_REPORT!L239</f>
        <v/>
      </c>
      <c r="M39" s="1">
        <f>MASTER_AR_REPORT!M239</f>
        <v/>
      </c>
      <c r="N39" s="1">
        <f>MASTER_AR_REPORT!N239</f>
        <v/>
      </c>
      <c r="O39" s="1">
        <f>MASTER_AR_REPORT!O239</f>
        <v/>
      </c>
    </row>
    <row r="40">
      <c r="A40" s="3" t="n">
        <v>36</v>
      </c>
      <c r="B40" s="3">
        <f>IF(MASTER_AR_REPORT!B240="","",MASTER_AR_REPORT!B240)</f>
        <v/>
      </c>
      <c r="C40" s="8">
        <f>MASTER_AR_REPORT!C240</f>
        <v/>
      </c>
      <c r="D40" s="3">
        <f>IF(MASTER_AR_REPORT!D240="","",MASTER_AR_REPORT!D240)</f>
        <v/>
      </c>
      <c r="E40" s="3">
        <f>IF(MASTER_AR_REPORT!E240="","",MASTER_AR_REPORT!E240)</f>
        <v/>
      </c>
      <c r="F40" s="4">
        <f>MASTER_AR_REPORT!F240</f>
        <v/>
      </c>
      <c r="G40" s="8">
        <f>MASTER_AR_REPORT!G240</f>
        <v/>
      </c>
      <c r="H40" s="4">
        <f>MASTER_AR_REPORT!H240</f>
        <v/>
      </c>
      <c r="I40" s="4">
        <f>MASTER_AR_REPORT!I240</f>
        <v/>
      </c>
      <c r="J40" s="3">
        <f>MASTER_AR_REPORT!J240</f>
        <v/>
      </c>
      <c r="K40" s="3">
        <f>MASTER_AR_REPORT!K240</f>
        <v/>
      </c>
      <c r="L40" s="3">
        <f>MASTER_AR_REPORT!L240</f>
        <v/>
      </c>
      <c r="M40" s="3">
        <f>MASTER_AR_REPORT!M240</f>
        <v/>
      </c>
      <c r="N40" s="3">
        <f>MASTER_AR_REPORT!N240</f>
        <v/>
      </c>
      <c r="O40" s="3">
        <f>MASTER_AR_REPORT!O240</f>
        <v/>
      </c>
    </row>
    <row r="41">
      <c r="A41" s="1" t="n">
        <v>37</v>
      </c>
      <c r="B41" s="1">
        <f>IF(MASTER_AR_REPORT!B241="","",MASTER_AR_REPORT!B241)</f>
        <v/>
      </c>
      <c r="C41" s="9">
        <f>MASTER_AR_REPORT!C241</f>
        <v/>
      </c>
      <c r="D41" s="1">
        <f>IF(MASTER_AR_REPORT!D241="","",MASTER_AR_REPORT!D241)</f>
        <v/>
      </c>
      <c r="E41" s="1">
        <f>IF(MASTER_AR_REPORT!E241="","",MASTER_AR_REPORT!E241)</f>
        <v/>
      </c>
      <c r="F41" s="2">
        <f>MASTER_AR_REPORT!F241</f>
        <v/>
      </c>
      <c r="G41" s="9">
        <f>MASTER_AR_REPORT!G241</f>
        <v/>
      </c>
      <c r="H41" s="2">
        <f>MASTER_AR_REPORT!H241</f>
        <v/>
      </c>
      <c r="I41" s="2">
        <f>MASTER_AR_REPORT!I241</f>
        <v/>
      </c>
      <c r="J41" s="1">
        <f>MASTER_AR_REPORT!J241</f>
        <v/>
      </c>
      <c r="K41" s="1">
        <f>MASTER_AR_REPORT!K241</f>
        <v/>
      </c>
      <c r="L41" s="1">
        <f>MASTER_AR_REPORT!L241</f>
        <v/>
      </c>
      <c r="M41" s="1">
        <f>MASTER_AR_REPORT!M241</f>
        <v/>
      </c>
      <c r="N41" s="1">
        <f>MASTER_AR_REPORT!N241</f>
        <v/>
      </c>
      <c r="O41" s="1">
        <f>MASTER_AR_REPORT!O241</f>
        <v/>
      </c>
    </row>
    <row r="42">
      <c r="A42" s="3" t="n">
        <v>38</v>
      </c>
      <c r="B42" s="3">
        <f>IF(MASTER_AR_REPORT!B242="","",MASTER_AR_REPORT!B242)</f>
        <v/>
      </c>
      <c r="C42" s="8">
        <f>MASTER_AR_REPORT!C242</f>
        <v/>
      </c>
      <c r="D42" s="3">
        <f>IF(MASTER_AR_REPORT!D242="","",MASTER_AR_REPORT!D242)</f>
        <v/>
      </c>
      <c r="E42" s="3">
        <f>IF(MASTER_AR_REPORT!E242="","",MASTER_AR_REPORT!E242)</f>
        <v/>
      </c>
      <c r="F42" s="4">
        <f>MASTER_AR_REPORT!F242</f>
        <v/>
      </c>
      <c r="G42" s="8">
        <f>MASTER_AR_REPORT!G242</f>
        <v/>
      </c>
      <c r="H42" s="4">
        <f>MASTER_AR_REPORT!H242</f>
        <v/>
      </c>
      <c r="I42" s="4">
        <f>MASTER_AR_REPORT!I242</f>
        <v/>
      </c>
      <c r="J42" s="3">
        <f>MASTER_AR_REPORT!J242</f>
        <v/>
      </c>
      <c r="K42" s="3">
        <f>MASTER_AR_REPORT!K242</f>
        <v/>
      </c>
      <c r="L42" s="3">
        <f>MASTER_AR_REPORT!L242</f>
        <v/>
      </c>
      <c r="M42" s="3">
        <f>MASTER_AR_REPORT!M242</f>
        <v/>
      </c>
      <c r="N42" s="3">
        <f>MASTER_AR_REPORT!N242</f>
        <v/>
      </c>
      <c r="O42" s="3">
        <f>MASTER_AR_REPORT!O242</f>
        <v/>
      </c>
    </row>
    <row r="43">
      <c r="A43" s="1" t="n">
        <v>39</v>
      </c>
      <c r="B43" s="1">
        <f>IF(MASTER_AR_REPORT!B243="","",MASTER_AR_REPORT!B243)</f>
        <v/>
      </c>
      <c r="C43" s="9">
        <f>MASTER_AR_REPORT!C243</f>
        <v/>
      </c>
      <c r="D43" s="1">
        <f>IF(MASTER_AR_REPORT!D243="","",MASTER_AR_REPORT!D243)</f>
        <v/>
      </c>
      <c r="E43" s="1">
        <f>IF(MASTER_AR_REPORT!E243="","",MASTER_AR_REPORT!E243)</f>
        <v/>
      </c>
      <c r="F43" s="2">
        <f>MASTER_AR_REPORT!F243</f>
        <v/>
      </c>
      <c r="G43" s="9">
        <f>MASTER_AR_REPORT!G243</f>
        <v/>
      </c>
      <c r="H43" s="2">
        <f>MASTER_AR_REPORT!H243</f>
        <v/>
      </c>
      <c r="I43" s="2">
        <f>MASTER_AR_REPORT!I243</f>
        <v/>
      </c>
      <c r="J43" s="1">
        <f>MASTER_AR_REPORT!J243</f>
        <v/>
      </c>
      <c r="K43" s="1">
        <f>MASTER_AR_REPORT!K243</f>
        <v/>
      </c>
      <c r="L43" s="1">
        <f>MASTER_AR_REPORT!L243</f>
        <v/>
      </c>
      <c r="M43" s="1">
        <f>MASTER_AR_REPORT!M243</f>
        <v/>
      </c>
      <c r="N43" s="1">
        <f>MASTER_AR_REPORT!N243</f>
        <v/>
      </c>
      <c r="O43" s="1">
        <f>MASTER_AR_REPORT!O243</f>
        <v/>
      </c>
    </row>
    <row r="44">
      <c r="A44" s="3" t="n">
        <v>40</v>
      </c>
      <c r="B44" s="3">
        <f>IF(MASTER_AR_REPORT!B244="","",MASTER_AR_REPORT!B244)</f>
        <v/>
      </c>
      <c r="C44" s="8">
        <f>MASTER_AR_REPORT!C244</f>
        <v/>
      </c>
      <c r="D44" s="3">
        <f>IF(MASTER_AR_REPORT!D244="","",MASTER_AR_REPORT!D244)</f>
        <v/>
      </c>
      <c r="E44" s="3">
        <f>IF(MASTER_AR_REPORT!E244="","",MASTER_AR_REPORT!E244)</f>
        <v/>
      </c>
      <c r="F44" s="4">
        <f>MASTER_AR_REPORT!F244</f>
        <v/>
      </c>
      <c r="G44" s="8">
        <f>MASTER_AR_REPORT!G244</f>
        <v/>
      </c>
      <c r="H44" s="4">
        <f>MASTER_AR_REPORT!H244</f>
        <v/>
      </c>
      <c r="I44" s="4">
        <f>MASTER_AR_REPORT!I244</f>
        <v/>
      </c>
      <c r="J44" s="3">
        <f>MASTER_AR_REPORT!J244</f>
        <v/>
      </c>
      <c r="K44" s="3">
        <f>MASTER_AR_REPORT!K244</f>
        <v/>
      </c>
      <c r="L44" s="3">
        <f>MASTER_AR_REPORT!L244</f>
        <v/>
      </c>
      <c r="M44" s="3">
        <f>MASTER_AR_REPORT!M244</f>
        <v/>
      </c>
      <c r="N44" s="3">
        <f>MASTER_AR_REPORT!N244</f>
        <v/>
      </c>
      <c r="O44" s="3">
        <f>MASTER_AR_REPORT!O244</f>
        <v/>
      </c>
    </row>
    <row r="45">
      <c r="A45" s="1" t="n">
        <v>41</v>
      </c>
      <c r="B45" s="1">
        <f>IF(MASTER_AR_REPORT!B245="","",MASTER_AR_REPORT!B245)</f>
        <v/>
      </c>
      <c r="C45" s="9">
        <f>MASTER_AR_REPORT!C245</f>
        <v/>
      </c>
      <c r="D45" s="1">
        <f>IF(MASTER_AR_REPORT!D245="","",MASTER_AR_REPORT!D245)</f>
        <v/>
      </c>
      <c r="E45" s="1">
        <f>IF(MASTER_AR_REPORT!E245="","",MASTER_AR_REPORT!E245)</f>
        <v/>
      </c>
      <c r="F45" s="2">
        <f>MASTER_AR_REPORT!F245</f>
        <v/>
      </c>
      <c r="G45" s="9">
        <f>MASTER_AR_REPORT!G245</f>
        <v/>
      </c>
      <c r="H45" s="2">
        <f>MASTER_AR_REPORT!H245</f>
        <v/>
      </c>
      <c r="I45" s="2">
        <f>MASTER_AR_REPORT!I245</f>
        <v/>
      </c>
      <c r="J45" s="1">
        <f>MASTER_AR_REPORT!J245</f>
        <v/>
      </c>
      <c r="K45" s="1">
        <f>MASTER_AR_REPORT!K245</f>
        <v/>
      </c>
      <c r="L45" s="1">
        <f>MASTER_AR_REPORT!L245</f>
        <v/>
      </c>
      <c r="M45" s="1">
        <f>MASTER_AR_REPORT!M245</f>
        <v/>
      </c>
      <c r="N45" s="1">
        <f>MASTER_AR_REPORT!N245</f>
        <v/>
      </c>
      <c r="O45" s="1">
        <f>MASTER_AR_REPORT!O245</f>
        <v/>
      </c>
    </row>
    <row r="46">
      <c r="A46" s="3" t="n">
        <v>42</v>
      </c>
      <c r="B46" s="3">
        <f>IF(MASTER_AR_REPORT!B246="","",MASTER_AR_REPORT!B246)</f>
        <v/>
      </c>
      <c r="C46" s="8">
        <f>MASTER_AR_REPORT!C246</f>
        <v/>
      </c>
      <c r="D46" s="3">
        <f>IF(MASTER_AR_REPORT!D246="","",MASTER_AR_REPORT!D246)</f>
        <v/>
      </c>
      <c r="E46" s="3">
        <f>IF(MASTER_AR_REPORT!E246="","",MASTER_AR_REPORT!E246)</f>
        <v/>
      </c>
      <c r="F46" s="4">
        <f>MASTER_AR_REPORT!F246</f>
        <v/>
      </c>
      <c r="G46" s="8">
        <f>MASTER_AR_REPORT!G246</f>
        <v/>
      </c>
      <c r="H46" s="4">
        <f>MASTER_AR_REPORT!H246</f>
        <v/>
      </c>
      <c r="I46" s="4">
        <f>MASTER_AR_REPORT!I246</f>
        <v/>
      </c>
      <c r="J46" s="3">
        <f>MASTER_AR_REPORT!J246</f>
        <v/>
      </c>
      <c r="K46" s="3">
        <f>MASTER_AR_REPORT!K246</f>
        <v/>
      </c>
      <c r="L46" s="3">
        <f>MASTER_AR_REPORT!L246</f>
        <v/>
      </c>
      <c r="M46" s="3">
        <f>MASTER_AR_REPORT!M246</f>
        <v/>
      </c>
      <c r="N46" s="3">
        <f>MASTER_AR_REPORT!N246</f>
        <v/>
      </c>
      <c r="O46" s="3">
        <f>MASTER_AR_REPORT!O246</f>
        <v/>
      </c>
    </row>
    <row r="47">
      <c r="A47" s="1" t="n">
        <v>43</v>
      </c>
      <c r="B47" s="1">
        <f>IF(MASTER_AR_REPORT!B247="","",MASTER_AR_REPORT!B247)</f>
        <v/>
      </c>
      <c r="C47" s="9">
        <f>MASTER_AR_REPORT!C247</f>
        <v/>
      </c>
      <c r="D47" s="1">
        <f>IF(MASTER_AR_REPORT!D247="","",MASTER_AR_REPORT!D247)</f>
        <v/>
      </c>
      <c r="E47" s="1">
        <f>IF(MASTER_AR_REPORT!E247="","",MASTER_AR_REPORT!E247)</f>
        <v/>
      </c>
      <c r="F47" s="2">
        <f>MASTER_AR_REPORT!F247</f>
        <v/>
      </c>
      <c r="G47" s="9">
        <f>MASTER_AR_REPORT!G247</f>
        <v/>
      </c>
      <c r="H47" s="2">
        <f>MASTER_AR_REPORT!H247</f>
        <v/>
      </c>
      <c r="I47" s="2">
        <f>MASTER_AR_REPORT!I247</f>
        <v/>
      </c>
      <c r="J47" s="1">
        <f>MASTER_AR_REPORT!J247</f>
        <v/>
      </c>
      <c r="K47" s="1">
        <f>MASTER_AR_REPORT!K247</f>
        <v/>
      </c>
      <c r="L47" s="1">
        <f>MASTER_AR_REPORT!L247</f>
        <v/>
      </c>
      <c r="M47" s="1">
        <f>MASTER_AR_REPORT!M247</f>
        <v/>
      </c>
      <c r="N47" s="1">
        <f>MASTER_AR_REPORT!N247</f>
        <v/>
      </c>
      <c r="O47" s="1">
        <f>MASTER_AR_REPORT!O247</f>
        <v/>
      </c>
    </row>
    <row r="48">
      <c r="A48" s="3" t="n">
        <v>44</v>
      </c>
      <c r="B48" s="3">
        <f>IF(MASTER_AR_REPORT!B248="","",MASTER_AR_REPORT!B248)</f>
        <v/>
      </c>
      <c r="C48" s="8">
        <f>MASTER_AR_REPORT!C248</f>
        <v/>
      </c>
      <c r="D48" s="3">
        <f>IF(MASTER_AR_REPORT!D248="","",MASTER_AR_REPORT!D248)</f>
        <v/>
      </c>
      <c r="E48" s="3">
        <f>IF(MASTER_AR_REPORT!E248="","",MASTER_AR_REPORT!E248)</f>
        <v/>
      </c>
      <c r="F48" s="4">
        <f>MASTER_AR_REPORT!F248</f>
        <v/>
      </c>
      <c r="G48" s="8">
        <f>MASTER_AR_REPORT!G248</f>
        <v/>
      </c>
      <c r="H48" s="4">
        <f>MASTER_AR_REPORT!H248</f>
        <v/>
      </c>
      <c r="I48" s="4">
        <f>MASTER_AR_REPORT!I248</f>
        <v/>
      </c>
      <c r="J48" s="3">
        <f>MASTER_AR_REPORT!J248</f>
        <v/>
      </c>
      <c r="K48" s="3">
        <f>MASTER_AR_REPORT!K248</f>
        <v/>
      </c>
      <c r="L48" s="3">
        <f>MASTER_AR_REPORT!L248</f>
        <v/>
      </c>
      <c r="M48" s="3">
        <f>MASTER_AR_REPORT!M248</f>
        <v/>
      </c>
      <c r="N48" s="3">
        <f>MASTER_AR_REPORT!N248</f>
        <v/>
      </c>
      <c r="O48" s="3">
        <f>MASTER_AR_REPORT!O248</f>
        <v/>
      </c>
    </row>
    <row r="49">
      <c r="A49" s="1" t="n">
        <v>45</v>
      </c>
      <c r="B49" s="1">
        <f>IF(MASTER_AR_REPORT!B249="","",MASTER_AR_REPORT!B249)</f>
        <v/>
      </c>
      <c r="C49" s="9">
        <f>MASTER_AR_REPORT!C249</f>
        <v/>
      </c>
      <c r="D49" s="1">
        <f>IF(MASTER_AR_REPORT!D249="","",MASTER_AR_REPORT!D249)</f>
        <v/>
      </c>
      <c r="E49" s="1">
        <f>IF(MASTER_AR_REPORT!E249="","",MASTER_AR_REPORT!E249)</f>
        <v/>
      </c>
      <c r="F49" s="2">
        <f>MASTER_AR_REPORT!F249</f>
        <v/>
      </c>
      <c r="G49" s="9">
        <f>MASTER_AR_REPORT!G249</f>
        <v/>
      </c>
      <c r="H49" s="2">
        <f>MASTER_AR_REPORT!H249</f>
        <v/>
      </c>
      <c r="I49" s="2">
        <f>MASTER_AR_REPORT!I249</f>
        <v/>
      </c>
      <c r="J49" s="1">
        <f>MASTER_AR_REPORT!J249</f>
        <v/>
      </c>
      <c r="K49" s="1">
        <f>MASTER_AR_REPORT!K249</f>
        <v/>
      </c>
      <c r="L49" s="1">
        <f>MASTER_AR_REPORT!L249</f>
        <v/>
      </c>
      <c r="M49" s="1">
        <f>MASTER_AR_REPORT!M249</f>
        <v/>
      </c>
      <c r="N49" s="1">
        <f>MASTER_AR_REPORT!N249</f>
        <v/>
      </c>
      <c r="O49" s="1">
        <f>MASTER_AR_REPORT!O249</f>
        <v/>
      </c>
    </row>
    <row r="50">
      <c r="A50" s="3" t="n">
        <v>46</v>
      </c>
      <c r="B50" s="3">
        <f>IF(MASTER_AR_REPORT!B250="","",MASTER_AR_REPORT!B250)</f>
        <v/>
      </c>
      <c r="C50" s="8">
        <f>MASTER_AR_REPORT!C250</f>
        <v/>
      </c>
      <c r="D50" s="3">
        <f>IF(MASTER_AR_REPORT!D250="","",MASTER_AR_REPORT!D250)</f>
        <v/>
      </c>
      <c r="E50" s="3">
        <f>IF(MASTER_AR_REPORT!E250="","",MASTER_AR_REPORT!E250)</f>
        <v/>
      </c>
      <c r="F50" s="4">
        <f>MASTER_AR_REPORT!F250</f>
        <v/>
      </c>
      <c r="G50" s="8">
        <f>MASTER_AR_REPORT!G250</f>
        <v/>
      </c>
      <c r="H50" s="4">
        <f>MASTER_AR_REPORT!H250</f>
        <v/>
      </c>
      <c r="I50" s="4">
        <f>MASTER_AR_REPORT!I250</f>
        <v/>
      </c>
      <c r="J50" s="3">
        <f>MASTER_AR_REPORT!J250</f>
        <v/>
      </c>
      <c r="K50" s="3">
        <f>MASTER_AR_REPORT!K250</f>
        <v/>
      </c>
      <c r="L50" s="3">
        <f>MASTER_AR_REPORT!L250</f>
        <v/>
      </c>
      <c r="M50" s="3">
        <f>MASTER_AR_REPORT!M250</f>
        <v/>
      </c>
      <c r="N50" s="3">
        <f>MASTER_AR_REPORT!N250</f>
        <v/>
      </c>
      <c r="O50" s="3">
        <f>MASTER_AR_REPORT!O250</f>
        <v/>
      </c>
    </row>
    <row r="51">
      <c r="A51" s="1" t="n">
        <v>47</v>
      </c>
      <c r="B51" s="1">
        <f>IF(MASTER_AR_REPORT!B251="","",MASTER_AR_REPORT!B251)</f>
        <v/>
      </c>
      <c r="C51" s="9">
        <f>MASTER_AR_REPORT!C251</f>
        <v/>
      </c>
      <c r="D51" s="1">
        <f>IF(MASTER_AR_REPORT!D251="","",MASTER_AR_REPORT!D251)</f>
        <v/>
      </c>
      <c r="E51" s="1">
        <f>IF(MASTER_AR_REPORT!E251="","",MASTER_AR_REPORT!E251)</f>
        <v/>
      </c>
      <c r="F51" s="2">
        <f>MASTER_AR_REPORT!F251</f>
        <v/>
      </c>
      <c r="G51" s="9">
        <f>MASTER_AR_REPORT!G251</f>
        <v/>
      </c>
      <c r="H51" s="2">
        <f>MASTER_AR_REPORT!H251</f>
        <v/>
      </c>
      <c r="I51" s="2">
        <f>MASTER_AR_REPORT!I251</f>
        <v/>
      </c>
      <c r="J51" s="1">
        <f>MASTER_AR_REPORT!J251</f>
        <v/>
      </c>
      <c r="K51" s="1">
        <f>MASTER_AR_REPORT!K251</f>
        <v/>
      </c>
      <c r="L51" s="1">
        <f>MASTER_AR_REPORT!L251</f>
        <v/>
      </c>
      <c r="M51" s="1">
        <f>MASTER_AR_REPORT!M251</f>
        <v/>
      </c>
      <c r="N51" s="1">
        <f>MASTER_AR_REPORT!N251</f>
        <v/>
      </c>
      <c r="O51" s="1">
        <f>MASTER_AR_REPORT!O251</f>
        <v/>
      </c>
    </row>
    <row r="52">
      <c r="A52" s="3" t="n">
        <v>48</v>
      </c>
      <c r="B52" s="3">
        <f>IF(MASTER_AR_REPORT!B252="","",MASTER_AR_REPORT!B252)</f>
        <v/>
      </c>
      <c r="C52" s="8">
        <f>MASTER_AR_REPORT!C252</f>
        <v/>
      </c>
      <c r="D52" s="3">
        <f>IF(MASTER_AR_REPORT!D252="","",MASTER_AR_REPORT!D252)</f>
        <v/>
      </c>
      <c r="E52" s="3">
        <f>IF(MASTER_AR_REPORT!E252="","",MASTER_AR_REPORT!E252)</f>
        <v/>
      </c>
      <c r="F52" s="4">
        <f>MASTER_AR_REPORT!F252</f>
        <v/>
      </c>
      <c r="G52" s="8">
        <f>MASTER_AR_REPORT!G252</f>
        <v/>
      </c>
      <c r="H52" s="4">
        <f>MASTER_AR_REPORT!H252</f>
        <v/>
      </c>
      <c r="I52" s="4">
        <f>MASTER_AR_REPORT!I252</f>
        <v/>
      </c>
      <c r="J52" s="3">
        <f>MASTER_AR_REPORT!J252</f>
        <v/>
      </c>
      <c r="K52" s="3">
        <f>MASTER_AR_REPORT!K252</f>
        <v/>
      </c>
      <c r="L52" s="3">
        <f>MASTER_AR_REPORT!L252</f>
        <v/>
      </c>
      <c r="M52" s="3">
        <f>MASTER_AR_REPORT!M252</f>
        <v/>
      </c>
      <c r="N52" s="3">
        <f>MASTER_AR_REPORT!N252</f>
        <v/>
      </c>
      <c r="O52" s="3">
        <f>MASTER_AR_REPORT!O252</f>
        <v/>
      </c>
    </row>
    <row r="53">
      <c r="A53" s="1" t="n">
        <v>49</v>
      </c>
      <c r="B53" s="1">
        <f>IF(MASTER_AR_REPORT!B253="","",MASTER_AR_REPORT!B253)</f>
        <v/>
      </c>
      <c r="C53" s="9">
        <f>MASTER_AR_REPORT!C253</f>
        <v/>
      </c>
      <c r="D53" s="1">
        <f>IF(MASTER_AR_REPORT!D253="","",MASTER_AR_REPORT!D253)</f>
        <v/>
      </c>
      <c r="E53" s="1">
        <f>IF(MASTER_AR_REPORT!E253="","",MASTER_AR_REPORT!E253)</f>
        <v/>
      </c>
      <c r="F53" s="2">
        <f>MASTER_AR_REPORT!F253</f>
        <v/>
      </c>
      <c r="G53" s="9">
        <f>MASTER_AR_REPORT!G253</f>
        <v/>
      </c>
      <c r="H53" s="2">
        <f>MASTER_AR_REPORT!H253</f>
        <v/>
      </c>
      <c r="I53" s="2">
        <f>MASTER_AR_REPORT!I253</f>
        <v/>
      </c>
      <c r="J53" s="1">
        <f>MASTER_AR_REPORT!J253</f>
        <v/>
      </c>
      <c r="K53" s="1">
        <f>MASTER_AR_REPORT!K253</f>
        <v/>
      </c>
      <c r="L53" s="1">
        <f>MASTER_AR_REPORT!L253</f>
        <v/>
      </c>
      <c r="M53" s="1">
        <f>MASTER_AR_REPORT!M253</f>
        <v/>
      </c>
      <c r="N53" s="1">
        <f>MASTER_AR_REPORT!N253</f>
        <v/>
      </c>
      <c r="O53" s="1">
        <f>MASTER_AR_REPORT!O253</f>
        <v/>
      </c>
    </row>
    <row r="54">
      <c r="A54" s="3" t="n">
        <v>50</v>
      </c>
      <c r="B54" s="3">
        <f>IF(MASTER_AR_REPORT!B254="","",MASTER_AR_REPORT!B254)</f>
        <v/>
      </c>
      <c r="C54" s="8">
        <f>MASTER_AR_REPORT!C254</f>
        <v/>
      </c>
      <c r="D54" s="3">
        <f>IF(MASTER_AR_REPORT!D254="","",MASTER_AR_REPORT!D254)</f>
        <v/>
      </c>
      <c r="E54" s="3">
        <f>IF(MASTER_AR_REPORT!E254="","",MASTER_AR_REPORT!E254)</f>
        <v/>
      </c>
      <c r="F54" s="4">
        <f>MASTER_AR_REPORT!F254</f>
        <v/>
      </c>
      <c r="G54" s="8">
        <f>MASTER_AR_REPORT!G254</f>
        <v/>
      </c>
      <c r="H54" s="4">
        <f>MASTER_AR_REPORT!H254</f>
        <v/>
      </c>
      <c r="I54" s="4">
        <f>MASTER_AR_REPORT!I254</f>
        <v/>
      </c>
      <c r="J54" s="3">
        <f>MASTER_AR_REPORT!J254</f>
        <v/>
      </c>
      <c r="K54" s="3">
        <f>MASTER_AR_REPORT!K254</f>
        <v/>
      </c>
      <c r="L54" s="3">
        <f>MASTER_AR_REPORT!L254</f>
        <v/>
      </c>
      <c r="M54" s="3">
        <f>MASTER_AR_REPORT!M254</f>
        <v/>
      </c>
      <c r="N54" s="3">
        <f>MASTER_AR_REPORT!N254</f>
        <v/>
      </c>
      <c r="O54" s="3">
        <f>MASTER_AR_REPORT!O254</f>
        <v/>
      </c>
    </row>
    <row r="55">
      <c r="A55" s="1" t="n">
        <v>51</v>
      </c>
      <c r="B55" s="1">
        <f>IF(MASTER_AR_REPORT!B255="","",MASTER_AR_REPORT!B255)</f>
        <v/>
      </c>
      <c r="C55" s="9">
        <f>MASTER_AR_REPORT!C255</f>
        <v/>
      </c>
      <c r="D55" s="1">
        <f>IF(MASTER_AR_REPORT!D255="","",MASTER_AR_REPORT!D255)</f>
        <v/>
      </c>
      <c r="E55" s="1">
        <f>IF(MASTER_AR_REPORT!E255="","",MASTER_AR_REPORT!E255)</f>
        <v/>
      </c>
      <c r="F55" s="2">
        <f>MASTER_AR_REPORT!F255</f>
        <v/>
      </c>
      <c r="G55" s="9">
        <f>MASTER_AR_REPORT!G255</f>
        <v/>
      </c>
      <c r="H55" s="2">
        <f>MASTER_AR_REPORT!H255</f>
        <v/>
      </c>
      <c r="I55" s="2">
        <f>MASTER_AR_REPORT!I255</f>
        <v/>
      </c>
      <c r="J55" s="1">
        <f>MASTER_AR_REPORT!J255</f>
        <v/>
      </c>
      <c r="K55" s="1">
        <f>MASTER_AR_REPORT!K255</f>
        <v/>
      </c>
      <c r="L55" s="1">
        <f>MASTER_AR_REPORT!L255</f>
        <v/>
      </c>
      <c r="M55" s="1">
        <f>MASTER_AR_REPORT!M255</f>
        <v/>
      </c>
      <c r="N55" s="1">
        <f>MASTER_AR_REPORT!N255</f>
        <v/>
      </c>
      <c r="O55" s="1">
        <f>MASTER_AR_REPORT!O255</f>
        <v/>
      </c>
    </row>
    <row r="56">
      <c r="A56" s="3" t="n">
        <v>52</v>
      </c>
      <c r="B56" s="3">
        <f>IF(MASTER_AR_REPORT!B256="","",MASTER_AR_REPORT!B256)</f>
        <v/>
      </c>
      <c r="C56" s="8">
        <f>MASTER_AR_REPORT!C256</f>
        <v/>
      </c>
      <c r="D56" s="3">
        <f>IF(MASTER_AR_REPORT!D256="","",MASTER_AR_REPORT!D256)</f>
        <v/>
      </c>
      <c r="E56" s="3">
        <f>IF(MASTER_AR_REPORT!E256="","",MASTER_AR_REPORT!E256)</f>
        <v/>
      </c>
      <c r="F56" s="4">
        <f>MASTER_AR_REPORT!F256</f>
        <v/>
      </c>
      <c r="G56" s="8">
        <f>MASTER_AR_REPORT!G256</f>
        <v/>
      </c>
      <c r="H56" s="4">
        <f>MASTER_AR_REPORT!H256</f>
        <v/>
      </c>
      <c r="I56" s="4">
        <f>MASTER_AR_REPORT!I256</f>
        <v/>
      </c>
      <c r="J56" s="3">
        <f>MASTER_AR_REPORT!J256</f>
        <v/>
      </c>
      <c r="K56" s="3">
        <f>MASTER_AR_REPORT!K256</f>
        <v/>
      </c>
      <c r="L56" s="3">
        <f>MASTER_AR_REPORT!L256</f>
        <v/>
      </c>
      <c r="M56" s="3">
        <f>MASTER_AR_REPORT!M256</f>
        <v/>
      </c>
      <c r="N56" s="3">
        <f>MASTER_AR_REPORT!N256</f>
        <v/>
      </c>
      <c r="O56" s="3">
        <f>MASTER_AR_REPORT!O256</f>
        <v/>
      </c>
    </row>
    <row r="57">
      <c r="A57" s="1" t="n">
        <v>53</v>
      </c>
      <c r="B57" s="1">
        <f>IF(MASTER_AR_REPORT!B257="","",MASTER_AR_REPORT!B257)</f>
        <v/>
      </c>
      <c r="C57" s="9">
        <f>MASTER_AR_REPORT!C257</f>
        <v/>
      </c>
      <c r="D57" s="1">
        <f>IF(MASTER_AR_REPORT!D257="","",MASTER_AR_REPORT!D257)</f>
        <v/>
      </c>
      <c r="E57" s="1">
        <f>IF(MASTER_AR_REPORT!E257="","",MASTER_AR_REPORT!E257)</f>
        <v/>
      </c>
      <c r="F57" s="2">
        <f>MASTER_AR_REPORT!F257</f>
        <v/>
      </c>
      <c r="G57" s="9">
        <f>MASTER_AR_REPORT!G257</f>
        <v/>
      </c>
      <c r="H57" s="2">
        <f>MASTER_AR_REPORT!H257</f>
        <v/>
      </c>
      <c r="I57" s="2">
        <f>MASTER_AR_REPORT!I257</f>
        <v/>
      </c>
      <c r="J57" s="1">
        <f>MASTER_AR_REPORT!J257</f>
        <v/>
      </c>
      <c r="K57" s="1">
        <f>MASTER_AR_REPORT!K257</f>
        <v/>
      </c>
      <c r="L57" s="1">
        <f>MASTER_AR_REPORT!L257</f>
        <v/>
      </c>
      <c r="M57" s="1">
        <f>MASTER_AR_REPORT!M257</f>
        <v/>
      </c>
      <c r="N57" s="1">
        <f>MASTER_AR_REPORT!N257</f>
        <v/>
      </c>
      <c r="O57" s="1">
        <f>MASTER_AR_REPORT!O257</f>
        <v/>
      </c>
    </row>
    <row r="58">
      <c r="A58" s="3" t="n">
        <v>54</v>
      </c>
      <c r="B58" s="3">
        <f>IF(MASTER_AR_REPORT!B258="","",MASTER_AR_REPORT!B258)</f>
        <v/>
      </c>
      <c r="C58" s="8">
        <f>MASTER_AR_REPORT!C258</f>
        <v/>
      </c>
      <c r="D58" s="3">
        <f>IF(MASTER_AR_REPORT!D258="","",MASTER_AR_REPORT!D258)</f>
        <v/>
      </c>
      <c r="E58" s="3">
        <f>IF(MASTER_AR_REPORT!E258="","",MASTER_AR_REPORT!E258)</f>
        <v/>
      </c>
      <c r="F58" s="4">
        <f>MASTER_AR_REPORT!F258</f>
        <v/>
      </c>
      <c r="G58" s="8">
        <f>MASTER_AR_REPORT!G258</f>
        <v/>
      </c>
      <c r="H58" s="4">
        <f>MASTER_AR_REPORT!H258</f>
        <v/>
      </c>
      <c r="I58" s="4">
        <f>MASTER_AR_REPORT!I258</f>
        <v/>
      </c>
      <c r="J58" s="3">
        <f>MASTER_AR_REPORT!J258</f>
        <v/>
      </c>
      <c r="K58" s="3">
        <f>MASTER_AR_REPORT!K258</f>
        <v/>
      </c>
      <c r="L58" s="3">
        <f>MASTER_AR_REPORT!L258</f>
        <v/>
      </c>
      <c r="M58" s="3">
        <f>MASTER_AR_REPORT!M258</f>
        <v/>
      </c>
      <c r="N58" s="3">
        <f>MASTER_AR_REPORT!N258</f>
        <v/>
      </c>
      <c r="O58" s="3">
        <f>MASTER_AR_REPORT!O258</f>
        <v/>
      </c>
    </row>
    <row r="59">
      <c r="A59" s="1" t="n">
        <v>55</v>
      </c>
      <c r="B59" s="1">
        <f>IF(MASTER_AR_REPORT!B259="","",MASTER_AR_REPORT!B259)</f>
        <v/>
      </c>
      <c r="C59" s="9">
        <f>MASTER_AR_REPORT!C259</f>
        <v/>
      </c>
      <c r="D59" s="1">
        <f>IF(MASTER_AR_REPORT!D259="","",MASTER_AR_REPORT!D259)</f>
        <v/>
      </c>
      <c r="E59" s="1">
        <f>IF(MASTER_AR_REPORT!E259="","",MASTER_AR_REPORT!E259)</f>
        <v/>
      </c>
      <c r="F59" s="2">
        <f>MASTER_AR_REPORT!F259</f>
        <v/>
      </c>
      <c r="G59" s="9">
        <f>MASTER_AR_REPORT!G259</f>
        <v/>
      </c>
      <c r="H59" s="2">
        <f>MASTER_AR_REPORT!H259</f>
        <v/>
      </c>
      <c r="I59" s="2">
        <f>MASTER_AR_REPORT!I259</f>
        <v/>
      </c>
      <c r="J59" s="1">
        <f>MASTER_AR_REPORT!J259</f>
        <v/>
      </c>
      <c r="K59" s="1">
        <f>MASTER_AR_REPORT!K259</f>
        <v/>
      </c>
      <c r="L59" s="1">
        <f>MASTER_AR_REPORT!L259</f>
        <v/>
      </c>
      <c r="M59" s="1">
        <f>MASTER_AR_REPORT!M259</f>
        <v/>
      </c>
      <c r="N59" s="1">
        <f>MASTER_AR_REPORT!N259</f>
        <v/>
      </c>
      <c r="O59" s="1">
        <f>MASTER_AR_REPORT!O259</f>
        <v/>
      </c>
    </row>
    <row r="60">
      <c r="A60" s="3" t="n">
        <v>56</v>
      </c>
      <c r="B60" s="3">
        <f>IF(MASTER_AR_REPORT!B260="","",MASTER_AR_REPORT!B260)</f>
        <v/>
      </c>
      <c r="C60" s="8">
        <f>MASTER_AR_REPORT!C260</f>
        <v/>
      </c>
      <c r="D60" s="3">
        <f>IF(MASTER_AR_REPORT!D260="","",MASTER_AR_REPORT!D260)</f>
        <v/>
      </c>
      <c r="E60" s="3">
        <f>IF(MASTER_AR_REPORT!E260="","",MASTER_AR_REPORT!E260)</f>
        <v/>
      </c>
      <c r="F60" s="4">
        <f>MASTER_AR_REPORT!F260</f>
        <v/>
      </c>
      <c r="G60" s="8">
        <f>MASTER_AR_REPORT!G260</f>
        <v/>
      </c>
      <c r="H60" s="4">
        <f>MASTER_AR_REPORT!H260</f>
        <v/>
      </c>
      <c r="I60" s="4">
        <f>MASTER_AR_REPORT!I260</f>
        <v/>
      </c>
      <c r="J60" s="3">
        <f>MASTER_AR_REPORT!J260</f>
        <v/>
      </c>
      <c r="K60" s="3">
        <f>MASTER_AR_REPORT!K260</f>
        <v/>
      </c>
      <c r="L60" s="3">
        <f>MASTER_AR_REPORT!L260</f>
        <v/>
      </c>
      <c r="M60" s="3">
        <f>MASTER_AR_REPORT!M260</f>
        <v/>
      </c>
      <c r="N60" s="3">
        <f>MASTER_AR_REPORT!N260</f>
        <v/>
      </c>
      <c r="O60" s="3">
        <f>MASTER_AR_REPORT!O260</f>
        <v/>
      </c>
    </row>
    <row r="61">
      <c r="A61" s="1" t="n">
        <v>57</v>
      </c>
      <c r="B61" s="1">
        <f>IF(MASTER_AR_REPORT!B261="","",MASTER_AR_REPORT!B261)</f>
        <v/>
      </c>
      <c r="C61" s="9">
        <f>MASTER_AR_REPORT!C261</f>
        <v/>
      </c>
      <c r="D61" s="1">
        <f>IF(MASTER_AR_REPORT!D261="","",MASTER_AR_REPORT!D261)</f>
        <v/>
      </c>
      <c r="E61" s="1">
        <f>IF(MASTER_AR_REPORT!E261="","",MASTER_AR_REPORT!E261)</f>
        <v/>
      </c>
      <c r="F61" s="2">
        <f>MASTER_AR_REPORT!F261</f>
        <v/>
      </c>
      <c r="G61" s="9">
        <f>MASTER_AR_REPORT!G261</f>
        <v/>
      </c>
      <c r="H61" s="2">
        <f>MASTER_AR_REPORT!H261</f>
        <v/>
      </c>
      <c r="I61" s="2">
        <f>MASTER_AR_REPORT!I261</f>
        <v/>
      </c>
      <c r="J61" s="1">
        <f>MASTER_AR_REPORT!J261</f>
        <v/>
      </c>
      <c r="K61" s="1">
        <f>MASTER_AR_REPORT!K261</f>
        <v/>
      </c>
      <c r="L61" s="1">
        <f>MASTER_AR_REPORT!L261</f>
        <v/>
      </c>
      <c r="M61" s="1">
        <f>MASTER_AR_REPORT!M261</f>
        <v/>
      </c>
      <c r="N61" s="1">
        <f>MASTER_AR_REPORT!N261</f>
        <v/>
      </c>
      <c r="O61" s="1">
        <f>MASTER_AR_REPORT!O261</f>
        <v/>
      </c>
    </row>
    <row r="62">
      <c r="A62" s="3" t="n">
        <v>58</v>
      </c>
      <c r="B62" s="3">
        <f>IF(MASTER_AR_REPORT!B262="","",MASTER_AR_REPORT!B262)</f>
        <v/>
      </c>
      <c r="C62" s="8">
        <f>MASTER_AR_REPORT!C262</f>
        <v/>
      </c>
      <c r="D62" s="3">
        <f>IF(MASTER_AR_REPORT!D262="","",MASTER_AR_REPORT!D262)</f>
        <v/>
      </c>
      <c r="E62" s="3">
        <f>IF(MASTER_AR_REPORT!E262="","",MASTER_AR_REPORT!E262)</f>
        <v/>
      </c>
      <c r="F62" s="4">
        <f>MASTER_AR_REPORT!F262</f>
        <v/>
      </c>
      <c r="G62" s="8">
        <f>MASTER_AR_REPORT!G262</f>
        <v/>
      </c>
      <c r="H62" s="4">
        <f>MASTER_AR_REPORT!H262</f>
        <v/>
      </c>
      <c r="I62" s="4">
        <f>MASTER_AR_REPORT!I262</f>
        <v/>
      </c>
      <c r="J62" s="3">
        <f>MASTER_AR_REPORT!J262</f>
        <v/>
      </c>
      <c r="K62" s="3">
        <f>MASTER_AR_REPORT!K262</f>
        <v/>
      </c>
      <c r="L62" s="3">
        <f>MASTER_AR_REPORT!L262</f>
        <v/>
      </c>
      <c r="M62" s="3">
        <f>MASTER_AR_REPORT!M262</f>
        <v/>
      </c>
      <c r="N62" s="3">
        <f>MASTER_AR_REPORT!N262</f>
        <v/>
      </c>
      <c r="O62" s="3">
        <f>MASTER_AR_REPORT!O262</f>
        <v/>
      </c>
    </row>
    <row r="63">
      <c r="A63" s="1" t="n">
        <v>59</v>
      </c>
      <c r="B63" s="1">
        <f>IF(MASTER_AR_REPORT!B263="","",MASTER_AR_REPORT!B263)</f>
        <v/>
      </c>
      <c r="C63" s="9">
        <f>MASTER_AR_REPORT!C263</f>
        <v/>
      </c>
      <c r="D63" s="1">
        <f>IF(MASTER_AR_REPORT!D263="","",MASTER_AR_REPORT!D263)</f>
        <v/>
      </c>
      <c r="E63" s="1">
        <f>IF(MASTER_AR_REPORT!E263="","",MASTER_AR_REPORT!E263)</f>
        <v/>
      </c>
      <c r="F63" s="2">
        <f>MASTER_AR_REPORT!F263</f>
        <v/>
      </c>
      <c r="G63" s="9">
        <f>MASTER_AR_REPORT!G263</f>
        <v/>
      </c>
      <c r="H63" s="2">
        <f>MASTER_AR_REPORT!H263</f>
        <v/>
      </c>
      <c r="I63" s="2">
        <f>MASTER_AR_REPORT!I263</f>
        <v/>
      </c>
      <c r="J63" s="1">
        <f>MASTER_AR_REPORT!J263</f>
        <v/>
      </c>
      <c r="K63" s="1">
        <f>MASTER_AR_REPORT!K263</f>
        <v/>
      </c>
      <c r="L63" s="1">
        <f>MASTER_AR_REPORT!L263</f>
        <v/>
      </c>
      <c r="M63" s="1">
        <f>MASTER_AR_REPORT!M263</f>
        <v/>
      </c>
      <c r="N63" s="1">
        <f>MASTER_AR_REPORT!N263</f>
        <v/>
      </c>
      <c r="O63" s="1">
        <f>MASTER_AR_REPORT!O263</f>
        <v/>
      </c>
    </row>
    <row r="64">
      <c r="A64" s="3" t="n">
        <v>60</v>
      </c>
      <c r="B64" s="3">
        <f>IF(MASTER_AR_REPORT!B264="","",MASTER_AR_REPORT!B264)</f>
        <v/>
      </c>
      <c r="C64" s="8">
        <f>MASTER_AR_REPORT!C264</f>
        <v/>
      </c>
      <c r="D64" s="3">
        <f>IF(MASTER_AR_REPORT!D264="","",MASTER_AR_REPORT!D264)</f>
        <v/>
      </c>
      <c r="E64" s="3">
        <f>IF(MASTER_AR_REPORT!E264="","",MASTER_AR_REPORT!E264)</f>
        <v/>
      </c>
      <c r="F64" s="4">
        <f>MASTER_AR_REPORT!F264</f>
        <v/>
      </c>
      <c r="G64" s="8">
        <f>MASTER_AR_REPORT!G264</f>
        <v/>
      </c>
      <c r="H64" s="4">
        <f>MASTER_AR_REPORT!H264</f>
        <v/>
      </c>
      <c r="I64" s="4">
        <f>MASTER_AR_REPORT!I264</f>
        <v/>
      </c>
      <c r="J64" s="3">
        <f>MASTER_AR_REPORT!J264</f>
        <v/>
      </c>
      <c r="K64" s="3">
        <f>MASTER_AR_REPORT!K264</f>
        <v/>
      </c>
      <c r="L64" s="3">
        <f>MASTER_AR_REPORT!L264</f>
        <v/>
      </c>
      <c r="M64" s="3">
        <f>MASTER_AR_REPORT!M264</f>
        <v/>
      </c>
      <c r="N64" s="3">
        <f>MASTER_AR_REPORT!N264</f>
        <v/>
      </c>
      <c r="O64" s="3">
        <f>MASTER_AR_REPORT!O264</f>
        <v/>
      </c>
    </row>
    <row r="65">
      <c r="A65" s="1" t="n">
        <v>61</v>
      </c>
      <c r="B65" s="1">
        <f>IF(MASTER_AR_REPORT!B265="","",MASTER_AR_REPORT!B265)</f>
        <v/>
      </c>
      <c r="C65" s="9">
        <f>MASTER_AR_REPORT!C265</f>
        <v/>
      </c>
      <c r="D65" s="1">
        <f>IF(MASTER_AR_REPORT!D265="","",MASTER_AR_REPORT!D265)</f>
        <v/>
      </c>
      <c r="E65" s="1">
        <f>IF(MASTER_AR_REPORT!E265="","",MASTER_AR_REPORT!E265)</f>
        <v/>
      </c>
      <c r="F65" s="2">
        <f>MASTER_AR_REPORT!F265</f>
        <v/>
      </c>
      <c r="G65" s="9">
        <f>MASTER_AR_REPORT!G265</f>
        <v/>
      </c>
      <c r="H65" s="2">
        <f>MASTER_AR_REPORT!H265</f>
        <v/>
      </c>
      <c r="I65" s="2">
        <f>MASTER_AR_REPORT!I265</f>
        <v/>
      </c>
      <c r="J65" s="1">
        <f>MASTER_AR_REPORT!J265</f>
        <v/>
      </c>
      <c r="K65" s="1">
        <f>MASTER_AR_REPORT!K265</f>
        <v/>
      </c>
      <c r="L65" s="1">
        <f>MASTER_AR_REPORT!L265</f>
        <v/>
      </c>
      <c r="M65" s="1">
        <f>MASTER_AR_REPORT!M265</f>
        <v/>
      </c>
      <c r="N65" s="1">
        <f>MASTER_AR_REPORT!N265</f>
        <v/>
      </c>
      <c r="O65" s="1">
        <f>MASTER_AR_REPORT!O265</f>
        <v/>
      </c>
    </row>
    <row r="66">
      <c r="A66" s="3" t="n">
        <v>62</v>
      </c>
      <c r="B66" s="3">
        <f>IF(MASTER_AR_REPORT!B266="","",MASTER_AR_REPORT!B266)</f>
        <v/>
      </c>
      <c r="C66" s="8">
        <f>MASTER_AR_REPORT!C266</f>
        <v/>
      </c>
      <c r="D66" s="3">
        <f>IF(MASTER_AR_REPORT!D266="","",MASTER_AR_REPORT!D266)</f>
        <v/>
      </c>
      <c r="E66" s="3">
        <f>IF(MASTER_AR_REPORT!E266="","",MASTER_AR_REPORT!E266)</f>
        <v/>
      </c>
      <c r="F66" s="4">
        <f>MASTER_AR_REPORT!F266</f>
        <v/>
      </c>
      <c r="G66" s="8">
        <f>MASTER_AR_REPORT!G266</f>
        <v/>
      </c>
      <c r="H66" s="4">
        <f>MASTER_AR_REPORT!H266</f>
        <v/>
      </c>
      <c r="I66" s="4">
        <f>MASTER_AR_REPORT!I266</f>
        <v/>
      </c>
      <c r="J66" s="3">
        <f>MASTER_AR_REPORT!J266</f>
        <v/>
      </c>
      <c r="K66" s="3">
        <f>MASTER_AR_REPORT!K266</f>
        <v/>
      </c>
      <c r="L66" s="3">
        <f>MASTER_AR_REPORT!L266</f>
        <v/>
      </c>
      <c r="M66" s="3">
        <f>MASTER_AR_REPORT!M266</f>
        <v/>
      </c>
      <c r="N66" s="3">
        <f>MASTER_AR_REPORT!N266</f>
        <v/>
      </c>
      <c r="O66" s="3">
        <f>MASTER_AR_REPORT!O266</f>
        <v/>
      </c>
    </row>
    <row r="67">
      <c r="A67" s="10" t="n"/>
      <c r="B67" s="10" t="n"/>
      <c r="C67" s="10" t="n"/>
      <c r="D67" s="10" t="n"/>
      <c r="E67" s="5" t="inlineStr">
        <is>
          <t>TOTAL</t>
        </is>
      </c>
      <c r="F67" s="6">
        <f>SUM(F5:F66)</f>
        <v/>
      </c>
      <c r="G67" s="10" t="n"/>
      <c r="H67" s="6">
        <f>SUM(H5:H66)</f>
        <v/>
      </c>
      <c r="I67" s="6">
        <f>SUM(I5:I66)</f>
        <v/>
      </c>
      <c r="J67" s="10" t="n"/>
      <c r="K67" s="10" t="n"/>
      <c r="L67" s="10" t="n"/>
      <c r="M67" s="10" t="n"/>
      <c r="N67" s="10" t="n"/>
      <c r="O67" s="10" t="n"/>
    </row>
  </sheetData>
  <autoFilter ref="A4:O67"/>
  <mergeCells count="2">
    <mergeCell ref="A1:O1"/>
    <mergeCell ref="A2:O2"/>
  </mergeCells>
  <conditionalFormatting sqref="A5:O66">
    <cfRule type="expression" priority="1" dxfId="3">
      <formula>AND($J5&gt;=90,$I5&gt;0)</formula>
    </cfRule>
    <cfRule type="expression" priority="2" dxfId="2">
      <formula>AND($J5&gt;=61,$J5&lt;90,$I5&gt;0)</formula>
    </cfRule>
    <cfRule type="expression" priority="3" dxfId="1">
      <formula>AND($J5&gt;=31,$J5&lt;61,$I5&gt;0)</formula>
    </cfRule>
    <cfRule type="expression" priority="4" dxfId="0">
      <formula>AND($J5&gt;=1,$J5&lt;31,$I5&gt;0)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2"/>
  <sheetViews>
    <sheetView topLeftCell="A9" workbookViewId="0">
      <selection activeCell="J23" sqref="J23"/>
    </sheetView>
  </sheetViews>
  <sheetFormatPr baseColWidth="8" defaultRowHeight="14.4"/>
  <cols>
    <col width="10.109375" customWidth="1" style="243" min="1" max="1"/>
    <col width="20.6640625" customWidth="1" style="243" min="2" max="2"/>
    <col width="37" customWidth="1" style="243" min="3" max="3"/>
    <col width="13.109375" customWidth="1" style="243" min="4" max="4"/>
    <col width="10.6640625" customWidth="1" style="243" min="5" max="5"/>
    <col width="12.109375" customWidth="1" style="243" min="6" max="6"/>
    <col width="14.33203125" customWidth="1" style="243" min="7" max="7"/>
    <col width="17.33203125" customWidth="1" style="243" min="8" max="8"/>
    <col width="26.6640625" customWidth="1" style="243" min="9" max="9"/>
    <col width="9.33203125" customWidth="1" style="243" min="10" max="10"/>
  </cols>
  <sheetData>
    <row r="1" ht="11.1" customHeight="1" s="243">
      <c r="A1" s="11" t="inlineStr">
        <is>
          <t>Group:</t>
        </is>
      </c>
      <c r="B1" s="263" t="inlineStr">
        <is>
          <t>Casio Watches</t>
        </is>
      </c>
      <c r="C1" s="264" t="n"/>
      <c r="D1" s="265" t="n"/>
      <c r="E1" s="266" t="n"/>
      <c r="F1" s="266" t="n"/>
      <c r="G1" s="266" t="n"/>
    </row>
    <row r="2" ht="11.1" customHeight="1" s="243">
      <c r="A2" s="11" t="inlineStr">
        <is>
          <t>Details of:</t>
        </is>
      </c>
      <c r="B2" s="263" t="inlineStr">
        <is>
          <t>Pending Bills</t>
        </is>
      </c>
      <c r="C2" s="264" t="n"/>
      <c r="D2" s="12" t="inlineStr">
        <is>
          <t>Today Date:</t>
        </is>
      </c>
      <c r="E2" s="13">
        <f>TODAY()</f>
        <v/>
      </c>
      <c r="F2" s="14" t="n"/>
      <c r="G2" s="15" t="n"/>
    </row>
    <row r="3" ht="6" customHeight="1" s="243"/>
    <row r="4">
      <c r="A4" s="16" t="inlineStr">
        <is>
          <t>Date</t>
        </is>
      </c>
      <c r="B4" s="16" t="inlineStr">
        <is>
          <t>Ref. No.</t>
        </is>
      </c>
      <c r="C4" s="16" t="inlineStr">
        <is>
          <t>Party's Name</t>
        </is>
      </c>
      <c r="D4" s="16" t="inlineStr">
        <is>
          <t>Total Amount</t>
        </is>
      </c>
      <c r="E4" s="16" t="inlineStr">
        <is>
          <t>Due on</t>
        </is>
      </c>
      <c r="F4" s="17" t="inlineStr">
        <is>
          <t>Days Overdue</t>
        </is>
      </c>
      <c r="G4" s="18" t="inlineStr">
        <is>
          <t>Paid Amount</t>
        </is>
      </c>
      <c r="H4" s="17" t="inlineStr">
        <is>
          <t>Pending Amount</t>
        </is>
      </c>
      <c r="I4" s="17" t="inlineStr">
        <is>
          <t>Remark (5/20)</t>
        </is>
      </c>
      <c r="J4" s="106" t="inlineStr">
        <is>
          <t>Last Follow-up Notes</t>
        </is>
      </c>
    </row>
    <row r="5">
      <c r="A5" s="19" t="n"/>
      <c r="B5" s="19" t="n"/>
      <c r="C5" s="19" t="n"/>
      <c r="D5" s="20" t="n"/>
      <c r="E5" s="19" t="n"/>
      <c r="F5" s="21" t="n"/>
      <c r="G5" s="22" t="n"/>
      <c r="H5" s="23" t="n"/>
      <c r="I5" s="23" t="inlineStr">
        <is>
          <t>Remark (5/20)</t>
        </is>
      </c>
      <c r="J5" t="inlineStr">
        <is>
          <t>Remark (5/22)</t>
        </is>
      </c>
    </row>
    <row r="6">
      <c r="A6" s="19" t="n"/>
      <c r="B6" s="19" t="n"/>
      <c r="C6" s="24" t="inlineStr">
        <is>
          <t>C. Ramchander Watch Co.</t>
        </is>
      </c>
      <c r="D6" s="19" t="n"/>
      <c r="E6" s="19" t="n"/>
      <c r="F6" s="19" t="n"/>
      <c r="G6" s="22" t="n"/>
      <c r="H6" s="23" t="n"/>
      <c r="I6" s="23" t="n"/>
    </row>
    <row r="7">
      <c r="A7" s="25" t="n">
        <v>46144</v>
      </c>
      <c r="B7" s="26" t="inlineStr">
        <is>
          <t>SLGCW/46/26-27</t>
        </is>
      </c>
      <c r="C7" s="19" t="n"/>
      <c r="D7" s="27" t="n">
        <v>1400</v>
      </c>
      <c r="E7" s="28" t="n">
        <v>46144</v>
      </c>
      <c r="F7" s="29">
        <f>$E$2-E7</f>
        <v/>
      </c>
      <c r="G7" s="22" t="n"/>
      <c r="H7" s="23" t="n"/>
      <c r="I7" s="23" t="inlineStr">
        <is>
          <t>We need to give Credit Note</t>
        </is>
      </c>
    </row>
    <row r="8">
      <c r="A8" s="19" t="n"/>
      <c r="B8" s="19" t="n"/>
      <c r="C8" s="19" t="n"/>
      <c r="D8" s="27" t="n">
        <v>1400</v>
      </c>
      <c r="E8" s="19" t="n"/>
      <c r="F8" s="19" t="n"/>
      <c r="G8" s="22" t="n"/>
      <c r="H8" s="23" t="n"/>
    </row>
    <row r="9">
      <c r="A9" s="19" t="n"/>
      <c r="B9" s="19" t="n"/>
      <c r="C9" s="24" t="inlineStr">
        <is>
          <t>KHALEEL WATCH CO.</t>
        </is>
      </c>
      <c r="D9" s="19" t="n"/>
      <c r="E9" s="19" t="n"/>
      <c r="F9" s="19" t="n"/>
      <c r="G9" s="22" t="n"/>
      <c r="H9" s="23" t="n"/>
      <c r="I9" s="23" t="n"/>
    </row>
    <row r="10">
      <c r="A10" s="25" t="n">
        <v>45716</v>
      </c>
      <c r="B10" s="30" t="inlineStr">
        <is>
          <t>SLGCW/1077/24-25</t>
        </is>
      </c>
      <c r="C10" s="19" t="n"/>
      <c r="D10" s="27" t="n">
        <v>159.67</v>
      </c>
      <c r="E10" s="28" t="n">
        <v>45716</v>
      </c>
      <c r="F10" s="29">
        <f>$E$2-E10</f>
        <v/>
      </c>
      <c r="G10" s="22" t="n"/>
      <c r="H10" s="23" t="n"/>
      <c r="I10" s="23" t="inlineStr">
        <is>
          <t>Sponge Not recived - Send DSO</t>
        </is>
      </c>
    </row>
    <row r="11">
      <c r="A11" s="25" t="n">
        <v>46013</v>
      </c>
      <c r="B11" s="30" t="inlineStr">
        <is>
          <t>SLGCW/1035/25-26</t>
        </is>
      </c>
      <c r="C11" s="19" t="n"/>
      <c r="D11" s="27" t="n">
        <v>383</v>
      </c>
      <c r="E11" s="28" t="n">
        <v>46043</v>
      </c>
      <c r="F11" s="29">
        <f>$E$2-E11</f>
        <v/>
      </c>
      <c r="G11" s="22" t="n">
        <v>383</v>
      </c>
      <c r="H11" s="23" t="n"/>
      <c r="I11" s="23" t="inlineStr">
        <is>
          <t>Paid Online</t>
        </is>
      </c>
    </row>
    <row r="12">
      <c r="A12" s="19" t="n"/>
      <c r="B12" s="19" t="n"/>
      <c r="C12" s="19" t="n"/>
      <c r="D12" s="27" t="n">
        <v>542.67</v>
      </c>
      <c r="E12" s="19" t="n"/>
      <c r="F12" s="19" t="n"/>
      <c r="G12" s="22" t="n"/>
      <c r="H12" s="23" t="n"/>
      <c r="I12" s="23" t="n"/>
    </row>
    <row r="13">
      <c r="A13" s="19" t="n"/>
      <c r="B13" s="19" t="n"/>
      <c r="C13" s="24" t="inlineStr">
        <is>
          <t>KISHORE WATCH CO</t>
        </is>
      </c>
      <c r="D13" s="19" t="n"/>
      <c r="E13" s="19" t="n"/>
      <c r="F13" s="19" t="n"/>
      <c r="G13" s="22" t="n"/>
      <c r="H13" s="23" t="n"/>
      <c r="I13" s="23" t="n"/>
    </row>
    <row r="14">
      <c r="A14" s="25" t="n">
        <v>45996</v>
      </c>
      <c r="B14" s="26" t="inlineStr">
        <is>
          <t>SLGCW/969/25-26</t>
        </is>
      </c>
      <c r="C14" s="19" t="n"/>
      <c r="D14" s="27" t="n">
        <v>2852</v>
      </c>
      <c r="E14" s="28" t="n">
        <v>46041</v>
      </c>
      <c r="F14" s="29">
        <f>$E$2-E14</f>
        <v/>
      </c>
      <c r="G14" s="22" t="n"/>
      <c r="H14" s="23" t="n"/>
      <c r="I14" s="23" t="inlineStr">
        <is>
          <t>Bill not available</t>
        </is>
      </c>
    </row>
    <row r="15">
      <c r="A15" s="25" t="n">
        <v>46139</v>
      </c>
      <c r="B15" s="26" t="inlineStr">
        <is>
          <t>SLGCW/25/26-27</t>
        </is>
      </c>
      <c r="C15" s="19" t="n"/>
      <c r="D15" s="31" t="n">
        <v>196667</v>
      </c>
      <c r="E15" s="28" t="n">
        <v>46184</v>
      </c>
      <c r="F15" s="29" t="n"/>
      <c r="G15" s="22" t="n"/>
      <c r="H15" s="23" t="n"/>
      <c r="I15" s="23" t="n"/>
    </row>
    <row r="16">
      <c r="A16" s="25" t="n">
        <v>46144</v>
      </c>
      <c r="B16" s="26" t="inlineStr">
        <is>
          <t>SLGCW/51/26-27</t>
        </is>
      </c>
      <c r="C16" s="19" t="n"/>
      <c r="D16" s="31" t="n">
        <v>9035</v>
      </c>
      <c r="E16" s="28" t="n">
        <v>46189</v>
      </c>
      <c r="F16" s="19" t="n"/>
      <c r="G16" s="22" t="n"/>
      <c r="H16" s="23" t="n"/>
      <c r="I16" s="23" t="n"/>
    </row>
    <row r="17">
      <c r="A17" s="25" t="n">
        <v>46148</v>
      </c>
      <c r="B17" s="26" t="inlineStr">
        <is>
          <t>SLGCW/59/26-27</t>
        </is>
      </c>
      <c r="C17" s="19" t="n"/>
      <c r="D17" s="31" t="n">
        <v>19731</v>
      </c>
      <c r="E17" s="28" t="n">
        <v>46193</v>
      </c>
      <c r="F17" s="19" t="n"/>
      <c r="G17" s="22" t="n"/>
      <c r="H17" s="23" t="n"/>
      <c r="I17" s="23" t="n"/>
    </row>
    <row r="18">
      <c r="A18" s="19" t="n"/>
      <c r="B18" s="19" t="n"/>
      <c r="C18" s="19" t="n"/>
      <c r="D18" s="27" t="n">
        <v>228285</v>
      </c>
      <c r="E18" s="19" t="n"/>
      <c r="F18" s="19" t="n"/>
      <c r="G18" s="22" t="n"/>
      <c r="H18" s="23" t="n"/>
      <c r="I18" s="23" t="n"/>
    </row>
    <row r="19">
      <c r="A19" s="19" t="n"/>
      <c r="B19" s="19" t="n"/>
      <c r="C19" s="24" t="inlineStr">
        <is>
          <t>Maruti watche &amp; electronics</t>
        </is>
      </c>
      <c r="D19" s="19" t="n"/>
      <c r="E19" s="19" t="n"/>
      <c r="F19" s="19" t="n"/>
      <c r="G19" s="22" t="n"/>
      <c r="H19" s="23" t="n"/>
      <c r="I19" s="23" t="n"/>
    </row>
    <row r="20">
      <c r="A20" s="25" t="n">
        <v>46136</v>
      </c>
      <c r="B20" s="26" t="inlineStr">
        <is>
          <t>SLGCW/15/26-27</t>
        </is>
      </c>
      <c r="C20" s="19" t="n"/>
      <c r="D20" s="31" t="n">
        <v>13163</v>
      </c>
      <c r="E20" s="28" t="n">
        <v>46181</v>
      </c>
      <c r="F20" s="19" t="n"/>
      <c r="G20" s="22" t="n"/>
      <c r="H20" s="23" t="n"/>
      <c r="I20" s="23" t="n"/>
    </row>
    <row r="21">
      <c r="A21" s="25" t="n">
        <v>46142</v>
      </c>
      <c r="B21" s="26" t="inlineStr">
        <is>
          <t>SLGCW/40/26-27</t>
        </is>
      </c>
      <c r="C21" s="19" t="n"/>
      <c r="D21" s="31" t="n">
        <v>48979</v>
      </c>
      <c r="E21" s="28" t="n">
        <v>46187</v>
      </c>
      <c r="F21" s="19" t="n"/>
      <c r="G21" s="22" t="n"/>
      <c r="H21" s="23" t="n"/>
      <c r="I21" s="23" t="n"/>
    </row>
    <row r="22">
      <c r="A22" s="25" t="n">
        <v>46144</v>
      </c>
      <c r="B22" s="26" t="inlineStr">
        <is>
          <t>SLGCW/53/26-27</t>
        </is>
      </c>
      <c r="C22" s="19" t="n"/>
      <c r="D22" s="31" t="n">
        <v>22969</v>
      </c>
      <c r="E22" s="28" t="n">
        <v>46189</v>
      </c>
      <c r="F22" s="19" t="n"/>
      <c r="G22" s="22" t="n"/>
      <c r="H22" s="23" t="n"/>
      <c r="I22" s="23" t="n"/>
    </row>
    <row r="23">
      <c r="A23" s="25" t="n">
        <v>46149</v>
      </c>
      <c r="B23" s="26" t="inlineStr">
        <is>
          <t>SLGCW/61/26-27</t>
        </is>
      </c>
      <c r="C23" s="19" t="n"/>
      <c r="D23" s="27" t="n">
        <v>14355</v>
      </c>
      <c r="E23" s="28" t="n">
        <v>46150</v>
      </c>
      <c r="F23" s="29">
        <f>$E$2-E23</f>
        <v/>
      </c>
      <c r="G23" s="22" t="n"/>
      <c r="H23" s="23" t="n"/>
      <c r="I23" s="23" t="inlineStr">
        <is>
          <t>Number Busy</t>
        </is>
      </c>
    </row>
    <row r="24">
      <c r="A24" s="25" t="n">
        <v>46157</v>
      </c>
      <c r="B24" s="26" t="inlineStr">
        <is>
          <t>SLGCW/65/26-27</t>
        </is>
      </c>
      <c r="C24" s="19" t="n"/>
      <c r="D24" s="27" t="n">
        <v>3281</v>
      </c>
      <c r="E24" s="28" t="n">
        <v>46158</v>
      </c>
      <c r="F24" s="29">
        <f>$E$2-E24</f>
        <v/>
      </c>
      <c r="G24" s="22" t="n"/>
      <c r="H24" s="23" t="n"/>
      <c r="I24" s="23" t="inlineStr">
        <is>
          <t>Number Busy</t>
        </is>
      </c>
    </row>
    <row r="25">
      <c r="A25" s="25" t="n">
        <v>46158</v>
      </c>
      <c r="B25" s="26" t="inlineStr">
        <is>
          <t>SLGCW/67/26-27</t>
        </is>
      </c>
      <c r="C25" s="19" t="n"/>
      <c r="D25" s="31" t="n">
        <v>8756</v>
      </c>
      <c r="E25" s="28" t="n">
        <v>46159</v>
      </c>
      <c r="F25" s="29">
        <f>$E$2-E25</f>
        <v/>
      </c>
      <c r="G25" s="22" t="n"/>
      <c r="H25" s="23" t="n"/>
      <c r="I25" s="23" t="inlineStr">
        <is>
          <t>Number Busy</t>
        </is>
      </c>
    </row>
    <row r="26">
      <c r="A26" s="19" t="n"/>
      <c r="B26" s="19" t="n"/>
      <c r="C26" s="19" t="n"/>
      <c r="D26" s="27" t="n">
        <v>111503</v>
      </c>
      <c r="E26" s="19" t="n"/>
      <c r="F26" s="19" t="n"/>
      <c r="G26" s="22" t="n"/>
      <c r="H26" s="23" t="n"/>
      <c r="I26" s="23" t="n"/>
    </row>
    <row r="27">
      <c r="A27" s="19" t="n"/>
      <c r="B27" s="19" t="n"/>
      <c r="C27" s="24" t="inlineStr">
        <is>
          <t>MILAP GENERAL STORES</t>
        </is>
      </c>
      <c r="D27" s="19" t="n"/>
      <c r="E27" s="19" t="n"/>
      <c r="F27" s="19" t="n"/>
      <c r="G27" s="22" t="n"/>
      <c r="H27" s="23" t="n"/>
      <c r="I27" s="23" t="n"/>
    </row>
    <row r="28">
      <c r="A28" s="25" t="n">
        <v>45705</v>
      </c>
      <c r="B28" s="26" t="inlineStr">
        <is>
          <t>SLGCW/1043/24-25</t>
        </is>
      </c>
      <c r="C28" s="19" t="n"/>
      <c r="D28" s="27" t="n">
        <v>560</v>
      </c>
      <c r="E28" s="28" t="n">
        <v>45705</v>
      </c>
      <c r="F28" s="29">
        <f>$E$2-E28</f>
        <v/>
      </c>
      <c r="G28" s="22" t="n"/>
      <c r="H28" s="23" t="n"/>
      <c r="I28" s="23" t="inlineStr">
        <is>
          <t>Not Lifting Call</t>
        </is>
      </c>
    </row>
    <row r="29">
      <c r="A29" s="25" t="n">
        <v>45708</v>
      </c>
      <c r="B29" s="26" t="inlineStr">
        <is>
          <t>SLGCW/1061/24-25</t>
        </is>
      </c>
      <c r="C29" s="19" t="n"/>
      <c r="D29" s="27" t="n">
        <v>103.36</v>
      </c>
      <c r="E29" s="28" t="n">
        <v>45708</v>
      </c>
      <c r="F29" s="29">
        <f>$E$2-E29</f>
        <v/>
      </c>
      <c r="G29" s="22" t="n"/>
      <c r="H29" s="23" t="n"/>
      <c r="I29" s="23" t="inlineStr">
        <is>
          <t>Not Lifting Call</t>
        </is>
      </c>
    </row>
    <row r="30">
      <c r="A30" s="19" t="n"/>
      <c r="B30" s="19" t="n"/>
      <c r="C30" s="19" t="n"/>
      <c r="D30" s="27" t="n">
        <v>663.36</v>
      </c>
      <c r="E30" s="19" t="n"/>
      <c r="F30" s="19" t="n"/>
      <c r="G30" s="22" t="n"/>
      <c r="H30" s="23" t="n"/>
      <c r="I30" s="23" t="n"/>
    </row>
    <row r="31">
      <c r="A31" s="19" t="n"/>
      <c r="B31" s="19" t="n"/>
      <c r="C31" s="24" t="inlineStr">
        <is>
          <t>NAZEER &amp; SONS</t>
        </is>
      </c>
      <c r="D31" s="19" t="n"/>
      <c r="E31" s="19" t="n"/>
      <c r="F31" s="19" t="n"/>
      <c r="G31" s="22" t="n"/>
      <c r="H31" s="23" t="n"/>
      <c r="I31" s="23" t="n"/>
    </row>
    <row r="32">
      <c r="A32" s="25" t="n">
        <v>46144</v>
      </c>
      <c r="B32" s="26" t="inlineStr">
        <is>
          <t>SLGCW/58/26-27</t>
        </is>
      </c>
      <c r="C32" s="19" t="n"/>
      <c r="D32" s="31" t="n">
        <v>14781</v>
      </c>
      <c r="E32" s="28" t="n">
        <v>46174</v>
      </c>
      <c r="F32" s="19" t="n"/>
      <c r="G32" s="22" t="n"/>
      <c r="H32" s="23" t="n"/>
      <c r="I32" s="23" t="n"/>
    </row>
    <row r="33">
      <c r="A33" s="25" t="n">
        <v>46150</v>
      </c>
      <c r="B33" s="26" t="inlineStr">
        <is>
          <t>SLGCW/62/26-27</t>
        </is>
      </c>
      <c r="C33" s="19" t="n"/>
      <c r="D33" s="27" t="n">
        <v>12783</v>
      </c>
      <c r="E33" s="28" t="n">
        <v>46151</v>
      </c>
      <c r="F33" s="29">
        <f>$E$2-E33</f>
        <v/>
      </c>
      <c r="G33" s="22" t="n">
        <v>12783</v>
      </c>
      <c r="H33" s="22">
        <f>D33-G33</f>
        <v/>
      </c>
      <c r="I33" s="23" t="inlineStr">
        <is>
          <t>Customer says Cheque already Paid</t>
        </is>
      </c>
    </row>
    <row r="34">
      <c r="A34" s="19" t="n"/>
      <c r="B34" s="19" t="n"/>
      <c r="C34" s="19" t="n"/>
      <c r="D34" s="27" t="n">
        <v>27564</v>
      </c>
      <c r="E34" s="19" t="n"/>
      <c r="F34" s="19" t="n"/>
      <c r="G34" s="22" t="n"/>
      <c r="H34" s="23" t="n"/>
      <c r="I34" s="23" t="n"/>
    </row>
    <row r="35">
      <c r="A35" s="19" t="n"/>
      <c r="B35" s="19" t="n"/>
      <c r="C35" s="24" t="inlineStr">
        <is>
          <t>RAMESH WATCH CO PVT LTD K-INORBIT</t>
        </is>
      </c>
      <c r="D35" s="19" t="n"/>
      <c r="E35" s="19" t="n"/>
      <c r="F35" s="19" t="n"/>
      <c r="G35" s="22" t="n"/>
      <c r="H35" s="23" t="n"/>
      <c r="I35" s="23" t="n"/>
    </row>
    <row r="36">
      <c r="A36" s="25" t="n">
        <v>45667</v>
      </c>
      <c r="B36" s="26" t="inlineStr">
        <is>
          <t>SLGCW/898/24-25</t>
        </is>
      </c>
      <c r="C36" s="19" t="n"/>
      <c r="D36" s="27" t="n">
        <v>92000</v>
      </c>
      <c r="E36" s="28" t="n">
        <v>45667</v>
      </c>
      <c r="F36" s="29">
        <f>$E$2-E36</f>
        <v/>
      </c>
      <c r="G36" s="22" t="n"/>
      <c r="H36" s="23" t="n"/>
      <c r="I36" s="23" t="inlineStr">
        <is>
          <t>Issue</t>
        </is>
      </c>
    </row>
    <row r="37">
      <c r="A37" s="25" t="n">
        <v>46044</v>
      </c>
      <c r="B37" s="26" t="inlineStr">
        <is>
          <t>SLGCW/1138/25-26</t>
        </is>
      </c>
      <c r="C37" s="19" t="n"/>
      <c r="D37" s="27" t="n">
        <v>74393</v>
      </c>
      <c r="E37" s="28" t="n">
        <v>46089</v>
      </c>
      <c r="F37" s="29">
        <f>$E$2-E37</f>
        <v/>
      </c>
      <c r="G37" s="22" t="n"/>
      <c r="H37" s="23" t="n"/>
      <c r="I37" s="23" t="inlineStr">
        <is>
          <t>DSO will collect</t>
        </is>
      </c>
    </row>
    <row r="38">
      <c r="A38" s="25" t="n">
        <v>46045</v>
      </c>
      <c r="B38" s="26" t="inlineStr">
        <is>
          <t>SLGCW/1150/25-26</t>
        </is>
      </c>
      <c r="C38" s="19" t="n"/>
      <c r="D38" s="27" t="n">
        <v>263334</v>
      </c>
      <c r="E38" s="28" t="n">
        <v>46090</v>
      </c>
      <c r="F38" s="29">
        <f>$E$2-E38</f>
        <v/>
      </c>
      <c r="G38" s="22" t="n"/>
      <c r="H38" s="23" t="n"/>
      <c r="I38" s="23" t="inlineStr">
        <is>
          <t>DSO will collect</t>
        </is>
      </c>
    </row>
    <row r="39">
      <c r="A39" s="25" t="n">
        <v>46045</v>
      </c>
      <c r="B39" s="26" t="inlineStr">
        <is>
          <t>SLGCW/1147/25-26</t>
        </is>
      </c>
      <c r="C39" s="19" t="n"/>
      <c r="D39" s="27" t="n">
        <v>60364</v>
      </c>
      <c r="E39" s="28" t="n">
        <v>46090</v>
      </c>
      <c r="F39" s="29">
        <f>$E$2-E39</f>
        <v/>
      </c>
      <c r="G39" s="22" t="n"/>
      <c r="H39" s="23" t="n"/>
      <c r="I39" s="23" t="inlineStr">
        <is>
          <t>DSO will collect</t>
        </is>
      </c>
    </row>
    <row r="40">
      <c r="A40" s="25" t="n">
        <v>46045</v>
      </c>
      <c r="B40" s="26" t="inlineStr">
        <is>
          <t>SLGCW/1149/25-26</t>
        </is>
      </c>
      <c r="C40" s="19" t="n"/>
      <c r="D40" s="27" t="n">
        <v>30132</v>
      </c>
      <c r="E40" s="28" t="n">
        <v>46090</v>
      </c>
      <c r="F40" s="29">
        <f>$E$2-E40</f>
        <v/>
      </c>
      <c r="G40" s="22" t="n"/>
      <c r="H40" s="23" t="n"/>
      <c r="I40" s="23" t="inlineStr">
        <is>
          <t>DSO will collect</t>
        </is>
      </c>
    </row>
    <row r="41">
      <c r="A41" s="25" t="n">
        <v>46055</v>
      </c>
      <c r="B41" s="26" t="inlineStr">
        <is>
          <t>SLGCW/1188/25-26</t>
        </is>
      </c>
      <c r="C41" s="19" t="n"/>
      <c r="D41" s="27" t="n">
        <v>304908</v>
      </c>
      <c r="E41" s="28" t="n">
        <v>46100</v>
      </c>
      <c r="F41" s="29">
        <f>$E$2-E41</f>
        <v/>
      </c>
      <c r="G41" s="22" t="n"/>
      <c r="H41" s="23" t="n"/>
      <c r="I41" s="23" t="inlineStr">
        <is>
          <t>DSO will collect</t>
        </is>
      </c>
    </row>
    <row r="42">
      <c r="A42" s="25" t="n">
        <v>46067</v>
      </c>
      <c r="B42" s="26" t="inlineStr">
        <is>
          <t>SLGCW/1226/25-26</t>
        </is>
      </c>
      <c r="C42" s="19" t="n"/>
      <c r="D42" s="27" t="n">
        <v>51332</v>
      </c>
      <c r="E42" s="28" t="n">
        <v>46112</v>
      </c>
      <c r="F42" s="29">
        <f>$E$2-E42</f>
        <v/>
      </c>
      <c r="G42" s="22" t="n"/>
      <c r="H42" s="23" t="n"/>
      <c r="I42" s="23" t="inlineStr">
        <is>
          <t>DSO will collect</t>
        </is>
      </c>
    </row>
    <row r="43">
      <c r="A43" s="25" t="n">
        <v>46076</v>
      </c>
      <c r="B43" s="26" t="inlineStr">
        <is>
          <t>SLGCW/1233/25-26</t>
        </is>
      </c>
      <c r="C43" s="19" t="n"/>
      <c r="D43" s="27" t="n">
        <v>11979</v>
      </c>
      <c r="E43" s="28" t="n">
        <v>46121</v>
      </c>
      <c r="F43" s="29">
        <f>$E$2-E43</f>
        <v/>
      </c>
      <c r="G43" s="22" t="n"/>
      <c r="H43" s="23" t="n"/>
      <c r="I43" s="23" t="inlineStr">
        <is>
          <t>DSO will collect</t>
        </is>
      </c>
    </row>
    <row r="44">
      <c r="A44" s="25" t="n">
        <v>46076</v>
      </c>
      <c r="B44" s="26" t="inlineStr">
        <is>
          <t>SLGCW/1235/25-26</t>
        </is>
      </c>
      <c r="C44" s="19" t="n"/>
      <c r="D44" s="27" t="n">
        <v>6291</v>
      </c>
      <c r="E44" s="28" t="n">
        <v>46121</v>
      </c>
      <c r="F44" s="29">
        <f>$E$2-E44</f>
        <v/>
      </c>
      <c r="G44" s="22" t="n"/>
      <c r="H44" s="23" t="n"/>
      <c r="I44" s="23" t="inlineStr">
        <is>
          <t>DSO will collect</t>
        </is>
      </c>
    </row>
    <row r="45">
      <c r="A45" s="25" t="n">
        <v>46076</v>
      </c>
      <c r="B45" s="26" t="inlineStr">
        <is>
          <t>SLGCW/1236/25-26</t>
        </is>
      </c>
      <c r="C45" s="19" t="n"/>
      <c r="D45" s="27" t="n">
        <v>7296</v>
      </c>
      <c r="E45" s="28" t="n">
        <v>46121</v>
      </c>
      <c r="F45" s="29">
        <f>$E$2-E45</f>
        <v/>
      </c>
      <c r="G45" s="22" t="n"/>
      <c r="H45" s="23" t="n"/>
      <c r="I45" s="23" t="inlineStr">
        <is>
          <t>DSO will collect</t>
        </is>
      </c>
    </row>
    <row r="46">
      <c r="A46" s="25" t="n">
        <v>46090</v>
      </c>
      <c r="B46" s="26" t="inlineStr">
        <is>
          <t>SLGCW/1247/25-26</t>
        </is>
      </c>
      <c r="C46" s="19" t="n"/>
      <c r="D46" s="27" t="n">
        <v>17417</v>
      </c>
      <c r="E46" s="28" t="n">
        <v>46135</v>
      </c>
      <c r="F46" s="29">
        <f>$E$2-E46</f>
        <v/>
      </c>
      <c r="G46" s="22" t="n"/>
      <c r="H46" s="23" t="n"/>
      <c r="I46" s="23" t="inlineStr">
        <is>
          <t>DSO will collect</t>
        </is>
      </c>
    </row>
    <row r="47">
      <c r="A47" s="25" t="n">
        <v>46121</v>
      </c>
      <c r="B47" s="26" t="inlineStr">
        <is>
          <t>SLGCW/1/26-27</t>
        </is>
      </c>
      <c r="C47" s="19" t="n"/>
      <c r="D47" s="31" t="n">
        <v>188677</v>
      </c>
      <c r="E47" s="28" t="n">
        <v>46166</v>
      </c>
      <c r="F47" s="19" t="n"/>
      <c r="G47" s="22" t="n"/>
      <c r="H47" s="23" t="n"/>
      <c r="I47" s="23" t="inlineStr">
        <is>
          <t>DSO will collect</t>
        </is>
      </c>
    </row>
    <row r="48">
      <c r="A48" s="25" t="n">
        <v>46121</v>
      </c>
      <c r="B48" s="26" t="inlineStr">
        <is>
          <t>SLGCW/2/26-27</t>
        </is>
      </c>
      <c r="C48" s="19" t="n"/>
      <c r="D48" s="31" t="n">
        <v>125895</v>
      </c>
      <c r="E48" s="28" t="n">
        <v>46166</v>
      </c>
      <c r="F48" s="19" t="n"/>
      <c r="G48" s="22" t="n"/>
      <c r="H48" s="23" t="n"/>
      <c r="I48" s="23" t="inlineStr">
        <is>
          <t>DSO will collect</t>
        </is>
      </c>
    </row>
    <row r="49">
      <c r="A49" s="25" t="n">
        <v>46121</v>
      </c>
      <c r="B49" s="26" t="inlineStr">
        <is>
          <t>SLGCW/3/26-27</t>
        </is>
      </c>
      <c r="C49" s="19" t="n"/>
      <c r="D49" s="31" t="n">
        <v>176081</v>
      </c>
      <c r="E49" s="28" t="n">
        <v>46166</v>
      </c>
      <c r="F49" s="19" t="n"/>
      <c r="G49" s="22" t="n"/>
      <c r="H49" s="23" t="n"/>
      <c r="I49" s="23" t="inlineStr">
        <is>
          <t>DSO will collect</t>
        </is>
      </c>
    </row>
    <row r="50">
      <c r="A50" s="25" t="n">
        <v>46121</v>
      </c>
      <c r="B50" s="26" t="inlineStr">
        <is>
          <t>SLGCW/4/26-27</t>
        </is>
      </c>
      <c r="C50" s="19" t="n"/>
      <c r="D50" s="31" t="n">
        <v>101373</v>
      </c>
      <c r="E50" s="28" t="n">
        <v>46166</v>
      </c>
      <c r="F50" s="19" t="n"/>
      <c r="G50" s="22" t="n"/>
      <c r="H50" s="23" t="n"/>
      <c r="I50" s="23" t="inlineStr">
        <is>
          <t>DSO will collect</t>
        </is>
      </c>
    </row>
    <row r="51">
      <c r="A51" s="25" t="n">
        <v>46121</v>
      </c>
      <c r="B51" s="26" t="inlineStr">
        <is>
          <t>SLGCW/5/26-27</t>
        </is>
      </c>
      <c r="C51" s="19" t="n"/>
      <c r="D51" s="31" t="n">
        <v>16740</v>
      </c>
      <c r="E51" s="28" t="n">
        <v>46166</v>
      </c>
      <c r="F51" s="19" t="n"/>
      <c r="G51" s="22" t="n"/>
      <c r="H51" s="23" t="n"/>
      <c r="I51" s="23" t="inlineStr">
        <is>
          <t>DSO will collect</t>
        </is>
      </c>
    </row>
    <row r="52">
      <c r="A52" s="25" t="n">
        <v>46121</v>
      </c>
      <c r="B52" s="26" t="inlineStr">
        <is>
          <t>SLGCW/6/26-27</t>
        </is>
      </c>
      <c r="C52" s="19" t="n"/>
      <c r="D52" s="31" t="n">
        <v>34833</v>
      </c>
      <c r="E52" s="28" t="n">
        <v>46166</v>
      </c>
      <c r="F52" s="19" t="n"/>
      <c r="G52" s="22" t="n"/>
      <c r="H52" s="23" t="n"/>
      <c r="I52" s="23" t="inlineStr">
        <is>
          <t>DSO will collect</t>
        </is>
      </c>
    </row>
    <row r="53">
      <c r="A53" s="25" t="n">
        <v>46121</v>
      </c>
      <c r="B53" s="26" t="inlineStr">
        <is>
          <t>SLGCW/7/26-27</t>
        </is>
      </c>
      <c r="C53" s="19" t="n"/>
      <c r="D53" s="31" t="n">
        <v>743415</v>
      </c>
      <c r="E53" s="28" t="n">
        <v>46166</v>
      </c>
      <c r="F53" s="19" t="n"/>
      <c r="G53" s="22" t="n"/>
      <c r="H53" s="23" t="n"/>
      <c r="I53" s="23" t="inlineStr">
        <is>
          <t>DSO will collect</t>
        </is>
      </c>
    </row>
    <row r="54">
      <c r="A54" s="25" t="n">
        <v>46121</v>
      </c>
      <c r="B54" s="26" t="inlineStr">
        <is>
          <t>SLGCW/8/26-27</t>
        </is>
      </c>
      <c r="C54" s="19" t="n"/>
      <c r="D54" s="31" t="n">
        <v>371398</v>
      </c>
      <c r="E54" s="28" t="n">
        <v>46166</v>
      </c>
      <c r="F54" s="19" t="n"/>
      <c r="G54" s="22" t="n"/>
      <c r="H54" s="23" t="n"/>
      <c r="I54" s="23" t="inlineStr">
        <is>
          <t>DSO will collect</t>
        </is>
      </c>
    </row>
    <row r="55">
      <c r="A55" s="25" t="n">
        <v>46137</v>
      </c>
      <c r="B55" s="26" t="inlineStr">
        <is>
          <t>SLGCW/22/26-27</t>
        </is>
      </c>
      <c r="C55" s="19" t="n"/>
      <c r="D55" s="31" t="n">
        <v>111145</v>
      </c>
      <c r="E55" s="28" t="n">
        <v>46182</v>
      </c>
      <c r="F55" s="19" t="n"/>
      <c r="G55" s="22" t="n"/>
      <c r="H55" s="23" t="n"/>
      <c r="I55" s="23" t="inlineStr">
        <is>
          <t>DSO will collect</t>
        </is>
      </c>
    </row>
    <row r="56">
      <c r="A56" s="25" t="n">
        <v>46137</v>
      </c>
      <c r="B56" s="26" t="inlineStr">
        <is>
          <t>SLGCW/23/26-27</t>
        </is>
      </c>
      <c r="C56" s="19" t="n"/>
      <c r="D56" s="31" t="n">
        <v>119259</v>
      </c>
      <c r="E56" s="28" t="n">
        <v>46182</v>
      </c>
      <c r="F56" s="19" t="n"/>
      <c r="G56" s="22" t="n"/>
      <c r="H56" s="23" t="n"/>
      <c r="I56" s="23" t="inlineStr">
        <is>
          <t>DSO will collect</t>
        </is>
      </c>
    </row>
    <row r="57">
      <c r="A57" s="25" t="n">
        <v>46139</v>
      </c>
      <c r="B57" s="26" t="inlineStr">
        <is>
          <t>SLGCW/28/26-27</t>
        </is>
      </c>
      <c r="C57" s="19" t="n"/>
      <c r="D57" s="27" t="n">
        <v>547720</v>
      </c>
      <c r="E57" s="28" t="n">
        <v>46140</v>
      </c>
      <c r="F57" s="29">
        <f>$E$2-E57</f>
        <v/>
      </c>
      <c r="G57" s="22" t="n"/>
      <c r="H57" s="23" t="n"/>
      <c r="I57" s="23" t="inlineStr">
        <is>
          <t>DSO will collect</t>
        </is>
      </c>
    </row>
    <row r="58">
      <c r="A58" s="25" t="n">
        <v>46140</v>
      </c>
      <c r="B58" s="26" t="inlineStr">
        <is>
          <t>SLGCW/29/26-27</t>
        </is>
      </c>
      <c r="C58" s="19" t="n"/>
      <c r="D58" s="31" t="n">
        <v>348093</v>
      </c>
      <c r="E58" s="28" t="n">
        <v>46185</v>
      </c>
      <c r="F58" s="19" t="n"/>
      <c r="G58" s="22" t="n"/>
      <c r="H58" s="23" t="n"/>
      <c r="I58" s="23" t="inlineStr">
        <is>
          <t>DSO will collect</t>
        </is>
      </c>
    </row>
    <row r="59">
      <c r="A59" s="25" t="n">
        <v>46140</v>
      </c>
      <c r="B59" s="26" t="inlineStr">
        <is>
          <t>SLGCW/30/26-27</t>
        </is>
      </c>
      <c r="C59" s="19" t="n"/>
      <c r="D59" s="27" t="n">
        <v>90650</v>
      </c>
      <c r="E59" s="28" t="n">
        <v>46141</v>
      </c>
      <c r="F59" s="29">
        <f>$E$2-E59</f>
        <v/>
      </c>
      <c r="G59" s="22" t="n"/>
      <c r="H59" s="23" t="n"/>
      <c r="I59" s="23" t="inlineStr">
        <is>
          <t>DSO will collect</t>
        </is>
      </c>
    </row>
    <row r="60">
      <c r="A60" s="25" t="n">
        <v>46140</v>
      </c>
      <c r="B60" s="26" t="inlineStr">
        <is>
          <t>SLGCW/31/26-27</t>
        </is>
      </c>
      <c r="C60" s="19" t="n"/>
      <c r="D60" s="31" t="n">
        <v>292469</v>
      </c>
      <c r="E60" s="28" t="n">
        <v>46185</v>
      </c>
      <c r="F60" s="19" t="n"/>
      <c r="G60" s="22" t="n"/>
      <c r="H60" s="23" t="n"/>
      <c r="I60" s="23" t="inlineStr">
        <is>
          <t>DSO will collect</t>
        </is>
      </c>
    </row>
    <row r="61">
      <c r="A61" s="25" t="n">
        <v>46140</v>
      </c>
      <c r="B61" s="26" t="inlineStr">
        <is>
          <t>SLGCW/32/26-27</t>
        </is>
      </c>
      <c r="C61" s="19" t="n"/>
      <c r="D61" s="31" t="n">
        <v>132528</v>
      </c>
      <c r="E61" s="28" t="n">
        <v>46185</v>
      </c>
      <c r="F61" s="19" t="n"/>
      <c r="G61" s="22" t="n"/>
      <c r="H61" s="23" t="n"/>
      <c r="I61" s="23" t="inlineStr">
        <is>
          <t>DSO will collect</t>
        </is>
      </c>
    </row>
    <row r="62">
      <c r="A62" s="25" t="n">
        <v>46140</v>
      </c>
      <c r="B62" s="26" t="inlineStr">
        <is>
          <t>SLGCW/33/26-27</t>
        </is>
      </c>
      <c r="C62" s="19" t="n"/>
      <c r="D62" s="31" t="n">
        <v>240230</v>
      </c>
      <c r="E62" s="28" t="n">
        <v>46185</v>
      </c>
      <c r="F62" s="19" t="n"/>
      <c r="G62" s="22" t="n"/>
      <c r="H62" s="23" t="n"/>
      <c r="I62" s="23" t="inlineStr">
        <is>
          <t>DSO will collect</t>
        </is>
      </c>
    </row>
    <row r="63">
      <c r="A63" s="25" t="n">
        <v>46140</v>
      </c>
      <c r="B63" s="26" t="inlineStr">
        <is>
          <t>SLGCW/35/26-27</t>
        </is>
      </c>
      <c r="C63" s="19" t="n"/>
      <c r="D63" s="31" t="n">
        <v>204171</v>
      </c>
      <c r="E63" s="28" t="n">
        <v>46185</v>
      </c>
      <c r="F63" s="19" t="n"/>
      <c r="G63" s="22" t="n"/>
      <c r="H63" s="23" t="n"/>
      <c r="I63" s="23" t="inlineStr">
        <is>
          <t>DSO will collect</t>
        </is>
      </c>
    </row>
    <row r="64">
      <c r="A64" s="25" t="n">
        <v>46141</v>
      </c>
      <c r="B64" s="26" t="inlineStr">
        <is>
          <t>SLGCW/37/26-27</t>
        </is>
      </c>
      <c r="C64" s="19" t="n"/>
      <c r="D64" s="27" t="n">
        <v>65314</v>
      </c>
      <c r="E64" s="28" t="n">
        <v>46142</v>
      </c>
      <c r="F64" s="29">
        <f>$E$2-E64</f>
        <v/>
      </c>
      <c r="G64" s="22" t="n"/>
      <c r="H64" s="23" t="n"/>
      <c r="I64" s="23" t="inlineStr">
        <is>
          <t>DSO will collect</t>
        </is>
      </c>
    </row>
    <row r="65">
      <c r="A65" s="25" t="n">
        <v>46141</v>
      </c>
      <c r="B65" s="26" t="inlineStr">
        <is>
          <t>SLGCW/36/26-27</t>
        </is>
      </c>
      <c r="C65" s="19" t="n"/>
      <c r="D65" s="27" t="n">
        <v>107008</v>
      </c>
      <c r="E65" s="28" t="n">
        <v>46142</v>
      </c>
      <c r="F65" s="29">
        <f>$E$2-E65</f>
        <v/>
      </c>
      <c r="G65" s="22" t="n"/>
      <c r="H65" s="23" t="n"/>
      <c r="I65" s="23" t="inlineStr">
        <is>
          <t>DSO will collect</t>
        </is>
      </c>
    </row>
    <row r="66">
      <c r="A66" s="25" t="n">
        <v>46142</v>
      </c>
      <c r="B66" s="26" t="inlineStr">
        <is>
          <t>SLGCW/42/26-27</t>
        </is>
      </c>
      <c r="C66" s="19" t="n"/>
      <c r="D66" s="31" t="n">
        <v>105959</v>
      </c>
      <c r="E66" s="28" t="n">
        <v>46187</v>
      </c>
      <c r="F66" s="19" t="n"/>
      <c r="G66" s="22" t="n"/>
      <c r="H66" s="23" t="n"/>
      <c r="I66" s="23" t="inlineStr">
        <is>
          <t>DSO will collect</t>
        </is>
      </c>
    </row>
    <row r="67">
      <c r="A67" s="25" t="n">
        <v>46144</v>
      </c>
      <c r="B67" s="26" t="inlineStr">
        <is>
          <t>SLGCW/50/26-27</t>
        </is>
      </c>
      <c r="C67" s="19" t="n"/>
      <c r="D67" s="31" t="n">
        <v>84325</v>
      </c>
      <c r="E67" s="28" t="n">
        <v>46189</v>
      </c>
      <c r="F67" s="19" t="n"/>
      <c r="G67" s="22" t="n"/>
      <c r="H67" s="23" t="n"/>
      <c r="I67" s="23" t="inlineStr">
        <is>
          <t>DSO will collect</t>
        </is>
      </c>
    </row>
    <row r="68">
      <c r="A68" s="25" t="n">
        <v>46148</v>
      </c>
      <c r="B68" s="26" t="inlineStr">
        <is>
          <t>SLGCW/60/26-27</t>
        </is>
      </c>
      <c r="C68" s="19" t="n"/>
      <c r="D68" s="31" t="n">
        <v>9635</v>
      </c>
      <c r="E68" s="28" t="n">
        <v>46193</v>
      </c>
      <c r="F68" s="19" t="n"/>
      <c r="G68" s="22" t="n"/>
      <c r="H68" s="23" t="n"/>
      <c r="I68" s="23" t="inlineStr">
        <is>
          <t>DSO will collect</t>
        </is>
      </c>
    </row>
    <row r="69">
      <c r="A69" s="19" t="n"/>
      <c r="B69" s="19" t="n"/>
      <c r="C69" s="19" t="n"/>
      <c r="D69" s="27" t="n">
        <v>5136364</v>
      </c>
      <c r="E69" s="19" t="n"/>
      <c r="F69" s="19" t="n"/>
      <c r="G69" s="22" t="n">
        <v>10000</v>
      </c>
      <c r="H69" s="22">
        <f>D69-G69</f>
        <v/>
      </c>
      <c r="I69" s="23" t="n"/>
    </row>
    <row r="70">
      <c r="A70" s="19" t="n"/>
      <c r="B70" s="19" t="n"/>
      <c r="C70" s="24" t="inlineStr">
        <is>
          <t>RAVINDRA WATCH REPAIR</t>
        </is>
      </c>
      <c r="D70" s="19" t="n"/>
      <c r="E70" s="19" t="n"/>
      <c r="F70" s="19" t="n"/>
      <c r="G70" s="22" t="n"/>
      <c r="H70" s="23" t="n"/>
      <c r="I70" s="23" t="n"/>
    </row>
    <row r="71">
      <c r="A71" s="25" t="n">
        <v>45682</v>
      </c>
      <c r="B71" s="26" t="inlineStr">
        <is>
          <t>SLGCW/969/24-25</t>
        </is>
      </c>
      <c r="C71" s="19" t="n"/>
      <c r="D71" s="27" t="n">
        <v>271</v>
      </c>
      <c r="E71" s="28" t="n">
        <v>45682</v>
      </c>
      <c r="F71" s="29">
        <f>$E$2-E71</f>
        <v/>
      </c>
      <c r="G71" s="22" t="n"/>
      <c r="H71" s="23" t="n"/>
      <c r="I71" s="23" t="inlineStr">
        <is>
          <t>Old Credit Issue</t>
        </is>
      </c>
    </row>
    <row r="72">
      <c r="A72" s="25" t="n">
        <v>45951</v>
      </c>
      <c r="B72" s="26" t="inlineStr">
        <is>
          <t>SLGCW/768/25-26</t>
        </is>
      </c>
      <c r="C72" s="19" t="n"/>
      <c r="D72" s="27" t="n">
        <v>272</v>
      </c>
      <c r="E72" s="28" t="n">
        <v>45952</v>
      </c>
      <c r="F72" s="29">
        <f>$E$2-E72</f>
        <v/>
      </c>
      <c r="G72" s="22" t="n"/>
      <c r="H72" s="23" t="n"/>
      <c r="I72" s="23" t="inlineStr">
        <is>
          <t>Old Credit Issue</t>
        </is>
      </c>
    </row>
    <row r="73">
      <c r="A73" s="19" t="n"/>
      <c r="B73" s="19" t="n"/>
      <c r="C73" s="19" t="n"/>
      <c r="D73" s="27" t="n">
        <v>543</v>
      </c>
      <c r="E73" s="19" t="n"/>
      <c r="F73" s="19" t="n"/>
      <c r="G73" s="22" t="n"/>
      <c r="H73" s="23" t="n"/>
      <c r="I73" s="23" t="n"/>
    </row>
    <row r="74">
      <c r="A74" s="19" t="n"/>
      <c r="B74" s="19" t="n"/>
      <c r="C74" s="24" t="inlineStr">
        <is>
          <t>Siddi Times &amp; Electronics</t>
        </is>
      </c>
      <c r="D74" s="19" t="n"/>
      <c r="E74" s="19" t="n"/>
      <c r="F74" s="19" t="n"/>
      <c r="G74" s="22" t="n"/>
      <c r="H74" s="23" t="n"/>
      <c r="I74" s="23" t="n"/>
    </row>
    <row r="75">
      <c r="A75" s="25" t="n">
        <v>46142</v>
      </c>
      <c r="B75" s="26" t="inlineStr">
        <is>
          <t>SLGCW/41/26-27</t>
        </is>
      </c>
      <c r="C75" s="19" t="n"/>
      <c r="D75" s="27" t="n">
        <v>149682</v>
      </c>
      <c r="E75" s="28" t="n">
        <v>46143</v>
      </c>
      <c r="F75" s="29">
        <f>$E$2-E75</f>
        <v/>
      </c>
      <c r="G75" s="22" t="n"/>
      <c r="H75" s="23" t="n"/>
      <c r="I75" s="23" t="inlineStr">
        <is>
          <t>Paid by Cheque</t>
        </is>
      </c>
    </row>
    <row r="76">
      <c r="A76" s="19" t="n"/>
      <c r="B76" s="19" t="n"/>
      <c r="C76" s="19" t="n"/>
      <c r="D76" s="27" t="n">
        <v>149682</v>
      </c>
      <c r="E76" s="19" t="n"/>
      <c r="F76" s="19" t="n"/>
      <c r="G76" s="22" t="n"/>
      <c r="H76" s="23" t="n"/>
      <c r="I76" s="23" t="n"/>
    </row>
    <row r="77">
      <c r="A77" s="19" t="n"/>
      <c r="B77" s="19" t="n"/>
      <c r="C77" s="24" t="inlineStr">
        <is>
          <t>SS WATCHES AND SUNGLASSES</t>
        </is>
      </c>
      <c r="D77" s="19" t="n"/>
      <c r="E77" s="19" t="n"/>
      <c r="F77" s="19" t="n"/>
      <c r="G77" s="22" t="n"/>
      <c r="H77" s="23" t="n"/>
      <c r="I77" s="23" t="n"/>
    </row>
    <row r="78">
      <c r="A78" s="25" t="n">
        <v>46102</v>
      </c>
      <c r="B78" s="26" t="inlineStr">
        <is>
          <t>SLGCW/1263/25-26</t>
        </is>
      </c>
      <c r="C78" s="19" t="n"/>
      <c r="D78" s="27" t="n">
        <v>12806</v>
      </c>
      <c r="E78" s="28" t="n">
        <v>46102</v>
      </c>
      <c r="F78" s="29">
        <f>$E$2-E78</f>
        <v/>
      </c>
      <c r="G78" s="22" t="n"/>
      <c r="H78" s="23" t="n"/>
      <c r="I78" s="23" t="n"/>
    </row>
    <row r="79">
      <c r="A79" s="19" t="n"/>
      <c r="B79" s="19" t="n"/>
      <c r="C79" s="19" t="n"/>
      <c r="D79" s="27" t="n">
        <v>12806</v>
      </c>
      <c r="E79" s="19" t="n"/>
      <c r="F79" s="19" t="n"/>
      <c r="G79" s="22" t="n"/>
      <c r="H79" s="23" t="n"/>
      <c r="I79" s="23" t="inlineStr">
        <is>
          <t>Not Responding</t>
        </is>
      </c>
    </row>
    <row r="80">
      <c r="A80" s="19" t="n"/>
      <c r="B80" s="19" t="n"/>
      <c r="C80" s="24" t="inlineStr">
        <is>
          <t>Sunny Watch</t>
        </is>
      </c>
      <c r="D80" s="19" t="n"/>
      <c r="E80" s="19" t="n"/>
      <c r="F80" s="19" t="n"/>
      <c r="G80" s="22" t="n"/>
      <c r="H80" s="23" t="n"/>
      <c r="I80" s="23" t="n"/>
    </row>
    <row r="81">
      <c r="A81" s="25" t="n">
        <v>46137</v>
      </c>
      <c r="B81" s="26" t="inlineStr">
        <is>
          <t>SLGCW/18/26-27</t>
        </is>
      </c>
      <c r="C81" s="19" t="n"/>
      <c r="D81" s="27" t="n">
        <v>111599</v>
      </c>
      <c r="E81" s="28" t="n">
        <v>46138</v>
      </c>
      <c r="F81" s="29">
        <f>$E$2-E81</f>
        <v/>
      </c>
      <c r="G81" s="22" t="n"/>
      <c r="H81" s="23" t="n"/>
      <c r="I81" s="23">
        <f>I79</f>
        <v/>
      </c>
    </row>
    <row r="82">
      <c r="A82" s="25" t="n">
        <v>46144</v>
      </c>
      <c r="B82" s="26" t="inlineStr">
        <is>
          <t>SLGCW/56/26-27</t>
        </is>
      </c>
      <c r="C82" s="19" t="n"/>
      <c r="D82" s="31" t="n">
        <v>20227</v>
      </c>
      <c r="E82" s="28" t="n">
        <v>46169</v>
      </c>
      <c r="F82" s="19" t="n"/>
      <c r="G82" s="22" t="n"/>
      <c r="H82" s="23" t="n"/>
      <c r="I82" s="23" t="n"/>
    </row>
    <row r="83">
      <c r="A83" s="19" t="n"/>
      <c r="B83" s="19" t="n"/>
      <c r="C83" s="19" t="n"/>
      <c r="D83" s="27" t="n">
        <v>131826</v>
      </c>
      <c r="E83" s="19" t="n"/>
      <c r="F83" s="19" t="n"/>
      <c r="G83" s="22" t="n"/>
      <c r="H83" s="23" t="n"/>
      <c r="I83" s="23" t="n"/>
    </row>
    <row r="84">
      <c r="A84" s="19" t="n"/>
      <c r="B84" s="19" t="n"/>
      <c r="C84" s="24" t="inlineStr">
        <is>
          <t>THE TIMES</t>
        </is>
      </c>
      <c r="D84" s="19" t="n"/>
      <c r="E84" s="19" t="n"/>
      <c r="F84" s="19" t="n"/>
      <c r="G84" s="22" t="n"/>
      <c r="H84" s="23" t="n"/>
      <c r="I84" s="23" t="n"/>
    </row>
    <row r="85">
      <c r="A85" s="25" t="n">
        <v>46137</v>
      </c>
      <c r="B85" s="26" t="inlineStr">
        <is>
          <t>SLGCW/20/26-27</t>
        </is>
      </c>
      <c r="C85" s="19" t="n"/>
      <c r="D85" s="27" t="n">
        <v>70357</v>
      </c>
      <c r="E85" s="28" t="n">
        <v>46137</v>
      </c>
      <c r="F85" s="29">
        <f>$E$2-E85</f>
        <v/>
      </c>
      <c r="G85" s="22" t="n"/>
      <c r="H85" s="23" t="n"/>
      <c r="I85" s="23" t="inlineStr">
        <is>
          <t>Paid by Cheque</t>
        </is>
      </c>
    </row>
    <row r="86">
      <c r="A86" s="19" t="n"/>
      <c r="B86" s="19" t="n"/>
      <c r="C86" s="19" t="n"/>
      <c r="D86" s="27" t="n">
        <v>70357</v>
      </c>
      <c r="E86" s="19" t="n"/>
      <c r="F86" s="19" t="n"/>
      <c r="G86" s="22" t="n"/>
      <c r="H86" s="23" t="n"/>
      <c r="I86" s="23" t="n"/>
    </row>
    <row r="87">
      <c r="C87" t="inlineStr">
        <is>
          <t>CENTRAL WATCH CO.</t>
        </is>
      </c>
    </row>
    <row r="88">
      <c r="A88" t="inlineStr">
        <is>
          <t>2026-05-19</t>
        </is>
      </c>
      <c r="B88" t="inlineStr">
        <is>
          <t>SLGCW/70/26-27</t>
        </is>
      </c>
      <c r="C88" t="inlineStr">
        <is>
          <t>CENTRAL WATCH CO.</t>
        </is>
      </c>
      <c r="D88" t="n">
        <v>35496</v>
      </c>
      <c r="E88" t="inlineStr">
        <is>
          <t>2026-05-20</t>
        </is>
      </c>
    </row>
    <row r="89">
      <c r="C89" t="inlineStr">
        <is>
          <t>COUNTER SALE</t>
        </is>
      </c>
    </row>
    <row r="90">
      <c r="A90" t="inlineStr">
        <is>
          <t>2026-01-30</t>
        </is>
      </c>
      <c r="B90" t="inlineStr">
        <is>
          <t>SLGCW/1177/25-26</t>
        </is>
      </c>
      <c r="C90" t="inlineStr">
        <is>
          <t>COUNTER SALE</t>
        </is>
      </c>
      <c r="D90" t="n">
        <v>61596</v>
      </c>
      <c r="E90" t="inlineStr">
        <is>
          <t>2026-01-31</t>
        </is>
      </c>
    </row>
    <row r="91">
      <c r="A91" t="inlineStr">
        <is>
          <t>2026-02-05</t>
        </is>
      </c>
      <c r="B91" t="inlineStr">
        <is>
          <t>SLGCW/1193/25-26</t>
        </is>
      </c>
      <c r="C91" t="inlineStr">
        <is>
          <t>COUNTER SALE</t>
        </is>
      </c>
      <c r="D91" t="n">
        <v>5996</v>
      </c>
      <c r="E91" t="inlineStr">
        <is>
          <t>2026-02-06</t>
        </is>
      </c>
    </row>
    <row r="92">
      <c r="A92" t="inlineStr">
        <is>
          <t>2026-05-02</t>
        </is>
      </c>
      <c r="B92" t="inlineStr">
        <is>
          <t>SLGCW/47/26-27</t>
        </is>
      </c>
      <c r="C92" t="inlineStr">
        <is>
          <t>COUNTER SALE</t>
        </is>
      </c>
      <c r="D92" t="n">
        <v>4496</v>
      </c>
      <c r="E92" t="inlineStr">
        <is>
          <t>2026-05-03</t>
        </is>
      </c>
    </row>
    <row r="93">
      <c r="A93" t="inlineStr">
        <is>
          <t>2026-05-02</t>
        </is>
      </c>
      <c r="B93" t="inlineStr">
        <is>
          <t>SLGCW/48/26-27</t>
        </is>
      </c>
      <c r="C93" t="inlineStr">
        <is>
          <t>COUNTER SALE</t>
        </is>
      </c>
      <c r="D93" t="n">
        <v>3371</v>
      </c>
      <c r="E93" t="inlineStr">
        <is>
          <t>2026-05-03</t>
        </is>
      </c>
    </row>
    <row r="94">
      <c r="A94" t="inlineStr">
        <is>
          <t>2026-05-11</t>
        </is>
      </c>
      <c r="B94" t="inlineStr">
        <is>
          <t>SLGCW/63/26-27</t>
        </is>
      </c>
      <c r="C94" t="inlineStr">
        <is>
          <t>COUNTER SALE</t>
        </is>
      </c>
      <c r="D94" t="n">
        <v>2922</v>
      </c>
      <c r="E94" t="inlineStr">
        <is>
          <t>2026-05-12</t>
        </is>
      </c>
    </row>
    <row r="95">
      <c r="A95" t="inlineStr">
        <is>
          <t>2026-05-15</t>
        </is>
      </c>
      <c r="B95" t="inlineStr">
        <is>
          <t>SLGCW/66/26-27</t>
        </is>
      </c>
      <c r="C95" t="inlineStr">
        <is>
          <t>COUNTER SALE</t>
        </is>
      </c>
      <c r="D95" t="n">
        <v>7356</v>
      </c>
      <c r="E95" t="inlineStr">
        <is>
          <t>2026-05-16</t>
        </is>
      </c>
    </row>
    <row r="96">
      <c r="C96" t="inlineStr">
        <is>
          <t>INDIAN WATCH CO AND OPTICALS</t>
        </is>
      </c>
    </row>
    <row r="97">
      <c r="A97" t="inlineStr">
        <is>
          <t>2026-04-30</t>
        </is>
      </c>
      <c r="B97" t="inlineStr">
        <is>
          <t>SLGCW/43/26-27</t>
        </is>
      </c>
      <c r="C97" t="inlineStr">
        <is>
          <t>INDIAN WATCH CO AND OPTICALS</t>
        </is>
      </c>
      <c r="D97" t="n">
        <v>121816</v>
      </c>
      <c r="E97" t="inlineStr">
        <is>
          <t>2026-05-30</t>
        </is>
      </c>
    </row>
    <row r="98">
      <c r="C98" t="inlineStr">
        <is>
          <t>labdhi watche&amp;premium</t>
        </is>
      </c>
    </row>
    <row r="99">
      <c r="A99" t="inlineStr">
        <is>
          <t>2026-04-27</t>
        </is>
      </c>
      <c r="B99" t="inlineStr">
        <is>
          <t>SLGCW/26/26-27</t>
        </is>
      </c>
      <c r="C99" t="inlineStr">
        <is>
          <t>labdhi watche&amp;premium</t>
        </is>
      </c>
      <c r="D99" t="n">
        <v>98345</v>
      </c>
      <c r="E99" t="inlineStr">
        <is>
          <t>2026-05-27</t>
        </is>
      </c>
    </row>
    <row r="100">
      <c r="A100" t="inlineStr">
        <is>
          <t>2026-04-30</t>
        </is>
      </c>
      <c r="B100" t="inlineStr">
        <is>
          <t>SLGCW/39/26-27</t>
        </is>
      </c>
      <c r="C100" t="inlineStr">
        <is>
          <t>labdhi watche&amp;premium</t>
        </is>
      </c>
      <c r="D100" t="n">
        <v>338046</v>
      </c>
      <c r="E100" t="inlineStr">
        <is>
          <t>2026-05-30</t>
        </is>
      </c>
    </row>
    <row r="101">
      <c r="A101" t="inlineStr">
        <is>
          <t>2026-05-02</t>
        </is>
      </c>
      <c r="B101" t="inlineStr">
        <is>
          <t>SLGCW/57/26-27</t>
        </is>
      </c>
      <c r="C101" t="inlineStr">
        <is>
          <t>labdhi watche&amp;premium</t>
        </is>
      </c>
      <c r="D101" t="n">
        <v>22340</v>
      </c>
      <c r="E101" t="inlineStr">
        <is>
          <t>2026-06-01</t>
        </is>
      </c>
    </row>
    <row r="102">
      <c r="C102" t="inlineStr">
        <is>
          <t>Navkar Watch &amp; Premium</t>
        </is>
      </c>
    </row>
    <row r="103">
      <c r="A103" t="inlineStr">
        <is>
          <t>2026-04-24</t>
        </is>
      </c>
      <c r="B103" t="inlineStr">
        <is>
          <t>SLGCW/17/26-27</t>
        </is>
      </c>
      <c r="C103" t="inlineStr">
        <is>
          <t>Navkar Watch &amp; Premium</t>
        </is>
      </c>
      <c r="D103" t="n">
        <v>280312</v>
      </c>
      <c r="E103" t="inlineStr">
        <is>
          <t>2026-05-24</t>
        </is>
      </c>
    </row>
    <row r="104">
      <c r="A104" t="inlineStr">
        <is>
          <t>2026-05-02</t>
        </is>
      </c>
      <c r="B104" t="inlineStr">
        <is>
          <t>SLGCW/55/26-27</t>
        </is>
      </c>
      <c r="C104" t="inlineStr">
        <is>
          <t>Navkar Watch &amp; Premium</t>
        </is>
      </c>
      <c r="D104" t="n">
        <v>19688</v>
      </c>
      <c r="E104" t="inlineStr">
        <is>
          <t>2026-06-01</t>
        </is>
      </c>
    </row>
    <row r="105">
      <c r="C105" t="inlineStr">
        <is>
          <t>RAMDEV WATCH CO.</t>
        </is>
      </c>
    </row>
    <row r="106">
      <c r="A106" t="inlineStr">
        <is>
          <t>2026-04-24</t>
        </is>
      </c>
      <c r="B106" t="inlineStr">
        <is>
          <t>SLGCW/16/26-27</t>
        </is>
      </c>
      <c r="C106" t="inlineStr">
        <is>
          <t>RAMDEV WATCH CO.</t>
        </is>
      </c>
      <c r="D106" t="n">
        <v>886138</v>
      </c>
      <c r="E106" t="inlineStr">
        <is>
          <t>2026-05-24</t>
        </is>
      </c>
    </row>
    <row r="107">
      <c r="A107" t="inlineStr">
        <is>
          <t>2026-05-02</t>
        </is>
      </c>
      <c r="B107" t="inlineStr">
        <is>
          <t>SLGCW/54/26-27</t>
        </is>
      </c>
      <c r="C107" t="inlineStr">
        <is>
          <t>RAMDEV WATCH CO.</t>
        </is>
      </c>
      <c r="D107" t="n">
        <v>19688</v>
      </c>
      <c r="E107" t="inlineStr">
        <is>
          <t>2026-06-01</t>
        </is>
      </c>
    </row>
    <row r="108">
      <c r="A108" t="inlineStr">
        <is>
          <t>2026-05-15</t>
        </is>
      </c>
      <c r="B108" t="inlineStr">
        <is>
          <t>SLGCW/64/26-27</t>
        </is>
      </c>
      <c r="C108" t="inlineStr">
        <is>
          <t>RAMDEV WATCH CO.</t>
        </is>
      </c>
      <c r="D108" t="n">
        <v>11676</v>
      </c>
      <c r="E108" t="inlineStr">
        <is>
          <t>2026-06-14</t>
        </is>
      </c>
    </row>
    <row r="109">
      <c r="A109" t="inlineStr">
        <is>
          <t>2026-05-20</t>
        </is>
      </c>
      <c r="B109" t="inlineStr">
        <is>
          <t>SLGCW/78/26-27</t>
        </is>
      </c>
      <c r="C109" t="inlineStr">
        <is>
          <t>KISHORE WATCH CO</t>
        </is>
      </c>
      <c r="D109" t="n">
        <v>120998</v>
      </c>
      <c r="E109" t="inlineStr">
        <is>
          <t>2026-05-21</t>
        </is>
      </c>
    </row>
    <row r="110">
      <c r="A110" t="inlineStr">
        <is>
          <t>2026-05-22</t>
        </is>
      </c>
      <c r="B110" t="inlineStr">
        <is>
          <t>SLGCW/83/26-27</t>
        </is>
      </c>
      <c r="C110" t="inlineStr">
        <is>
          <t>KISHORE WATCH CO</t>
        </is>
      </c>
      <c r="D110" t="n">
        <v>13397</v>
      </c>
      <c r="E110" t="inlineStr">
        <is>
          <t>2026-05-23</t>
        </is>
      </c>
    </row>
    <row r="111">
      <c r="A111" t="inlineStr">
        <is>
          <t>2026-05-22</t>
        </is>
      </c>
      <c r="B111" t="inlineStr">
        <is>
          <t>SLGCW/81/26-27</t>
        </is>
      </c>
      <c r="C111" t="inlineStr">
        <is>
          <t>Maruti watche &amp; electronics</t>
        </is>
      </c>
      <c r="D111" t="n">
        <v>19111</v>
      </c>
      <c r="E111" t="inlineStr">
        <is>
          <t>2026-07-06</t>
        </is>
      </c>
    </row>
    <row r="112">
      <c r="A112" t="inlineStr">
        <is>
          <t>2026-05-20</t>
        </is>
      </c>
      <c r="B112" t="inlineStr">
        <is>
          <t>SLGCW/79/26-27</t>
        </is>
      </c>
      <c r="C112" t="inlineStr">
        <is>
          <t>C. Ramchander Watch Co.</t>
        </is>
      </c>
      <c r="D112" t="n">
        <v>1</v>
      </c>
      <c r="E112" t="inlineStr">
        <is>
          <t>2026-05-20</t>
        </is>
      </c>
    </row>
    <row r="113">
      <c r="A113" t="inlineStr">
        <is>
          <t>2026-05-23</t>
        </is>
      </c>
      <c r="B113" t="inlineStr">
        <is>
          <t>SLGCW/84/26-27</t>
        </is>
      </c>
      <c r="C113" t="inlineStr">
        <is>
          <t>RAVINDRA WATCH REPAIR</t>
        </is>
      </c>
      <c r="D113" t="n">
        <v>33663</v>
      </c>
      <c r="E113" t="inlineStr">
        <is>
          <t>2026-05-24</t>
        </is>
      </c>
    </row>
    <row r="114">
      <c r="A114" t="inlineStr">
        <is>
          <t>2026-05-20</t>
        </is>
      </c>
      <c r="B114" t="inlineStr">
        <is>
          <t>SLGCW/74/26-27</t>
        </is>
      </c>
      <c r="C114" t="inlineStr">
        <is>
          <t>Siddi Times &amp; Electronics</t>
        </is>
      </c>
      <c r="D114" t="n">
        <v>29485</v>
      </c>
      <c r="E114" t="inlineStr">
        <is>
          <t>2026-06-19</t>
        </is>
      </c>
    </row>
    <row r="115">
      <c r="A115" s="109" t="n">
        <v>46161</v>
      </c>
      <c r="B115" t="inlineStr">
        <is>
          <t>SLGCW/71/26-27</t>
        </is>
      </c>
      <c r="C115" t="inlineStr">
        <is>
          <t>RAMESH WATCH CO PVT LTD K-INORBIT</t>
        </is>
      </c>
      <c r="D115" t="n">
        <v>206851</v>
      </c>
      <c r="E115" s="109" t="n">
        <v>46206</v>
      </c>
    </row>
    <row r="116">
      <c r="A116" s="109" t="n">
        <v>46162</v>
      </c>
      <c r="B116" t="inlineStr">
        <is>
          <t>SLGCW/75/26-27</t>
        </is>
      </c>
      <c r="C116" t="inlineStr">
        <is>
          <t>RAMESH WATCH CO PVT LTD K-INORBIT</t>
        </is>
      </c>
      <c r="D116" t="n">
        <v>9028</v>
      </c>
      <c r="E116" s="109" t="n">
        <v>46207</v>
      </c>
    </row>
    <row r="117">
      <c r="A117" s="109" t="n">
        <v>46162</v>
      </c>
      <c r="B117" t="inlineStr">
        <is>
          <t>SLGCW/76/26-27</t>
        </is>
      </c>
      <c r="C117" t="inlineStr">
        <is>
          <t>RAMESH WATCH CO PVT LTD K-INORBIT</t>
        </is>
      </c>
      <c r="D117" t="n">
        <v>20093</v>
      </c>
      <c r="E117" s="109" t="n">
        <v>46207</v>
      </c>
    </row>
    <row r="118">
      <c r="A118" s="109" t="n">
        <v>46162</v>
      </c>
      <c r="B118" t="inlineStr">
        <is>
          <t>SLGCW/80/26-27</t>
        </is>
      </c>
      <c r="C118" t="inlineStr">
        <is>
          <t>RAMESH WATCH CO PVT LTD K-INORBIT</t>
        </is>
      </c>
      <c r="D118" t="n">
        <v>118616</v>
      </c>
      <c r="E118" s="109" t="n">
        <v>46207</v>
      </c>
    </row>
    <row r="119">
      <c r="A119" s="109" t="n">
        <v>46164</v>
      </c>
      <c r="B119" t="inlineStr">
        <is>
          <t>SLGCW/82/26-27</t>
        </is>
      </c>
      <c r="C119" t="inlineStr">
        <is>
          <t>RAMESH WATCH CO PVT LTD K-INORBIT</t>
        </is>
      </c>
      <c r="D119" t="n">
        <v>41660</v>
      </c>
      <c r="E119" s="109" t="n">
        <v>46209</v>
      </c>
    </row>
    <row r="120">
      <c r="A120" s="109" t="n">
        <v>46165</v>
      </c>
      <c r="B120" t="inlineStr">
        <is>
          <t>SLGCW/85/26-27</t>
        </is>
      </c>
      <c r="C120" t="inlineStr">
        <is>
          <t>RAMESH WATCH CO PVT LTD K-INORBIT</t>
        </is>
      </c>
      <c r="D120" t="n">
        <v>52735</v>
      </c>
      <c r="E120" s="109" t="n">
        <v>46210</v>
      </c>
    </row>
    <row r="121">
      <c r="A121" s="109" t="n">
        <v>46165</v>
      </c>
      <c r="B121" t="inlineStr">
        <is>
          <t>SLGCW/86/26-27</t>
        </is>
      </c>
      <c r="C121" t="inlineStr">
        <is>
          <t>RAMESH WATCH CO PVT LTD K-INORBIT</t>
        </is>
      </c>
      <c r="D121" t="n">
        <v>28280</v>
      </c>
      <c r="E121" s="109" t="n">
        <v>46210</v>
      </c>
    </row>
    <row r="122">
      <c r="A122" s="19" t="n"/>
      <c r="B122" s="19" t="n"/>
      <c r="C122" s="32" t="inlineStr">
        <is>
          <t>TOTAL AMOUNT</t>
        </is>
      </c>
      <c r="D122" s="27" t="n">
        <v>7826037.03</v>
      </c>
      <c r="E122" s="19" t="n"/>
      <c r="F122" s="19" t="n"/>
      <c r="G122" s="22">
        <f>SUM(G6:G87)</f>
        <v/>
      </c>
      <c r="H122" s="23">
        <f>SUM(H6:H86)</f>
        <v/>
      </c>
      <c r="I122" s="23" t="n"/>
    </row>
  </sheetData>
  <mergeCells count="3">
    <mergeCell ref="B1:C1"/>
    <mergeCell ref="B2:C2"/>
    <mergeCell ref="D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FD207"/>
  <sheetViews>
    <sheetView topLeftCell="A127" zoomScale="124" zoomScaleNormal="124" workbookViewId="0">
      <selection activeCell="C139" sqref="C139"/>
    </sheetView>
  </sheetViews>
  <sheetFormatPr baseColWidth="8" defaultRowHeight="14.4"/>
  <cols>
    <col width="10.33203125" customWidth="1" style="243" min="1" max="1"/>
    <col width="19.6640625" customWidth="1" style="243" min="2" max="2"/>
    <col width="46.109375" customWidth="1" style="243" min="3" max="3"/>
    <col width="12.6640625" customWidth="1" style="243" min="4" max="4"/>
    <col width="10.44140625" customWidth="1" style="243" min="5" max="5"/>
    <col width="8.44140625" customWidth="1" style="243" min="6" max="6"/>
    <col width="13.109375" customWidth="1" style="243" min="7" max="7"/>
    <col width="11" customWidth="1" style="243" min="8" max="8"/>
    <col width="14" customWidth="1" style="243" min="9" max="9"/>
    <col width="35.109375" customWidth="1" style="243" min="10" max="10"/>
    <col width="42.109375" customWidth="1" style="243" min="11" max="11"/>
  </cols>
  <sheetData>
    <row r="1" ht="11.1" customHeight="1" s="243">
      <c r="A1" s="33" t="inlineStr">
        <is>
          <t>Group:</t>
        </is>
      </c>
      <c r="B1" s="267" t="inlineStr">
        <is>
          <t>Nazeeb / Praveen</t>
        </is>
      </c>
      <c r="C1" s="264" t="n"/>
      <c r="D1" s="268" t="n"/>
    </row>
    <row r="2" ht="11.1" customHeight="1" s="243">
      <c r="A2" s="33" t="inlineStr">
        <is>
          <t>Details of:</t>
        </is>
      </c>
      <c r="B2" s="267" t="inlineStr">
        <is>
          <t>Pending Bills</t>
        </is>
      </c>
      <c r="C2" s="264" t="n"/>
      <c r="D2" s="34" t="inlineStr">
        <is>
          <t>Today Date:</t>
        </is>
      </c>
      <c r="E2" s="35">
        <f>TODAY()</f>
        <v/>
      </c>
      <c r="F2" s="36" t="n"/>
      <c r="G2" s="36" t="n"/>
    </row>
    <row r="3" ht="4.5" customHeight="1" s="243"/>
    <row r="4" ht="11.1" customHeight="1" s="243">
      <c r="A4" s="37" t="inlineStr">
        <is>
          <t>Date</t>
        </is>
      </c>
      <c r="B4" s="38" t="inlineStr">
        <is>
          <t>Ref. No.</t>
        </is>
      </c>
      <c r="C4" s="37" t="inlineStr">
        <is>
          <t>Party's Name</t>
        </is>
      </c>
      <c r="D4" s="37" t="inlineStr">
        <is>
          <t>Opening Amt</t>
        </is>
      </c>
      <c r="E4" s="37" t="inlineStr">
        <is>
          <t>Total Amt</t>
        </is>
      </c>
      <c r="F4" s="37" t="inlineStr">
        <is>
          <t>Due on</t>
        </is>
      </c>
      <c r="G4" s="39" t="inlineStr">
        <is>
          <t>Days Overdue</t>
        </is>
      </c>
      <c r="H4" s="40" t="inlineStr">
        <is>
          <t>Paid Amt</t>
        </is>
      </c>
      <c r="I4" s="40" t="inlineStr">
        <is>
          <t>Pending Amt</t>
        </is>
      </c>
      <c r="J4" s="41" t="inlineStr">
        <is>
          <t>Remark (5/20)</t>
        </is>
      </c>
      <c r="K4" s="41" t="inlineStr">
        <is>
          <t>Remark (5/21)</t>
        </is>
      </c>
      <c r="L4" s="107" t="inlineStr">
        <is>
          <t>Last Follow-up Notes</t>
        </is>
      </c>
    </row>
    <row r="5" ht="11.1" customHeight="1" s="243">
      <c r="A5" s="42" t="n"/>
      <c r="B5" s="19" t="n"/>
      <c r="C5" s="42" t="n"/>
      <c r="D5" s="43" t="n"/>
      <c r="E5" s="44" t="n"/>
      <c r="F5" s="42" t="n"/>
      <c r="G5" s="45" t="n"/>
      <c r="H5" s="46" t="n"/>
      <c r="I5" s="46" t="n"/>
      <c r="J5" s="47" t="inlineStr">
        <is>
          <t>Remark (5/20)</t>
        </is>
      </c>
      <c r="K5" s="48" t="n"/>
      <c r="L5" t="inlineStr">
        <is>
          <t>Last Follow-up Notes</t>
        </is>
      </c>
    </row>
    <row r="6" ht="11.1" customHeight="1" s="243">
      <c r="A6" s="42" t="n"/>
      <c r="B6" s="42" t="n"/>
      <c r="C6" s="49" t="inlineStr">
        <is>
          <t>AMBIKA STATIONERY</t>
        </is>
      </c>
      <c r="D6" s="42" t="n"/>
      <c r="E6" s="50" t="n"/>
      <c r="F6" s="42" t="n"/>
      <c r="G6" s="42" t="n"/>
      <c r="H6" s="51" t="n"/>
      <c r="I6" s="51" t="n"/>
      <c r="J6" s="52" t="n"/>
      <c r="K6" s="53" t="n"/>
      <c r="L6" t="inlineStr">
        <is>
          <t>NUMBER BUSY | HEWILL PAYNOW | HE WILL PAY AND SEND THE DETAILS | NUMBER BUSY</t>
        </is>
      </c>
    </row>
    <row r="7" ht="11.1" customHeight="1" s="243">
      <c r="A7" s="54" t="n">
        <v>46095</v>
      </c>
      <c r="B7" s="55" t="inlineStr">
        <is>
          <t>C-SLG/2384/25-26</t>
        </is>
      </c>
      <c r="C7" s="42" t="n"/>
      <c r="D7" s="56" t="n">
        <v>8075</v>
      </c>
      <c r="E7" s="57" t="n">
        <v>8075</v>
      </c>
      <c r="F7" s="58" t="n">
        <v>46120</v>
      </c>
      <c r="G7" s="59">
        <f>$E$2-F7</f>
        <v/>
      </c>
      <c r="H7" s="51" t="n"/>
      <c r="I7" s="51">
        <f>E7-H7</f>
        <v/>
      </c>
      <c r="J7" s="51" t="inlineStr">
        <is>
          <t>Number Busy</t>
        </is>
      </c>
      <c r="K7" s="51" t="inlineStr">
        <is>
          <t>Number Busy</t>
        </is>
      </c>
      <c r="L7" t="inlineStr">
        <is>
          <t>Number Busy</t>
        </is>
      </c>
    </row>
    <row r="8" ht="11.1" customHeight="1" s="243">
      <c r="A8" s="42" t="n"/>
      <c r="B8" s="42" t="n"/>
      <c r="C8" s="42" t="n"/>
      <c r="D8" s="60" t="n">
        <v>8075</v>
      </c>
      <c r="E8" s="57" t="n">
        <v>8075</v>
      </c>
      <c r="F8" s="42" t="n"/>
      <c r="G8" s="42" t="n"/>
      <c r="H8" s="51" t="n"/>
      <c r="I8" s="51" t="n"/>
      <c r="J8" s="52" t="n"/>
      <c r="K8" s="53" t="n"/>
    </row>
    <row r="9" ht="11.1" customHeight="1" s="243">
      <c r="A9" s="42" t="n"/>
      <c r="B9" s="42" t="n"/>
      <c r="C9" s="49" t="inlineStr">
        <is>
          <t>BEST ENTERPRISES</t>
        </is>
      </c>
      <c r="D9" s="42" t="n"/>
      <c r="E9" s="50" t="n"/>
      <c r="F9" s="42" t="n"/>
      <c r="G9" s="42" t="n"/>
      <c r="H9" s="51" t="n"/>
      <c r="I9" s="51" t="n"/>
      <c r="J9" s="52" t="n"/>
      <c r="K9" s="53" t="n"/>
      <c r="L9" t="inlineStr">
        <is>
          <t>RINGING NOT RESPONDING | NUMBER NOT CONNETED | NUMBER NOT CONNETED | WE HAVE MSG INWATTUP | month end HEWILL CLEAR | NUMBER BUSY</t>
        </is>
      </c>
    </row>
    <row r="10" ht="11.1" customHeight="1" s="243">
      <c r="A10" s="54" t="n">
        <v>45996</v>
      </c>
      <c r="B10" s="55" t="inlineStr">
        <is>
          <t>C-SLG/1844/25-26</t>
        </is>
      </c>
      <c r="C10" s="42" t="n"/>
      <c r="D10" s="60" t="n">
        <v>30511</v>
      </c>
      <c r="E10" s="57" t="n">
        <v>30511</v>
      </c>
      <c r="F10" s="58" t="n">
        <v>46021</v>
      </c>
      <c r="G10" s="59">
        <f>$E$2-F10</f>
        <v/>
      </c>
      <c r="H10" s="51" t="n"/>
      <c r="I10" s="51">
        <f>E10-H10</f>
        <v/>
      </c>
      <c r="J10" s="61" t="inlineStr">
        <is>
          <t>Customer Out of Station - Month end he will Pay</t>
        </is>
      </c>
      <c r="K10" s="53" t="n"/>
    </row>
    <row r="11" ht="11.1" customHeight="1" s="243">
      <c r="A11" s="42" t="n"/>
      <c r="B11" s="42" t="n"/>
      <c r="C11" s="42" t="n"/>
      <c r="D11" s="60" t="n">
        <v>30511</v>
      </c>
      <c r="E11" s="57" t="n">
        <v>30511</v>
      </c>
      <c r="F11" s="42" t="n"/>
      <c r="G11" s="42" t="n"/>
      <c r="H11" s="51" t="n"/>
      <c r="I11" s="51" t="n"/>
      <c r="J11" s="52" t="n"/>
      <c r="K11" s="53" t="n"/>
    </row>
    <row r="12" ht="11.1" customHeight="1" s="243">
      <c r="A12" s="42" t="n"/>
      <c r="B12" s="42" t="n"/>
      <c r="C12" s="49" t="inlineStr">
        <is>
          <t>Bhavani Stationery and Gift</t>
        </is>
      </c>
      <c r="D12" s="42" t="n"/>
      <c r="E12" s="50" t="n"/>
      <c r="F12" s="42" t="n"/>
      <c r="G12" s="42" t="n"/>
      <c r="H12" s="51" t="n"/>
      <c r="I12" s="51" t="n"/>
      <c r="J12" s="52" t="n"/>
      <c r="K12" s="53" t="n"/>
      <c r="L12" t="inlineStr">
        <is>
          <t>NUMBER BUSY | HEWILL PAY TOMMROW SEND PERSON | WILL DO PAYMENT</t>
        </is>
      </c>
    </row>
    <row r="13" ht="11.1" customHeight="1" s="243">
      <c r="A13" s="54" t="n">
        <v>46105</v>
      </c>
      <c r="B13" s="55" t="inlineStr">
        <is>
          <t>C-SLG/2429/25-26</t>
        </is>
      </c>
      <c r="C13" s="42" t="n"/>
      <c r="D13" s="60" t="n">
        <v>1186</v>
      </c>
      <c r="E13" s="57" t="n">
        <v>1186</v>
      </c>
      <c r="F13" s="58" t="n">
        <v>46130</v>
      </c>
      <c r="G13" s="59">
        <f>$E$2-F13</f>
        <v/>
      </c>
      <c r="H13" s="51" t="n"/>
      <c r="I13" s="51" t="n"/>
      <c r="J13" s="52" t="n"/>
      <c r="K13" s="53" t="n"/>
    </row>
    <row r="14" ht="11.1" customHeight="1" s="243">
      <c r="A14" s="54" t="n">
        <v>46156</v>
      </c>
      <c r="B14" s="55" t="inlineStr">
        <is>
          <t>C-SLG/0125/26-27</t>
        </is>
      </c>
      <c r="C14" s="42" t="n"/>
      <c r="D14" s="60" t="n">
        <v>2941</v>
      </c>
      <c r="E14" s="57" t="n">
        <v>2941</v>
      </c>
      <c r="F14" s="58" t="n">
        <v>46181</v>
      </c>
      <c r="G14" s="42" t="n"/>
      <c r="H14" s="51" t="n"/>
      <c r="I14" s="51" t="n"/>
      <c r="J14" s="52" t="n"/>
      <c r="K14" s="53" t="n"/>
    </row>
    <row r="15" ht="11.1" customHeight="1" s="243">
      <c r="A15" s="42" t="n"/>
      <c r="B15" s="42" t="n"/>
      <c r="C15" s="42" t="n"/>
      <c r="D15" s="60" t="n">
        <v>4127</v>
      </c>
      <c r="E15" s="57" t="n">
        <v>4127</v>
      </c>
      <c r="F15" s="42" t="n"/>
      <c r="G15" s="42" t="n"/>
      <c r="H15" s="51" t="n">
        <v>4127</v>
      </c>
      <c r="I15" s="51">
        <f>E15-H15</f>
        <v/>
      </c>
      <c r="J15" s="52" t="inlineStr">
        <is>
          <t>Paid by Cheque</t>
        </is>
      </c>
      <c r="K15" s="53" t="n"/>
    </row>
    <row r="16" ht="11.1" customHeight="1" s="243">
      <c r="A16" s="42" t="n"/>
      <c r="B16" s="42" t="n"/>
      <c r="C16" s="49" t="inlineStr">
        <is>
          <t>Dachapally Book Centre</t>
        </is>
      </c>
      <c r="D16" s="42" t="n"/>
      <c r="E16" s="50" t="n"/>
      <c r="F16" s="42" t="n"/>
      <c r="G16" s="42" t="n"/>
      <c r="H16" s="51" t="n"/>
      <c r="I16" s="51" t="n"/>
      <c r="J16" s="52" t="n"/>
      <c r="K16" s="53" t="n"/>
    </row>
    <row r="17" ht="11.1" customHeight="1" s="243">
      <c r="A17" s="54" t="n">
        <v>46105</v>
      </c>
      <c r="B17" s="55" t="inlineStr">
        <is>
          <t>C-SLG/2427/25-26</t>
        </is>
      </c>
      <c r="C17" s="42" t="n"/>
      <c r="D17" s="60" t="n">
        <v>5152</v>
      </c>
      <c r="E17" s="57" t="n">
        <v>5152</v>
      </c>
      <c r="F17" s="58" t="n">
        <v>46130</v>
      </c>
      <c r="G17" s="59">
        <f>$E$2-F17</f>
        <v/>
      </c>
      <c r="H17" s="51" t="n"/>
      <c r="I17" s="51">
        <f>E17-H17</f>
        <v/>
      </c>
      <c r="J17" s="52" t="inlineStr">
        <is>
          <t>No Number available - Send DSO</t>
        </is>
      </c>
      <c r="K17" s="53" t="n"/>
    </row>
    <row r="18" ht="11.1" customHeight="1" s="243">
      <c r="A18" s="42" t="n"/>
      <c r="B18" s="42" t="n"/>
      <c r="C18" s="42" t="n"/>
      <c r="D18" s="60" t="n">
        <v>5152</v>
      </c>
      <c r="E18" s="57" t="n">
        <v>5152</v>
      </c>
      <c r="F18" s="42" t="n"/>
      <c r="G18" s="42" t="n"/>
      <c r="H18" s="51" t="n"/>
      <c r="I18" s="51" t="n"/>
      <c r="J18" s="52" t="n"/>
      <c r="K18" s="53" t="n"/>
    </row>
    <row r="19" ht="11.1" customHeight="1" s="243">
      <c r="A19" s="42" t="n"/>
      <c r="B19" s="42" t="n"/>
      <c r="C19" s="49" t="inlineStr">
        <is>
          <t>Deccan Book Depot and Stationery</t>
        </is>
      </c>
      <c r="D19" s="42" t="n"/>
      <c r="E19" s="50" t="n"/>
      <c r="F19" s="42" t="n"/>
      <c r="G19" s="42" t="n"/>
      <c r="H19" s="51" t="n"/>
      <c r="I19" s="51" t="n"/>
      <c r="J19" s="52" t="n"/>
      <c r="K19" s="53" t="n"/>
      <c r="L19" t="inlineStr">
        <is>
          <t>2900 ISSUE NOT RESOVLED</t>
        </is>
      </c>
    </row>
    <row r="20" ht="11.1" customHeight="1" s="243">
      <c r="A20" s="54" t="n">
        <v>45975</v>
      </c>
      <c r="B20" s="55" t="inlineStr">
        <is>
          <t>C-SLG/1655/25-26</t>
        </is>
      </c>
      <c r="C20" s="42" t="n"/>
      <c r="D20" s="60" t="n">
        <v>3540</v>
      </c>
      <c r="E20" s="57" t="n">
        <v>2900</v>
      </c>
      <c r="F20" s="58" t="n">
        <v>46000</v>
      </c>
      <c r="G20" s="59">
        <f>$E$2-F20</f>
        <v/>
      </c>
      <c r="H20" s="51" t="n"/>
      <c r="I20" s="51">
        <f>E20-H20</f>
        <v/>
      </c>
      <c r="J20" s="52" t="inlineStr">
        <is>
          <t>Paid Online</t>
        </is>
      </c>
      <c r="K20" s="53" t="n"/>
    </row>
    <row r="21" ht="11.1" customHeight="1" s="243">
      <c r="A21" s="54" t="n">
        <v>46069</v>
      </c>
      <c r="B21" s="55" t="inlineStr">
        <is>
          <t>C-SLG/2235/25-26</t>
        </is>
      </c>
      <c r="C21" s="42" t="n"/>
      <c r="D21" s="60" t="n">
        <v>2044</v>
      </c>
      <c r="E21" s="57" t="n">
        <v>2044</v>
      </c>
      <c r="F21" s="58" t="n">
        <v>46094</v>
      </c>
      <c r="G21" s="59">
        <f>$E$2-F21</f>
        <v/>
      </c>
      <c r="H21" s="51" t="n"/>
      <c r="I21" s="51">
        <f>E21-H21</f>
        <v/>
      </c>
      <c r="J21" s="52" t="inlineStr">
        <is>
          <t>Send DSO with Sign Copies</t>
        </is>
      </c>
      <c r="K21" s="53" t="n"/>
    </row>
    <row r="22" ht="11.1" customHeight="1" s="243">
      <c r="A22" s="42" t="n"/>
      <c r="B22" s="42" t="n"/>
      <c r="C22" s="42" t="n"/>
      <c r="D22" s="60" t="n">
        <v>5584</v>
      </c>
      <c r="E22" s="57" t="n">
        <v>4944</v>
      </c>
      <c r="F22" s="42" t="n"/>
      <c r="G22" s="42" t="n"/>
      <c r="H22" s="51" t="n"/>
      <c r="I22" s="51" t="n"/>
      <c r="J22" s="52" t="n"/>
      <c r="K22" s="53" t="n"/>
    </row>
    <row r="23" ht="11.1" customHeight="1" s="243">
      <c r="A23" s="42" t="n"/>
      <c r="B23" s="42" t="n"/>
      <c r="C23" s="49" t="inlineStr">
        <is>
          <t>Dilip Super Market (Manikonda)</t>
        </is>
      </c>
      <c r="D23" s="42" t="n"/>
      <c r="E23" s="50" t="n"/>
      <c r="F23" s="42" t="n"/>
      <c r="G23" s="42" t="n"/>
      <c r="H23" s="51" t="n"/>
      <c r="I23" s="51" t="n"/>
      <c r="J23" s="52" t="n"/>
      <c r="K23" s="53" t="n"/>
    </row>
    <row r="24" ht="11.1" customHeight="1" s="243">
      <c r="A24" s="54" t="n">
        <v>46088</v>
      </c>
      <c r="B24" s="55" t="inlineStr">
        <is>
          <t>C-SLG/2344/25-26</t>
        </is>
      </c>
      <c r="C24" s="42" t="n"/>
      <c r="D24" s="60" t="n">
        <v>2472</v>
      </c>
      <c r="E24" s="57" t="n">
        <v>2472</v>
      </c>
      <c r="F24" s="58" t="n">
        <v>46113</v>
      </c>
      <c r="G24" s="59">
        <f>$E$2-F24</f>
        <v/>
      </c>
      <c r="H24" s="51" t="n"/>
      <c r="I24" s="51">
        <f>E24-H24</f>
        <v/>
      </c>
      <c r="J24" s="52" t="inlineStr">
        <is>
          <t>He will inform to his Sir | Next month send DSO for Cash - Customer Out of Station</t>
        </is>
      </c>
      <c r="K24" s="52" t="inlineStr">
        <is>
          <t>Next month send DSO for Cash - Customer Out of Station</t>
        </is>
      </c>
      <c r="L24" t="inlineStr">
        <is>
          <t>Next month send DSO for Cash - Customer Out of Station</t>
        </is>
      </c>
    </row>
    <row r="25" ht="11.1" customHeight="1" s="243">
      <c r="A25" s="42" t="n"/>
      <c r="B25" s="42" t="n"/>
      <c r="C25" s="42" t="n"/>
      <c r="D25" s="60" t="n">
        <v>2472</v>
      </c>
      <c r="E25" s="57" t="n">
        <v>2472</v>
      </c>
      <c r="F25" s="42" t="n"/>
      <c r="G25" s="42" t="n"/>
      <c r="H25" s="51" t="n"/>
      <c r="I25" s="51" t="n"/>
      <c r="J25" s="52" t="n"/>
      <c r="K25" s="53" t="n"/>
    </row>
    <row r="26" ht="11.1" customHeight="1" s="243">
      <c r="A26" s="42" t="n"/>
      <c r="B26" s="42" t="n"/>
      <c r="C26" s="49" t="inlineStr">
        <is>
          <t>Ever Green Book Centre</t>
        </is>
      </c>
      <c r="D26" s="42" t="n"/>
      <c r="E26" s="50" t="n"/>
      <c r="F26" s="42" t="n"/>
      <c r="G26" s="42" t="n"/>
      <c r="H26" s="51" t="n"/>
      <c r="I26" s="51" t="n"/>
      <c r="J26" s="52" t="n"/>
      <c r="K26" s="52" t="inlineStr">
        <is>
          <t>Number Busy</t>
        </is>
      </c>
    </row>
    <row r="27" ht="11.1" customHeight="1" s="243">
      <c r="A27" s="54" t="n">
        <v>46105</v>
      </c>
      <c r="B27" s="55" t="inlineStr">
        <is>
          <t>C-SLG/2432/25-25</t>
        </is>
      </c>
      <c r="C27" s="42" t="n"/>
      <c r="D27" s="60" t="n">
        <v>381</v>
      </c>
      <c r="E27" s="57" t="n">
        <v>381</v>
      </c>
      <c r="F27" s="58" t="n">
        <v>46130</v>
      </c>
      <c r="G27" s="59">
        <f>$E$2-F27</f>
        <v/>
      </c>
      <c r="H27" s="51" t="n"/>
      <c r="I27" s="51">
        <f>E27-H27</f>
        <v/>
      </c>
      <c r="J27" s="52" t="inlineStr">
        <is>
          <t>Number Busy</t>
        </is>
      </c>
      <c r="K27" s="52" t="inlineStr">
        <is>
          <t>Number Busy</t>
        </is>
      </c>
      <c r="L27" t="inlineStr">
        <is>
          <t>Number Busy</t>
        </is>
      </c>
    </row>
    <row r="28" ht="11.1" customHeight="1" s="243">
      <c r="A28" s="54" t="n">
        <v>46123</v>
      </c>
      <c r="B28" s="55" t="inlineStr">
        <is>
          <t>C-SLG/0029/26-27</t>
        </is>
      </c>
      <c r="C28" s="42" t="n"/>
      <c r="D28" s="60" t="n">
        <v>8874</v>
      </c>
      <c r="E28" s="57" t="n">
        <v>8874</v>
      </c>
      <c r="F28" s="58" t="n">
        <v>46148</v>
      </c>
      <c r="G28" s="59">
        <f>$E$2-F28</f>
        <v/>
      </c>
      <c r="H28" s="51" t="n"/>
      <c r="I28" s="51">
        <f>E28-H28</f>
        <v/>
      </c>
      <c r="J28" s="52" t="inlineStr">
        <is>
          <t>Number Busy</t>
        </is>
      </c>
      <c r="K28" s="52" t="inlineStr">
        <is>
          <t>Number Busy</t>
        </is>
      </c>
      <c r="L28" t="inlineStr">
        <is>
          <t>Number Busy</t>
        </is>
      </c>
    </row>
    <row r="29" ht="11.1" customHeight="1" s="243">
      <c r="A29" s="42" t="n"/>
      <c r="B29" s="42" t="n"/>
      <c r="C29" s="42" t="n"/>
      <c r="D29" s="60" t="n">
        <v>9255</v>
      </c>
      <c r="E29" s="57" t="n">
        <v>9255</v>
      </c>
      <c r="F29" s="42" t="n"/>
      <c r="G29" s="42" t="n"/>
      <c r="H29" s="51" t="n"/>
      <c r="I29" s="51" t="n"/>
      <c r="J29" s="52" t="n"/>
      <c r="K29" s="53" t="n"/>
    </row>
    <row r="30" ht="11.1" customHeight="1" s="243">
      <c r="A30" s="42" t="n"/>
      <c r="B30" s="42" t="n"/>
      <c r="C30" s="49" t="inlineStr">
        <is>
          <t>GLOBAL STATIONERY</t>
        </is>
      </c>
      <c r="D30" s="42" t="n"/>
      <c r="E30" s="50" t="n"/>
      <c r="F30" s="42" t="n"/>
      <c r="G30" s="42" t="n"/>
      <c r="H30" s="51" t="n"/>
      <c r="I30" s="51" t="n"/>
      <c r="J30" s="52" t="n"/>
      <c r="K30" s="53" t="n"/>
      <c r="L30" t="inlineStr">
        <is>
          <t>SENDBILL IN WATTUP HEWILLPAY | PAID</t>
        </is>
      </c>
    </row>
    <row r="31" ht="11.1" customHeight="1" s="243">
      <c r="A31" s="54" t="n">
        <v>46104</v>
      </c>
      <c r="B31" s="55" t="inlineStr">
        <is>
          <t>C-SLG/2419/25-26</t>
        </is>
      </c>
      <c r="C31" s="42" t="n"/>
      <c r="D31" s="60" t="n">
        <v>1982</v>
      </c>
      <c r="E31" s="57" t="n">
        <v>2</v>
      </c>
      <c r="F31" s="58" t="n">
        <v>46129</v>
      </c>
      <c r="G31" s="59">
        <f>$E$2-F31</f>
        <v/>
      </c>
      <c r="H31" s="51" t="n"/>
      <c r="I31" s="51">
        <f>E31-H31</f>
        <v/>
      </c>
      <c r="J31" s="52" t="n"/>
      <c r="K31" s="53" t="n"/>
    </row>
    <row r="32" ht="11.1" customHeight="1" s="243">
      <c r="A32" s="42" t="n"/>
      <c r="B32" s="42" t="n"/>
      <c r="C32" s="42" t="n"/>
      <c r="D32" s="60" t="n">
        <v>1982</v>
      </c>
      <c r="E32" s="57" t="n">
        <v>2</v>
      </c>
      <c r="F32" s="42" t="n"/>
      <c r="G32" s="42" t="n"/>
      <c r="H32" s="51" t="n"/>
      <c r="I32" s="51" t="n"/>
      <c r="J32" s="52" t="n"/>
      <c r="K32" s="53" t="n"/>
    </row>
    <row r="33" ht="11.1" customHeight="1" s="243">
      <c r="A33" s="42" t="n"/>
      <c r="B33" s="42" t="n"/>
      <c r="C33" s="49" t="inlineStr">
        <is>
          <t>GS Enterprises</t>
        </is>
      </c>
      <c r="D33" s="42" t="n"/>
      <c r="E33" s="50" t="n"/>
      <c r="F33" s="42" t="n"/>
      <c r="G33" s="42" t="n"/>
      <c r="H33" s="51" t="n"/>
      <c r="I33" s="51" t="n"/>
      <c r="J33" s="52" t="n"/>
      <c r="K33" s="53" t="n"/>
      <c r="L33" t="inlineStr">
        <is>
          <t>number not their | TODAY SEND THE PERSON FOR PAYMENT | 3days | SHAKEEL  HE WILL COLLECT | SHKEEL WILL COLLECT PAYMENT</t>
        </is>
      </c>
    </row>
    <row r="34" ht="11.1" customHeight="1" s="243">
      <c r="A34" s="54" t="n">
        <v>46095</v>
      </c>
      <c r="B34" s="55" t="inlineStr">
        <is>
          <t>C-SLG/2385/25-26</t>
        </is>
      </c>
      <c r="C34" s="42" t="n"/>
      <c r="D34" s="60" t="n">
        <v>2561</v>
      </c>
      <c r="E34" s="57" t="n">
        <v>2561</v>
      </c>
      <c r="F34" s="58" t="n">
        <v>46120</v>
      </c>
      <c r="G34" s="59">
        <f>$E$2-F34</f>
        <v/>
      </c>
      <c r="H34" s="51" t="n"/>
      <c r="I34" s="51">
        <f>E34-H34</f>
        <v/>
      </c>
      <c r="J34" s="52" t="inlineStr">
        <is>
          <t>Number Not Avilable</t>
        </is>
      </c>
      <c r="K34" s="53" t="n"/>
    </row>
    <row r="35" ht="11.1" customHeight="1" s="243">
      <c r="A35" s="42" t="n"/>
      <c r="B35" s="42" t="n"/>
      <c r="C35" s="42" t="n"/>
      <c r="D35" s="60" t="n">
        <v>2561</v>
      </c>
      <c r="E35" s="57" t="n">
        <v>2561</v>
      </c>
      <c r="F35" s="42" t="n"/>
      <c r="G35" s="42" t="n"/>
      <c r="H35" s="51" t="n"/>
      <c r="I35" s="51" t="n"/>
      <c r="J35" s="52" t="n"/>
      <c r="K35" s="53" t="n"/>
    </row>
    <row r="36" ht="11.1" customHeight="1" s="243">
      <c r="A36" s="42" t="n"/>
      <c r="B36" s="42" t="n"/>
      <c r="C36" s="49" t="inlineStr">
        <is>
          <t>Hasti Stationery Mart (Madhapur)</t>
        </is>
      </c>
      <c r="D36" s="42" t="n"/>
      <c r="E36" s="50" t="n"/>
      <c r="F36" s="42" t="n"/>
      <c r="G36" s="42" t="n"/>
      <c r="H36" s="51" t="n"/>
      <c r="I36" s="51" t="n"/>
      <c r="J36" s="52" t="n"/>
      <c r="K36" s="53" t="n"/>
      <c r="L36" t="inlineStr">
        <is>
          <t>he will pay his in out sation | HE WILL PAY 15TH | RINGING NOT RESPONDING | HE WILL GIVE CASH SEND TOMMROW PERSON</t>
        </is>
      </c>
    </row>
    <row r="37" ht="11.1" customHeight="1" s="243">
      <c r="A37" s="54" t="n">
        <v>46090</v>
      </c>
      <c r="B37" s="55" t="inlineStr">
        <is>
          <t>C-SLG/2351/25-26</t>
        </is>
      </c>
      <c r="C37" s="42" t="n"/>
      <c r="D37" s="60" t="n">
        <v>4181</v>
      </c>
      <c r="E37" s="57" t="n">
        <v>4181</v>
      </c>
      <c r="F37" s="58" t="n">
        <v>46115</v>
      </c>
      <c r="G37" s="59">
        <f>$E$2-F37</f>
        <v/>
      </c>
      <c r="H37" s="51" t="n"/>
      <c r="I37" s="51">
        <f>E37-H37</f>
        <v/>
      </c>
      <c r="J37" s="52" t="inlineStr">
        <is>
          <t>Send DSO for Cash Collection</t>
        </is>
      </c>
      <c r="K37" s="53" t="n"/>
    </row>
    <row r="38" ht="11.1" customHeight="1" s="243">
      <c r="A38" s="54" t="n">
        <v>46107</v>
      </c>
      <c r="B38" s="55" t="inlineStr">
        <is>
          <t>C-SLG/2443/25-26</t>
        </is>
      </c>
      <c r="C38" s="42" t="n"/>
      <c r="D38" s="60" t="n">
        <v>947</v>
      </c>
      <c r="E38" s="57" t="n">
        <v>947</v>
      </c>
      <c r="F38" s="58" t="n">
        <v>46132</v>
      </c>
      <c r="G38" s="59">
        <f>$E$2-F38</f>
        <v/>
      </c>
      <c r="H38" s="51" t="n"/>
      <c r="I38" s="51">
        <f>E38-H38</f>
        <v/>
      </c>
      <c r="J38" s="52" t="inlineStr">
        <is>
          <t>Send DSO for Cash Collection</t>
        </is>
      </c>
      <c r="K38" s="53" t="n"/>
    </row>
    <row r="39" ht="11.1" customHeight="1" s="243">
      <c r="A39" s="42" t="n"/>
      <c r="B39" s="42" t="n"/>
      <c r="C39" s="42" t="n"/>
      <c r="D39" s="60" t="n">
        <v>5128</v>
      </c>
      <c r="E39" s="57" t="n">
        <v>5128</v>
      </c>
      <c r="F39" s="42" t="n"/>
      <c r="G39" s="42" t="n"/>
      <c r="H39" s="51" t="n"/>
      <c r="I39" s="51" t="n"/>
      <c r="J39" s="52" t="n"/>
      <c r="K39" s="52" t="inlineStr">
        <is>
          <t>Send DSO for Cash Collection</t>
        </is>
      </c>
    </row>
    <row r="40" ht="11.1" customHeight="1" s="243">
      <c r="A40" s="42" t="n"/>
      <c r="B40" s="42" t="n"/>
      <c r="C40" s="62" t="inlineStr">
        <is>
          <t>Hyderabad Communications</t>
        </is>
      </c>
      <c r="D40" s="42" t="n"/>
      <c r="E40" s="50" t="n"/>
      <c r="F40" s="42" t="n"/>
      <c r="G40" s="42" t="n"/>
      <c r="H40" s="51" t="n"/>
      <c r="I40" s="51" t="n"/>
      <c r="J40" s="52" t="n"/>
      <c r="K40" s="53" t="n"/>
    </row>
    <row r="41" ht="11.1" customHeight="1" s="243">
      <c r="A41" s="54" t="n">
        <v>45489</v>
      </c>
      <c r="B41" s="55" t="inlineStr">
        <is>
          <t>C-SLG/631/24-25</t>
        </is>
      </c>
      <c r="C41" s="42" t="n"/>
      <c r="D41" s="60" t="n">
        <v>35769</v>
      </c>
      <c r="E41" s="57" t="n">
        <v>34687</v>
      </c>
      <c r="F41" s="58" t="n">
        <v>45514</v>
      </c>
      <c r="G41" s="59">
        <f>$E$2-F41</f>
        <v/>
      </c>
      <c r="H41" s="51" t="n"/>
      <c r="I41" s="51">
        <f>E41-H41</f>
        <v/>
      </c>
      <c r="J41" s="52" t="n"/>
      <c r="K41" s="53" t="n"/>
    </row>
    <row r="42" ht="11.1" customHeight="1" s="243">
      <c r="A42" s="54" t="n">
        <v>45510</v>
      </c>
      <c r="B42" s="55" t="inlineStr">
        <is>
          <t>C-SLG/800/24-25</t>
        </is>
      </c>
      <c r="C42" s="42" t="n"/>
      <c r="D42" s="60" t="n">
        <v>596</v>
      </c>
      <c r="E42" s="57" t="n">
        <v>596</v>
      </c>
      <c r="F42" s="58" t="n">
        <v>45535</v>
      </c>
      <c r="G42" s="59">
        <f>$E$2-F42</f>
        <v/>
      </c>
      <c r="H42" s="51" t="n"/>
      <c r="I42" s="51">
        <f>E42-H42</f>
        <v/>
      </c>
      <c r="J42" s="52" t="n"/>
      <c r="K42" s="53" t="n"/>
    </row>
    <row r="43" ht="11.1" customHeight="1" s="243">
      <c r="A43" s="54" t="n">
        <v>45533</v>
      </c>
      <c r="B43" s="55" t="inlineStr">
        <is>
          <t>C-SLG/979/24-25</t>
        </is>
      </c>
      <c r="C43" s="42" t="n"/>
      <c r="D43" s="60" t="n">
        <v>43301</v>
      </c>
      <c r="E43" s="57" t="n">
        <v>24001</v>
      </c>
      <c r="F43" s="58" t="n">
        <v>45558</v>
      </c>
      <c r="G43" s="59">
        <f>$E$2-F43</f>
        <v/>
      </c>
      <c r="H43" s="51" t="n"/>
      <c r="I43" s="51">
        <f>E43-H43</f>
        <v/>
      </c>
      <c r="J43" s="52" t="n"/>
      <c r="K43" s="53" t="n"/>
    </row>
    <row r="44" ht="11.1" customHeight="1" s="243">
      <c r="A44" s="42" t="n"/>
      <c r="B44" s="42" t="n"/>
      <c r="C44" s="42" t="n"/>
      <c r="D44" s="60" t="n">
        <v>79666</v>
      </c>
      <c r="E44" s="57" t="n">
        <v>59284</v>
      </c>
      <c r="F44" s="42" t="n"/>
      <c r="G44" s="42" t="n"/>
      <c r="H44" s="51" t="n"/>
      <c r="I44" s="51" t="n"/>
      <c r="J44" s="52" t="n"/>
      <c r="K44" s="53" t="n"/>
    </row>
    <row r="45" ht="11.1" customHeight="1" s="243">
      <c r="A45" s="42" t="n"/>
      <c r="B45" s="42" t="n"/>
      <c r="C45" s="49" t="inlineStr">
        <is>
          <t>JAGDISH BOOK CENTRE</t>
        </is>
      </c>
      <c r="D45" s="42" t="n"/>
      <c r="E45" s="50" t="n"/>
      <c r="F45" s="42" t="n"/>
      <c r="G45" s="42" t="n"/>
      <c r="H45" s="51" t="n"/>
      <c r="I45" s="51" t="n"/>
      <c r="J45" s="52" t="n"/>
      <c r="K45" s="53" t="n"/>
      <c r="L45" t="inlineStr">
        <is>
          <t>HE  SAID THATHE WILL PAY WENDAY | SENDPERSON TOMMROW HE WILL GIVECHEQUE | SEND TODAY VISIT | given cheque</t>
        </is>
      </c>
    </row>
    <row r="46" ht="11.1" customHeight="1" s="243">
      <c r="A46" s="54" t="n">
        <v>46120</v>
      </c>
      <c r="B46" s="55" t="inlineStr">
        <is>
          <t>C-SLG/0018/26-27</t>
        </is>
      </c>
      <c r="C46" s="42" t="n"/>
      <c r="D46" s="60" t="n">
        <v>5566</v>
      </c>
      <c r="E46" s="57" t="n">
        <v>5566</v>
      </c>
      <c r="F46" s="58" t="n">
        <v>46145</v>
      </c>
      <c r="G46" s="59">
        <f>$E$2-F46</f>
        <v/>
      </c>
      <c r="H46" s="51" t="n"/>
      <c r="I46" s="51" t="n"/>
      <c r="J46" s="52" t="n"/>
      <c r="K46" s="53" t="n"/>
    </row>
    <row r="47" ht="11.1" customHeight="1" s="243">
      <c r="A47" s="42" t="n"/>
      <c r="B47" s="42" t="n"/>
      <c r="C47" s="42" t="n"/>
      <c r="D47" s="60" t="n">
        <v>5566</v>
      </c>
      <c r="E47" s="57" t="n">
        <v>5566</v>
      </c>
      <c r="F47" s="42" t="n"/>
      <c r="G47" s="42" t="n"/>
      <c r="H47" s="51" t="n">
        <v>5566</v>
      </c>
      <c r="I47" s="51">
        <f>E47-H47</f>
        <v/>
      </c>
      <c r="J47" s="52" t="n"/>
      <c r="K47" s="53" t="n"/>
    </row>
    <row r="48" ht="11.1" customHeight="1" s="243">
      <c r="A48" s="42" t="n"/>
      <c r="B48" s="42" t="n"/>
      <c r="C48" s="49" t="inlineStr">
        <is>
          <t>Jaya Stationery &amp; Engg Co</t>
        </is>
      </c>
      <c r="D48" s="42" t="n"/>
      <c r="E48" s="50" t="n"/>
      <c r="F48" s="42" t="n"/>
      <c r="G48" s="42" t="n"/>
      <c r="H48" s="51" t="n"/>
      <c r="I48" s="51" t="n"/>
      <c r="J48" s="52" t="n"/>
      <c r="K48" s="53" t="n"/>
    </row>
    <row r="49" ht="11.1" customHeight="1" s="243">
      <c r="A49" s="54" t="n">
        <v>46129</v>
      </c>
      <c r="B49" s="55" t="inlineStr">
        <is>
          <t>C-SLG/0049/26-27</t>
        </is>
      </c>
      <c r="C49" s="42" t="n"/>
      <c r="D49" s="60" t="n">
        <v>4427</v>
      </c>
      <c r="E49" s="57" t="n">
        <v>4427</v>
      </c>
      <c r="F49" s="58" t="n">
        <v>46154</v>
      </c>
      <c r="G49" s="59">
        <f>$E$2-F49</f>
        <v/>
      </c>
      <c r="H49" s="51" t="n"/>
      <c r="I49" s="51" t="n"/>
      <c r="J49" s="52" t="n"/>
      <c r="K49" s="53" t="n"/>
    </row>
    <row r="50" ht="11.1" customHeight="1" s="243">
      <c r="A50" s="54" t="n">
        <v>46149</v>
      </c>
      <c r="B50" s="55" t="inlineStr">
        <is>
          <t>C-SLG/0099/26-27</t>
        </is>
      </c>
      <c r="C50" s="42" t="n"/>
      <c r="D50" s="60" t="n">
        <v>2945</v>
      </c>
      <c r="E50" s="56" t="n">
        <v>2945</v>
      </c>
      <c r="F50" s="58" t="n">
        <v>46174</v>
      </c>
      <c r="G50" s="42" t="n"/>
      <c r="H50" s="51" t="n"/>
      <c r="I50" s="51" t="n"/>
      <c r="J50" s="52" t="n"/>
      <c r="K50" s="53" t="n"/>
    </row>
    <row r="51" ht="11.1" customHeight="1" s="243">
      <c r="A51" s="42" t="n"/>
      <c r="B51" s="42" t="n"/>
      <c r="C51" s="42" t="n"/>
      <c r="D51" s="60" t="n">
        <v>7372</v>
      </c>
      <c r="E51" s="57" t="n">
        <v>7372</v>
      </c>
      <c r="F51" s="42" t="n"/>
      <c r="G51" s="42" t="n"/>
      <c r="H51" s="51" t="n">
        <v>0</v>
      </c>
      <c r="I51" s="51">
        <f>E51-H51</f>
        <v/>
      </c>
      <c r="J51" s="63" t="inlineStr">
        <is>
          <t>Cheque Ready - Send DSO to Collect</t>
        </is>
      </c>
      <c r="K51" s="53" t="n"/>
    </row>
    <row r="52" ht="11.1" customHeight="1" s="243">
      <c r="A52" s="42" t="n"/>
      <c r="B52" s="42" t="n"/>
      <c r="C52" s="49" t="inlineStr">
        <is>
          <t>Kaanuka Collection</t>
        </is>
      </c>
      <c r="D52" s="42" t="n"/>
      <c r="E52" s="50" t="n"/>
      <c r="F52" s="42" t="n"/>
      <c r="G52" s="42" t="n"/>
      <c r="H52" s="51" t="n"/>
      <c r="I52" s="51" t="n"/>
      <c r="J52" s="52" t="n"/>
      <c r="K52" s="53" t="n"/>
    </row>
    <row r="53" ht="11.1" customHeight="1" s="243">
      <c r="A53" s="54" t="n">
        <v>45915</v>
      </c>
      <c r="B53" s="55" t="inlineStr">
        <is>
          <t>C-SLG/1203/25-26</t>
        </is>
      </c>
      <c r="C53" s="42" t="n"/>
      <c r="D53" s="60" t="n">
        <v>137351</v>
      </c>
      <c r="E53" s="57" t="n">
        <v>1771</v>
      </c>
      <c r="F53" s="58" t="n">
        <v>45940</v>
      </c>
      <c r="G53" s="59">
        <f>$E$2-F53</f>
        <v/>
      </c>
      <c r="H53" s="51" t="n"/>
      <c r="I53" s="51">
        <f>E53-H53</f>
        <v/>
      </c>
      <c r="J53" s="52" t="inlineStr">
        <is>
          <t>Credit Note</t>
        </is>
      </c>
      <c r="K53" s="53" t="n"/>
    </row>
    <row r="54" ht="11.1" customHeight="1" s="243">
      <c r="A54" s="54" t="n">
        <v>46158</v>
      </c>
      <c r="B54" s="55" t="inlineStr">
        <is>
          <t>C-SLG/0141/26-27</t>
        </is>
      </c>
      <c r="C54" s="42" t="n"/>
      <c r="D54" s="60" t="n">
        <v>7266</v>
      </c>
      <c r="E54" s="56" t="n">
        <v>7266</v>
      </c>
      <c r="F54" s="58" t="n">
        <v>46183</v>
      </c>
      <c r="G54" s="42" t="n"/>
      <c r="H54" s="51" t="n"/>
      <c r="I54" s="51" t="n"/>
      <c r="J54" s="52" t="n"/>
      <c r="K54" s="53" t="n"/>
    </row>
    <row r="55" ht="11.1" customHeight="1" s="243">
      <c r="A55" s="54" t="n">
        <v>46158</v>
      </c>
      <c r="B55" s="55" t="inlineStr">
        <is>
          <t>C-SLG/0142/26-27</t>
        </is>
      </c>
      <c r="C55" s="42" t="n"/>
      <c r="D55" s="60" t="n">
        <v>1244</v>
      </c>
      <c r="E55" s="56" t="n">
        <v>1244</v>
      </c>
      <c r="F55" s="58" t="n">
        <v>46183</v>
      </c>
      <c r="G55" s="42" t="n"/>
      <c r="H55" s="51" t="n"/>
      <c r="I55" s="51" t="n"/>
      <c r="J55" s="52" t="n"/>
      <c r="K55" s="53" t="n"/>
    </row>
    <row r="56" ht="11.1" customHeight="1" s="243">
      <c r="A56" s="54" t="n">
        <v>46158</v>
      </c>
      <c r="B56" s="55" t="inlineStr">
        <is>
          <t>C-SLG/0143/26-27</t>
        </is>
      </c>
      <c r="C56" s="42" t="n"/>
      <c r="D56" s="60" t="n">
        <v>830</v>
      </c>
      <c r="E56" s="56" t="n">
        <v>830</v>
      </c>
      <c r="F56" s="58" t="n">
        <v>46183</v>
      </c>
      <c r="G56" s="42" t="n"/>
      <c r="H56" s="51" t="n"/>
      <c r="I56" s="51" t="n"/>
      <c r="J56" s="52" t="n"/>
      <c r="K56" s="53" t="n"/>
    </row>
    <row r="57" ht="11.1" customHeight="1" s="243">
      <c r="A57" s="42" t="n"/>
      <c r="B57" s="42" t="n"/>
      <c r="C57" s="42" t="n"/>
      <c r="D57" s="60" t="n">
        <v>146691</v>
      </c>
      <c r="E57" s="57" t="n">
        <v>11111</v>
      </c>
      <c r="F57" s="42" t="n"/>
      <c r="G57" s="42" t="n"/>
      <c r="H57" s="51" t="n"/>
      <c r="I57" s="51" t="n"/>
      <c r="J57" s="52" t="n"/>
      <c r="K57" s="53" t="n"/>
    </row>
    <row r="58" ht="11.1" customHeight="1" s="243">
      <c r="A58" s="42" t="n"/>
      <c r="B58" s="42" t="n"/>
      <c r="C58" s="49" t="inlineStr">
        <is>
          <t>KITSONS-GACHIBOWLI</t>
        </is>
      </c>
      <c r="D58" s="42" t="n"/>
      <c r="E58" s="50" t="n"/>
      <c r="F58" s="42" t="n"/>
      <c r="G58" s="42" t="n"/>
      <c r="H58" s="51" t="n"/>
      <c r="I58" s="51" t="n"/>
      <c r="J58" s="52" t="n"/>
      <c r="K58" s="53" t="n"/>
      <c r="L58" t="inlineStr">
        <is>
          <t>NUMBER BUSY | NUMBER BUSY | NUMBER BUSY | CHEQUE READY  SEND THE PERSON</t>
        </is>
      </c>
    </row>
    <row r="59" ht="11.1" customHeight="1" s="243">
      <c r="A59" s="54" t="n">
        <v>45985</v>
      </c>
      <c r="B59" s="55" t="inlineStr">
        <is>
          <t>C-SLG/1754/25-26</t>
        </is>
      </c>
      <c r="C59" s="42" t="n"/>
      <c r="D59" s="60" t="n">
        <v>10978</v>
      </c>
      <c r="E59" s="57" t="n">
        <v>180</v>
      </c>
      <c r="F59" s="58" t="n">
        <v>46010</v>
      </c>
      <c r="G59" s="59">
        <f>$E$2-F59</f>
        <v/>
      </c>
      <c r="H59" s="51" t="n"/>
      <c r="I59" s="51">
        <f>E59-H59</f>
        <v/>
      </c>
      <c r="J59" s="52" t="n"/>
      <c r="K59" s="53" t="n"/>
    </row>
    <row r="60" ht="11.1" customHeight="1" s="243">
      <c r="A60" s="54" t="n">
        <v>46092</v>
      </c>
      <c r="B60" s="55" t="inlineStr">
        <is>
          <t>C-SLG/2369/25-26</t>
        </is>
      </c>
      <c r="C60" s="42" t="n"/>
      <c r="D60" s="60" t="n">
        <v>22195</v>
      </c>
      <c r="E60" s="57" t="n">
        <v>22195</v>
      </c>
      <c r="F60" s="58" t="n">
        <v>46117</v>
      </c>
      <c r="G60" s="59">
        <f>$E$2-F60</f>
        <v/>
      </c>
      <c r="H60" s="51" t="n"/>
      <c r="I60" s="51">
        <f>E60-H60</f>
        <v/>
      </c>
      <c r="J60" s="52" t="n"/>
      <c r="K60" s="53" t="n"/>
    </row>
    <row r="61" ht="11.1" customHeight="1" s="243">
      <c r="A61" s="54" t="n">
        <v>46098</v>
      </c>
      <c r="B61" s="55" t="inlineStr">
        <is>
          <t>C-SLG/2398/25-26</t>
        </is>
      </c>
      <c r="C61" s="42" t="n"/>
      <c r="D61" s="60" t="n">
        <v>15116</v>
      </c>
      <c r="E61" s="57" t="n">
        <v>15116</v>
      </c>
      <c r="F61" s="58" t="n">
        <v>46123</v>
      </c>
      <c r="G61" s="59">
        <f>$E$2-F61</f>
        <v/>
      </c>
      <c r="H61" s="51" t="n"/>
      <c r="I61" s="51">
        <f>E61-H61</f>
        <v/>
      </c>
      <c r="J61" s="52" t="n"/>
      <c r="K61" s="53" t="n"/>
    </row>
    <row r="62" ht="11.1" customHeight="1" s="243">
      <c r="A62" s="42" t="n"/>
      <c r="B62" s="42" t="n"/>
      <c r="C62" s="42" t="n"/>
      <c r="D62" s="60" t="n">
        <v>48289</v>
      </c>
      <c r="E62" s="57" t="n">
        <v>37491</v>
      </c>
      <c r="F62" s="42" t="n"/>
      <c r="G62" s="42" t="n"/>
      <c r="H62" s="51" t="n"/>
      <c r="I62" s="51" t="n"/>
      <c r="J62" s="55" t="inlineStr">
        <is>
          <t>Cheque is ready of amount 37,311</t>
        </is>
      </c>
      <c r="K62" s="53" t="n"/>
    </row>
    <row r="63" ht="11.1" customHeight="1" s="243">
      <c r="A63" s="42" t="n"/>
      <c r="B63" s="42" t="n"/>
      <c r="C63" s="49" t="inlineStr">
        <is>
          <t>KRANTI BOOK HOUSE</t>
        </is>
      </c>
      <c r="D63" s="42" t="n"/>
      <c r="E63" s="50" t="n"/>
      <c r="F63" s="42" t="n"/>
      <c r="G63" s="42" t="n"/>
      <c r="H63" s="51" t="n"/>
      <c r="I63" s="51" t="n"/>
      <c r="J63" s="52" t="n"/>
      <c r="K63" s="53" t="n"/>
    </row>
    <row r="64" ht="11.1" customHeight="1" s="243">
      <c r="A64" s="54" t="n">
        <v>46010</v>
      </c>
      <c r="B64" s="55" t="inlineStr">
        <is>
          <t>Bounce Charges-204</t>
        </is>
      </c>
      <c r="C64" s="42" t="n"/>
      <c r="D64" s="60" t="n">
        <v>500</v>
      </c>
      <c r="E64" s="57" t="n">
        <v>500</v>
      </c>
      <c r="F64" s="58" t="n">
        <v>46035</v>
      </c>
      <c r="G64" s="59">
        <f>$E$2-F64</f>
        <v/>
      </c>
      <c r="H64" s="51" t="n"/>
      <c r="I64" s="51">
        <f>E64-H64</f>
        <v/>
      </c>
      <c r="J64" s="52" t="n"/>
      <c r="K64" s="53" t="n"/>
    </row>
    <row r="65" ht="11.1" customHeight="1" s="243">
      <c r="A65" s="42" t="n"/>
      <c r="B65" s="42" t="n"/>
      <c r="C65" s="42" t="n"/>
      <c r="D65" s="60" t="n">
        <v>500</v>
      </c>
      <c r="E65" s="57" t="n">
        <v>500</v>
      </c>
      <c r="F65" s="42" t="n"/>
      <c r="G65" s="42" t="n"/>
      <c r="H65" s="51" t="n"/>
      <c r="I65" s="51" t="n"/>
      <c r="J65" s="52" t="n"/>
      <c r="K65" s="53" t="n"/>
    </row>
    <row r="66" ht="11.1" customHeight="1" s="243">
      <c r="A66" s="42" t="n"/>
      <c r="B66" s="42" t="n"/>
      <c r="C66" s="49" t="inlineStr">
        <is>
          <t>Life Stationery (Bnj Hills)</t>
        </is>
      </c>
      <c r="D66" s="42" t="n"/>
      <c r="E66" s="50" t="n"/>
      <c r="F66" s="42" t="n"/>
      <c r="G66" s="42" t="n"/>
      <c r="H66" s="51" t="n"/>
      <c r="I66" s="51" t="n"/>
      <c r="J66" s="52" t="n"/>
      <c r="K66" s="53" t="n"/>
    </row>
    <row r="67" ht="11.1" customHeight="1" s="243">
      <c r="A67" s="54" t="n">
        <v>46098</v>
      </c>
      <c r="B67" s="55" t="inlineStr">
        <is>
          <t>C-SLG/2402/25-26</t>
        </is>
      </c>
      <c r="C67" s="42" t="n"/>
      <c r="D67" s="60" t="n">
        <v>2440</v>
      </c>
      <c r="E67" s="57" t="n">
        <v>2440</v>
      </c>
      <c r="F67" s="58" t="n">
        <v>46123</v>
      </c>
      <c r="G67" s="59">
        <f>$E$2-F67</f>
        <v/>
      </c>
      <c r="H67" s="51" t="n"/>
      <c r="I67" s="51">
        <f>E67-H67</f>
        <v/>
      </c>
      <c r="J67" s="52" t="inlineStr">
        <is>
          <t>Not Responding</t>
        </is>
      </c>
      <c r="K67" s="55" t="inlineStr">
        <is>
          <t xml:space="preserve">Not Responding </t>
        </is>
      </c>
      <c r="L67" t="inlineStr">
        <is>
          <t>Not Responding</t>
        </is>
      </c>
    </row>
    <row r="68" ht="11.1" customHeight="1" s="243">
      <c r="A68" s="42" t="n"/>
      <c r="B68" s="42" t="n"/>
      <c r="C68" s="42" t="n"/>
      <c r="D68" s="60" t="n">
        <v>2440</v>
      </c>
      <c r="E68" s="57" t="n">
        <v>2440</v>
      </c>
      <c r="F68" s="42" t="n"/>
      <c r="G68" s="42" t="n"/>
      <c r="H68" s="51" t="n"/>
      <c r="I68" s="51" t="n"/>
      <c r="J68" s="52" t="n"/>
      <c r="K68" s="55" t="n"/>
    </row>
    <row r="69" ht="11.1" customHeight="1" s="243">
      <c r="A69" s="42" t="n"/>
      <c r="B69" s="42" t="n"/>
      <c r="C69" s="62" t="inlineStr">
        <is>
          <t>Mahalaxmi  Enterprises</t>
        </is>
      </c>
      <c r="D69" s="42" t="n"/>
      <c r="E69" s="50" t="n"/>
      <c r="F69" s="42" t="n"/>
      <c r="G69" s="42" t="n"/>
      <c r="H69" s="51" t="n"/>
      <c r="I69" s="51" t="n"/>
      <c r="J69" s="52" t="n"/>
      <c r="K69" s="53" t="n"/>
    </row>
    <row r="70" ht="11.1" customHeight="1" s="243">
      <c r="A70" s="54" t="n">
        <v>46112</v>
      </c>
      <c r="B70" s="55" t="inlineStr">
        <is>
          <t>C-SLG/2494/25-26</t>
        </is>
      </c>
      <c r="C70" s="42" t="n"/>
      <c r="D70" s="60" t="n">
        <v>13321</v>
      </c>
      <c r="E70" s="57" t="n">
        <v>13321</v>
      </c>
      <c r="F70" s="58" t="n">
        <v>46137</v>
      </c>
      <c r="G70" s="59">
        <f>$E$2-F70</f>
        <v/>
      </c>
      <c r="H70" s="51" t="n"/>
      <c r="I70" s="51">
        <f>E70-H70</f>
        <v/>
      </c>
      <c r="J70" s="52" t="n"/>
      <c r="K70" s="53" t="n"/>
    </row>
    <row r="71" ht="11.1" customHeight="1" s="243">
      <c r="A71" s="42" t="n"/>
      <c r="B71" s="42" t="n"/>
      <c r="C71" s="42" t="n"/>
      <c r="D71" s="60" t="n">
        <v>13321</v>
      </c>
      <c r="E71" s="57" t="n">
        <v>13321</v>
      </c>
      <c r="F71" s="42" t="n"/>
      <c r="G71" s="42" t="n"/>
      <c r="H71" s="51" t="n"/>
      <c r="I71" s="51" t="n"/>
      <c r="J71" s="52" t="n"/>
      <c r="K71" s="53" t="n"/>
    </row>
    <row r="72" ht="11.1" customHeight="1" s="243">
      <c r="A72" s="42" t="n"/>
      <c r="B72" s="42" t="n"/>
      <c r="C72" s="49" t="inlineStr">
        <is>
          <t>MARUTHI ENTERPRISES</t>
        </is>
      </c>
      <c r="D72" s="42" t="n"/>
      <c r="E72" s="50" t="n"/>
      <c r="F72" s="42" t="n"/>
      <c r="G72" s="42" t="n"/>
      <c r="H72" s="51" t="n"/>
      <c r="I72" s="51" t="n"/>
      <c r="J72" s="52" t="n"/>
      <c r="K72" s="53" t="n"/>
      <c r="L72" t="inlineStr">
        <is>
          <t>HE WILL READY THE CHEQUE | NEXT WEEK</t>
        </is>
      </c>
    </row>
    <row r="73" ht="11.1" customHeight="1" s="243">
      <c r="A73" s="54" t="n">
        <v>46107</v>
      </c>
      <c r="B73" s="55" t="inlineStr">
        <is>
          <t>C-SLG/2440/25-26</t>
        </is>
      </c>
      <c r="C73" s="42" t="n"/>
      <c r="D73" s="60" t="n">
        <v>8855</v>
      </c>
      <c r="E73" s="57" t="n">
        <v>8855</v>
      </c>
      <c r="F73" s="58" t="n">
        <v>46132</v>
      </c>
      <c r="G73" s="59">
        <f>$E$2-F73</f>
        <v/>
      </c>
      <c r="H73" s="51" t="n"/>
      <c r="I73" s="51">
        <f>E73-H73</f>
        <v/>
      </c>
      <c r="J73" s="52" t="inlineStr">
        <is>
          <t>This Saturday - Send DSO for cheque collection | Send DSO on Saturday for Payment Collection</t>
        </is>
      </c>
      <c r="K73" s="55" t="inlineStr">
        <is>
          <t>Send DSO on Saturday for Payment Collection</t>
        </is>
      </c>
      <c r="L73" t="inlineStr">
        <is>
          <t>Send DSO on Saturday for Payment Collection</t>
        </is>
      </c>
    </row>
    <row r="74" ht="11.1" customHeight="1" s="243">
      <c r="A74" s="42" t="n"/>
      <c r="B74" s="42" t="n"/>
      <c r="C74" s="42" t="n"/>
      <c r="D74" s="60" t="n">
        <v>8855</v>
      </c>
      <c r="E74" s="57" t="n">
        <v>8855</v>
      </c>
      <c r="F74" s="42" t="n"/>
      <c r="G74" s="42" t="n"/>
      <c r="H74" s="51" t="n"/>
      <c r="I74" s="51" t="n"/>
      <c r="J74" s="52" t="n"/>
      <c r="K74" s="53" t="n"/>
    </row>
    <row r="75" ht="11.1" customHeight="1" s="243">
      <c r="A75" s="42" t="n"/>
      <c r="B75" s="42" t="n"/>
      <c r="C75" s="49" t="inlineStr">
        <is>
          <t>MASTER SAAB STATIONARY</t>
        </is>
      </c>
      <c r="D75" s="42" t="n"/>
      <c r="E75" s="50" t="n"/>
      <c r="F75" s="42" t="n"/>
      <c r="G75" s="42" t="n"/>
      <c r="H75" s="51" t="n"/>
      <c r="I75" s="51" t="n"/>
      <c r="J75" s="52" t="n"/>
      <c r="K75" s="53" t="n"/>
      <c r="L75" t="inlineStr">
        <is>
          <t>NUMBER  BUSY | RINGING NOT RESPONDING | NUMBER BUSY | NUMBERBUSY | TOMMROW  SEND PERSON</t>
        </is>
      </c>
    </row>
    <row r="76" ht="11.1" customHeight="1" s="243">
      <c r="A76" s="54" t="n">
        <v>46099</v>
      </c>
      <c r="B76" s="55" t="inlineStr">
        <is>
          <t>C-SLG/2409/25-26</t>
        </is>
      </c>
      <c r="C76" s="42" t="n"/>
      <c r="D76" s="60" t="n">
        <v>4079</v>
      </c>
      <c r="E76" s="57" t="n">
        <v>4079</v>
      </c>
      <c r="F76" s="58" t="n">
        <v>46124</v>
      </c>
      <c r="G76" s="59">
        <f>$E$2-F76</f>
        <v/>
      </c>
      <c r="H76" s="51" t="n"/>
      <c r="I76" s="51">
        <f>E76-H76</f>
        <v/>
      </c>
      <c r="J76" s="52" t="n"/>
      <c r="K76" s="53" t="n"/>
    </row>
    <row r="77" ht="11.1" customHeight="1" s="243">
      <c r="A77" s="42" t="n"/>
      <c r="B77" s="42" t="n"/>
      <c r="C77" s="42" t="n"/>
      <c r="D77" s="60" t="n">
        <v>4079</v>
      </c>
      <c r="E77" s="57" t="n">
        <v>4079</v>
      </c>
      <c r="F77" s="42" t="n"/>
      <c r="G77" s="42" t="n"/>
      <c r="H77" s="51" t="n"/>
      <c r="I77" s="51" t="n"/>
      <c r="J77" s="55" t="inlineStr">
        <is>
          <t>Need to Send DSO</t>
        </is>
      </c>
      <c r="K77" s="53" t="n"/>
    </row>
    <row r="78" ht="11.1" customHeight="1" s="243">
      <c r="A78" s="42" t="n"/>
      <c r="B78" s="42" t="n"/>
      <c r="C78" s="49" t="inlineStr">
        <is>
          <t>Nagesh Stationery &amp; Xerox</t>
        </is>
      </c>
      <c r="D78" s="42" t="n"/>
      <c r="E78" s="50" t="n"/>
      <c r="F78" s="42" t="n"/>
      <c r="G78" s="42" t="n"/>
      <c r="H78" s="51" t="n"/>
      <c r="I78" s="51" t="n"/>
      <c r="J78" s="52" t="n"/>
      <c r="K78" s="53" t="n"/>
      <c r="L78" t="inlineStr">
        <is>
          <t>RINGING NOT RESPONDING | RINGING NOT RESPONDING | RINGING NOT RESPONDING | HE  HIS  IN OUT SATION HEWILL RETURN</t>
        </is>
      </c>
    </row>
    <row r="79" ht="11.1" customHeight="1" s="243">
      <c r="A79" s="54" t="n">
        <v>45968</v>
      </c>
      <c r="B79" s="55" t="inlineStr">
        <is>
          <t>C-SLG/1619/25-26</t>
        </is>
      </c>
      <c r="C79" s="42" t="n"/>
      <c r="D79" s="60" t="n">
        <v>1680</v>
      </c>
      <c r="E79" s="57" t="n">
        <v>1680</v>
      </c>
      <c r="F79" s="58" t="n">
        <v>45993</v>
      </c>
      <c r="G79" s="59">
        <f>$E$2-F79</f>
        <v/>
      </c>
      <c r="H79" s="51" t="n"/>
      <c r="I79" s="51">
        <f>E79-H79</f>
        <v/>
      </c>
      <c r="J79" s="52" t="inlineStr">
        <is>
          <t>Customer Out of Station | Friday/Saturday - Stock Return</t>
        </is>
      </c>
      <c r="K79" s="53" t="n"/>
      <c r="L79" t="inlineStr">
        <is>
          <t>Friday/Saturday - Stock Return</t>
        </is>
      </c>
    </row>
    <row r="80" ht="11.1" customHeight="1" s="243">
      <c r="A80" s="42" t="n"/>
      <c r="B80" s="42" t="n"/>
      <c r="C80" s="42" t="n"/>
      <c r="D80" s="60" t="n">
        <v>1680</v>
      </c>
      <c r="E80" s="57" t="n">
        <v>1680</v>
      </c>
      <c r="F80" s="42" t="n"/>
      <c r="G80" s="42" t="n"/>
      <c r="H80" s="51" t="n"/>
      <c r="I80" s="51" t="n"/>
      <c r="J80" s="52" t="n"/>
      <c r="K80" s="53" t="n"/>
    </row>
    <row r="81" ht="11.1" customHeight="1" s="243">
      <c r="A81" s="42" t="n"/>
      <c r="B81" s="42" t="n"/>
      <c r="C81" s="49" t="inlineStr">
        <is>
          <t>NavDurga Stationery</t>
        </is>
      </c>
      <c r="D81" s="42" t="n"/>
      <c r="E81" s="50" t="n"/>
      <c r="F81" s="42" t="n"/>
      <c r="G81" s="42" t="n"/>
      <c r="H81" s="51" t="n"/>
      <c r="I81" s="51" t="n"/>
      <c r="J81" s="52" t="n"/>
      <c r="K81" s="53" t="n"/>
      <c r="L81" t="inlineStr">
        <is>
          <t>NUMBER BUSY | NUMBER BUSY | NUMBER BUSY | NUMBERBUSY | MSG IN WATTUP | NUMBERBUSY</t>
        </is>
      </c>
    </row>
    <row r="82" ht="11.1" customHeight="1" s="243">
      <c r="A82" s="54" t="n">
        <v>46097</v>
      </c>
      <c r="B82" s="55" t="inlineStr">
        <is>
          <t>C-SLG/2389/25-26</t>
        </is>
      </c>
      <c r="C82" s="42" t="n"/>
      <c r="D82" s="60" t="n">
        <v>6289</v>
      </c>
      <c r="E82" s="57" t="n">
        <v>6289</v>
      </c>
      <c r="F82" s="58" t="n">
        <v>46122</v>
      </c>
      <c r="G82" s="59">
        <f>$E$2-F82</f>
        <v/>
      </c>
      <c r="H82" s="51" t="n"/>
      <c r="I82" s="51">
        <f>E82-H82</f>
        <v/>
      </c>
      <c r="J82" s="52" t="inlineStr">
        <is>
          <t>Customer is saying NO outstanding - Send DSO</t>
        </is>
      </c>
      <c r="K82" s="55" t="inlineStr">
        <is>
          <t>Customer is saying NO outstanding - Send DSO</t>
        </is>
      </c>
      <c r="L82" t="inlineStr">
        <is>
          <t>Customer is saying NO outstanding - Send DSO</t>
        </is>
      </c>
    </row>
    <row r="83" ht="11.1" customHeight="1" s="243">
      <c r="A83" s="42" t="n"/>
      <c r="B83" s="42" t="n"/>
      <c r="C83" s="42" t="n"/>
      <c r="D83" s="60" t="n">
        <v>6289</v>
      </c>
      <c r="E83" s="57" t="n">
        <v>6289</v>
      </c>
      <c r="F83" s="42" t="n"/>
      <c r="G83" s="42" t="n"/>
      <c r="H83" s="51" t="n"/>
      <c r="I83" s="51" t="n"/>
      <c r="J83" s="52" t="n"/>
      <c r="K83" s="53" t="n"/>
    </row>
    <row r="84" ht="11.1" customHeight="1" s="243">
      <c r="A84" s="42" t="n"/>
      <c r="B84" s="42" t="n"/>
      <c r="C84" s="49" t="inlineStr">
        <is>
          <t>New Vidya Book Point  (Alkapur)</t>
        </is>
      </c>
      <c r="D84" s="42" t="n"/>
      <c r="E84" s="50" t="n"/>
      <c r="F84" s="42" t="n"/>
      <c r="G84" s="42" t="n"/>
      <c r="H84" s="51" t="n"/>
      <c r="I84" s="51" t="n"/>
      <c r="J84" s="52" t="n"/>
      <c r="K84" s="53" t="n"/>
      <c r="L84" t="inlineStr">
        <is>
          <t>RINGING NOT RESPONDING | RINGING NOT RESPONDING | RINGING NOT RESPONDING | NUMBERBUSY | RINGING NOT RESPONDING | RINGING NOT RESPONDING</t>
        </is>
      </c>
    </row>
    <row r="85" ht="11.1" customHeight="1" s="243">
      <c r="A85" s="54" t="n">
        <v>46084</v>
      </c>
      <c r="B85" s="55" t="inlineStr">
        <is>
          <t>C-SLG/2311/25-26</t>
        </is>
      </c>
      <c r="C85" s="42" t="n"/>
      <c r="D85" s="60" t="n">
        <v>9268</v>
      </c>
      <c r="E85" s="57" t="n">
        <v>9268</v>
      </c>
      <c r="F85" s="58" t="n">
        <v>46109</v>
      </c>
      <c r="G85" s="59">
        <f>$E$2-F85</f>
        <v/>
      </c>
      <c r="H85" s="51" t="n"/>
      <c r="I85" s="51">
        <f>E85-H85</f>
        <v/>
      </c>
      <c r="J85" s="52" t="n"/>
      <c r="K85" s="53" t="n"/>
    </row>
    <row r="86" ht="11.1" customHeight="1" s="243">
      <c r="A86" s="54" t="n">
        <v>46111</v>
      </c>
      <c r="B86" s="55" t="inlineStr">
        <is>
          <t>C-SLG/2480/25-26</t>
        </is>
      </c>
      <c r="C86" s="42" t="n"/>
      <c r="D86" s="60" t="n">
        <v>7960</v>
      </c>
      <c r="E86" s="57" t="n">
        <v>7960</v>
      </c>
      <c r="F86" s="58" t="n">
        <v>46136</v>
      </c>
      <c r="G86" s="59">
        <f>$E$2-F86</f>
        <v/>
      </c>
      <c r="H86" s="51" t="n"/>
      <c r="I86" s="51">
        <f>E86-H86</f>
        <v/>
      </c>
      <c r="J86" s="52" t="n"/>
      <c r="K86" s="53" t="n"/>
    </row>
    <row r="87" ht="11.1" customHeight="1" s="243">
      <c r="A87" s="42" t="n"/>
      <c r="B87" s="42" t="n"/>
      <c r="C87" s="42" t="n"/>
      <c r="D87" s="60" t="n">
        <v>17228</v>
      </c>
      <c r="E87" s="57" t="n">
        <v>17228</v>
      </c>
      <c r="F87" s="42" t="n"/>
      <c r="G87" s="42" t="n"/>
      <c r="H87" s="51" t="n"/>
      <c r="I87" s="51" t="n"/>
      <c r="J87" s="55" t="inlineStr">
        <is>
          <t>Sent DSO Today</t>
        </is>
      </c>
      <c r="K87" s="53" t="n"/>
    </row>
    <row r="88" ht="11.1" customHeight="1" s="243">
      <c r="A88" s="42" t="n"/>
      <c r="B88" s="42" t="n"/>
      <c r="C88" s="49" t="inlineStr">
        <is>
          <t>Popular Book House</t>
        </is>
      </c>
      <c r="D88" s="42" t="n"/>
      <c r="E88" s="50" t="n"/>
      <c r="F88" s="42" t="n"/>
      <c r="G88" s="42" t="n"/>
      <c r="H88" s="51" t="n"/>
      <c r="I88" s="51" t="n"/>
      <c r="J88" s="52" t="n"/>
      <c r="K88" s="53" t="n"/>
      <c r="L88" t="inlineStr">
        <is>
          <t>RINGING NOT RESPONDING | RINGING NOT RESPONDING | SEND PERSON WITH BILLS | TODAY SEND THE PERSON FOR PAYMENT | RINGING NOT RESPONDING</t>
        </is>
      </c>
    </row>
    <row r="89" ht="11.1" customHeight="1" s="243">
      <c r="A89" s="54" t="n">
        <v>46051</v>
      </c>
      <c r="B89" s="55" t="inlineStr">
        <is>
          <t>C-SLG/2142/25-26</t>
        </is>
      </c>
      <c r="C89" s="42" t="n"/>
      <c r="D89" s="60" t="n">
        <v>3096</v>
      </c>
      <c r="E89" s="57" t="n">
        <v>720</v>
      </c>
      <c r="F89" s="58" t="n">
        <v>46076</v>
      </c>
      <c r="G89" s="59">
        <f>$E$2-F89</f>
        <v/>
      </c>
      <c r="H89" s="51" t="n"/>
      <c r="I89" s="51">
        <f>E89-H89</f>
        <v/>
      </c>
      <c r="J89" s="52" t="n"/>
      <c r="K89" s="53" t="n"/>
    </row>
    <row r="90" ht="11.1" customHeight="1" s="243">
      <c r="A90" s="54" t="n">
        <v>46088</v>
      </c>
      <c r="B90" s="55" t="inlineStr">
        <is>
          <t>C-SLG/2348/25-26</t>
        </is>
      </c>
      <c r="C90" s="42" t="n"/>
      <c r="D90" s="60" t="n">
        <v>15106</v>
      </c>
      <c r="E90" s="57" t="n">
        <v>15106</v>
      </c>
      <c r="F90" s="58" t="n">
        <v>46113</v>
      </c>
      <c r="G90" s="59">
        <f>$E$2-F90</f>
        <v/>
      </c>
      <c r="H90" s="51" t="n"/>
      <c r="I90" s="51">
        <f>E90-H90</f>
        <v/>
      </c>
      <c r="J90" s="52" t="inlineStr">
        <is>
          <t>Send DSO with Signed Copies</t>
        </is>
      </c>
      <c r="K90" s="53" t="n"/>
    </row>
    <row r="91" ht="11.1" customHeight="1" s="243">
      <c r="A91" s="42" t="n"/>
      <c r="B91" s="42" t="n"/>
      <c r="C91" s="42" t="n"/>
      <c r="D91" s="60" t="n">
        <v>18202</v>
      </c>
      <c r="E91" s="57" t="n">
        <v>15826</v>
      </c>
      <c r="F91" s="42" t="n"/>
      <c r="G91" s="42" t="n"/>
      <c r="H91" s="51" t="n"/>
      <c r="I91" s="51" t="n"/>
      <c r="J91" s="52" t="n"/>
      <c r="K91" s="53" t="n"/>
    </row>
    <row r="92" ht="11.1" customHeight="1" s="243">
      <c r="A92" s="42" t="n"/>
      <c r="B92" s="42" t="n"/>
      <c r="C92" s="49" t="inlineStr">
        <is>
          <t>RADIANT BOOK HOUSE</t>
        </is>
      </c>
      <c r="D92" s="42" t="n"/>
      <c r="E92" s="50" t="n"/>
      <c r="F92" s="42" t="n"/>
      <c r="G92" s="42" t="n"/>
      <c r="H92" s="51" t="n"/>
      <c r="I92" s="51" t="n"/>
      <c r="J92" s="52" t="n"/>
      <c r="K92" s="53" t="n"/>
      <c r="L92" t="inlineStr">
        <is>
          <t>RINGING NOT RESPONDING | RINGING NOT RESPONDING | RINGING NOT RESPONDING | TODAY SEND THE PERSON FOR PAYMENT | RINGING NOT RESPONDING | RINGING NOT RESPONDING | RINGING NOT RESPONDING</t>
        </is>
      </c>
    </row>
    <row r="93" ht="11.1" customHeight="1" s="243">
      <c r="A93" s="54" t="n">
        <v>45909</v>
      </c>
      <c r="B93" s="55" t="inlineStr">
        <is>
          <t>C-SLG/1122/25-26</t>
        </is>
      </c>
      <c r="C93" s="42" t="n"/>
      <c r="D93" s="60" t="n">
        <v>11800</v>
      </c>
      <c r="E93" s="57" t="n">
        <v>7800</v>
      </c>
      <c r="F93" s="58" t="n">
        <v>45934</v>
      </c>
      <c r="G93" s="59">
        <f>$E$2-F93</f>
        <v/>
      </c>
      <c r="H93" s="51" t="n"/>
      <c r="I93" s="51">
        <f>E93-H93</f>
        <v/>
      </c>
      <c r="J93" s="52" t="inlineStr">
        <is>
          <t>Not Responding</t>
        </is>
      </c>
      <c r="K93" s="52" t="inlineStr">
        <is>
          <t>Not Responding</t>
        </is>
      </c>
      <c r="L93" t="inlineStr">
        <is>
          <t>Not Responding</t>
        </is>
      </c>
    </row>
    <row r="94" ht="11.1" customHeight="1" s="243">
      <c r="A94" s="42" t="n"/>
      <c r="B94" s="42" t="n"/>
      <c r="C94" s="42" t="n"/>
      <c r="D94" s="60" t="n">
        <v>11800</v>
      </c>
      <c r="E94" s="57" t="n">
        <v>7800</v>
      </c>
      <c r="F94" s="42" t="n"/>
      <c r="G94" s="42" t="n"/>
      <c r="H94" s="51" t="n"/>
      <c r="I94" s="51" t="n"/>
      <c r="J94" s="52" t="n"/>
      <c r="K94" s="53" t="n"/>
    </row>
    <row r="95" ht="11.1" customHeight="1" s="243">
      <c r="A95" s="42" t="n"/>
      <c r="B95" s="42" t="n"/>
      <c r="C95" s="49" t="inlineStr">
        <is>
          <t>R.B.Novelty</t>
        </is>
      </c>
      <c r="D95" s="42" t="n"/>
      <c r="E95" s="50" t="n"/>
      <c r="F95" s="42" t="n"/>
      <c r="G95" s="42" t="n"/>
      <c r="H95" s="51" t="n"/>
      <c r="I95" s="51" t="n"/>
      <c r="J95" s="52" t="n"/>
      <c r="K95" s="53" t="n"/>
      <c r="L95" t="inlineStr">
        <is>
          <t>CUSTOMER  SAID THAT SEND DSO  HE WANT TO TALK | TODAY SEND THE PERSON FOR PAYMENT | MUJHID WILL COLLECT | SIR WILL TALK</t>
        </is>
      </c>
    </row>
    <row r="96" ht="11.1" customHeight="1" s="243">
      <c r="A96" s="54" t="n">
        <v>46065</v>
      </c>
      <c r="B96" s="55" t="inlineStr">
        <is>
          <t>C-SLG/2222/25-26</t>
        </is>
      </c>
      <c r="C96" s="42" t="n"/>
      <c r="D96" s="60" t="n">
        <v>31317</v>
      </c>
      <c r="E96" s="57" t="n">
        <v>31317</v>
      </c>
      <c r="F96" s="58" t="n">
        <v>46090</v>
      </c>
      <c r="G96" s="59">
        <f>$E$2-F96</f>
        <v/>
      </c>
      <c r="H96" s="51" t="n"/>
      <c r="I96" s="51">
        <f>E96-H96</f>
        <v/>
      </c>
      <c r="J96" s="52" t="inlineStr">
        <is>
          <t>Paid 30,441 by Cheque</t>
        </is>
      </c>
      <c r="K96" s="53" t="n"/>
    </row>
    <row r="97" ht="11.1" customHeight="1" s="243">
      <c r="A97" s="42" t="n"/>
      <c r="B97" s="42" t="n"/>
      <c r="C97" s="42" t="n"/>
      <c r="D97" s="60" t="n">
        <v>31317</v>
      </c>
      <c r="E97" s="57" t="n">
        <v>31317</v>
      </c>
      <c r="F97" s="42" t="n"/>
      <c r="G97" s="42" t="n"/>
      <c r="H97" s="51" t="n"/>
      <c r="I97" s="51" t="n"/>
      <c r="J97" s="52" t="n"/>
      <c r="K97" s="53" t="n"/>
    </row>
    <row r="98" ht="11.1" customHeight="1" s="243">
      <c r="A98" s="42" t="n"/>
      <c r="B98" s="42" t="n"/>
      <c r="C98" s="49" t="inlineStr">
        <is>
          <t>Reliable Book Centre</t>
        </is>
      </c>
      <c r="D98" s="42" t="n"/>
      <c r="E98" s="50" t="n"/>
      <c r="F98" s="42" t="n"/>
      <c r="G98" s="42" t="n"/>
      <c r="H98" s="51" t="n"/>
      <c r="I98" s="51" t="n"/>
      <c r="J98" s="52" t="n"/>
      <c r="K98" s="53" t="n"/>
      <c r="L98" t="inlineStr">
        <is>
          <t>number not conneted | NUMBER  NOT CONNETED | NUMBER  NOT CONNETED | MSG IN WATTUP | NUMBER  NOT CONNETED | NUMBER  NOT CONNETED | RINGING NOT RESPONDING</t>
        </is>
      </c>
    </row>
    <row r="99" ht="11.1" customHeight="1" s="243">
      <c r="A99" s="54" t="n">
        <v>45989</v>
      </c>
      <c r="B99" s="55" t="inlineStr">
        <is>
          <t>C-SLG/1791/25-26</t>
        </is>
      </c>
      <c r="C99" s="42" t="n"/>
      <c r="D99" s="60" t="n">
        <v>9440</v>
      </c>
      <c r="E99" s="57" t="n">
        <v>9440</v>
      </c>
      <c r="F99" s="58" t="n">
        <v>46014</v>
      </c>
      <c r="G99" s="59">
        <f>$E$2-F99</f>
        <v/>
      </c>
      <c r="H99" s="51" t="n"/>
      <c r="I99" s="51">
        <f>E99-H99</f>
        <v/>
      </c>
      <c r="J99" s="52" t="inlineStr">
        <is>
          <t>Sent DSO</t>
        </is>
      </c>
      <c r="K99" s="55" t="inlineStr">
        <is>
          <t>Sent DSO</t>
        </is>
      </c>
      <c r="L99" t="inlineStr">
        <is>
          <t>Sent DSO</t>
        </is>
      </c>
    </row>
    <row r="100" ht="11.1" customHeight="1" s="243">
      <c r="A100" s="54" t="n">
        <v>46021</v>
      </c>
      <c r="B100" s="55" t="inlineStr">
        <is>
          <t>C-SLG/2005/25-26</t>
        </is>
      </c>
      <c r="C100" s="42" t="n"/>
      <c r="D100" s="60" t="n">
        <v>643</v>
      </c>
      <c r="E100" s="57" t="n">
        <v>643</v>
      </c>
      <c r="F100" s="58" t="n">
        <v>46046</v>
      </c>
      <c r="G100" s="59">
        <f>$E$2-F100</f>
        <v/>
      </c>
      <c r="H100" s="51" t="n"/>
      <c r="I100" s="51">
        <f>E100-H100</f>
        <v/>
      </c>
      <c r="J100" s="52" t="inlineStr">
        <is>
          <t>Sent DSO</t>
        </is>
      </c>
      <c r="K100" s="55" t="inlineStr">
        <is>
          <t>Sent DSO</t>
        </is>
      </c>
      <c r="L100" t="inlineStr">
        <is>
          <t>Sent DSO</t>
        </is>
      </c>
    </row>
    <row r="101" ht="11.1" customHeight="1" s="243">
      <c r="A101" s="42" t="n"/>
      <c r="B101" s="42" t="n"/>
      <c r="C101" s="42" t="n"/>
      <c r="D101" s="60" t="n">
        <v>10083</v>
      </c>
      <c r="E101" s="57" t="n">
        <v>10083</v>
      </c>
      <c r="F101" s="42" t="n"/>
      <c r="G101" s="42" t="n"/>
      <c r="H101" s="51" t="n"/>
      <c r="I101" s="51" t="n"/>
      <c r="J101" s="52" t="n"/>
      <c r="K101" s="53" t="n"/>
    </row>
    <row r="102" ht="11.1" customHeight="1" s="243">
      <c r="A102" s="42" t="n"/>
      <c r="B102" s="42" t="n"/>
      <c r="C102" s="49" t="inlineStr">
        <is>
          <t>RR HOSIPATALITY SERVICES</t>
        </is>
      </c>
      <c r="D102" s="42" t="n"/>
      <c r="E102" s="50" t="n"/>
      <c r="F102" s="42" t="n"/>
      <c r="G102" s="42" t="n"/>
      <c r="H102" s="51" t="n">
        <v>0</v>
      </c>
      <c r="I102" s="51" t="n">
        <v>0</v>
      </c>
      <c r="J102" s="52" t="inlineStr">
        <is>
          <t>Stock Returned - Full Amount</t>
        </is>
      </c>
      <c r="K102" s="53" t="n"/>
    </row>
    <row r="103" ht="11.1" customHeight="1" s="243">
      <c r="A103" s="54" t="n">
        <v>46046</v>
      </c>
      <c r="B103" s="55" t="inlineStr">
        <is>
          <t>C-SLG/2102/25-26</t>
        </is>
      </c>
      <c r="C103" s="42" t="n"/>
      <c r="D103" s="60" t="n">
        <v>99017</v>
      </c>
      <c r="E103" s="57" t="n">
        <v>49017</v>
      </c>
      <c r="F103" s="58" t="n">
        <v>46071</v>
      </c>
      <c r="G103" s="59">
        <f>$E$2-F103</f>
        <v/>
      </c>
      <c r="H103" s="51" t="n">
        <v>49017</v>
      </c>
      <c r="I103" s="51" t="n">
        <v>0</v>
      </c>
      <c r="J103" s="55" t="inlineStr">
        <is>
          <t>Stock Returned to Nujeed</t>
        </is>
      </c>
      <c r="K103" s="53" t="n"/>
    </row>
    <row r="104" ht="11.1" customHeight="1" s="243">
      <c r="A104" s="42" t="n"/>
      <c r="B104" s="42" t="n"/>
      <c r="C104" s="42" t="n"/>
      <c r="D104" s="60" t="n">
        <v>99017</v>
      </c>
      <c r="E104" s="57" t="n">
        <v>49017</v>
      </c>
      <c r="F104" s="42" t="n"/>
      <c r="G104" s="42" t="n"/>
      <c r="H104" s="51" t="n">
        <v>49017</v>
      </c>
      <c r="I104" s="51" t="n">
        <v>0</v>
      </c>
      <c r="J104" s="55" t="n"/>
      <c r="K104" s="53" t="n"/>
    </row>
    <row r="105" ht="11.1" customHeight="1" s="243">
      <c r="A105" s="42" t="n"/>
      <c r="B105" s="42" t="n"/>
      <c r="C105" s="49" t="inlineStr">
        <is>
          <t>Sai Vaishnavi Book Agency</t>
        </is>
      </c>
      <c r="D105" s="42" t="n"/>
      <c r="E105" s="50" t="n"/>
      <c r="F105" s="42" t="n"/>
      <c r="G105" s="42" t="n"/>
      <c r="H105" s="51" t="n"/>
      <c r="I105" s="51" t="n"/>
      <c r="J105" s="52" t="n"/>
      <c r="K105" s="53" t="n"/>
      <c r="L105" t="inlineStr">
        <is>
          <t>RINGING NOT RESPONDING | RINGING NOT RESPONDING | RINGING NOT RESPONDING | NUMBER BUSY | HE WILL PAYNEXT WEEK ONLINE</t>
        </is>
      </c>
    </row>
    <row r="106" ht="11.1" customHeight="1" s="243">
      <c r="A106" s="54" t="n">
        <v>46083</v>
      </c>
      <c r="B106" s="55" t="inlineStr">
        <is>
          <t>C-SLG/2298/25-26</t>
        </is>
      </c>
      <c r="C106" s="42" t="n"/>
      <c r="D106" s="60" t="n">
        <v>14106</v>
      </c>
      <c r="E106" s="57" t="n">
        <v>14106</v>
      </c>
      <c r="F106" s="58" t="n">
        <v>46108</v>
      </c>
      <c r="G106" s="59">
        <f>$E$2-F106</f>
        <v/>
      </c>
      <c r="H106" s="51" t="n"/>
      <c r="I106" s="51">
        <f>E106-H106</f>
        <v/>
      </c>
      <c r="J106" s="52" t="inlineStr">
        <is>
          <t>Sent Scanner on Whatsapp</t>
        </is>
      </c>
      <c r="K106" s="55" t="inlineStr">
        <is>
          <t>Sent Scanner on Whatsapp</t>
        </is>
      </c>
      <c r="L106" t="inlineStr">
        <is>
          <t>Sent Scanner on Whatsapp</t>
        </is>
      </c>
    </row>
    <row r="107" ht="11.1" customHeight="1" s="243">
      <c r="A107" s="42" t="n"/>
      <c r="B107" s="42" t="n"/>
      <c r="C107" s="42" t="n"/>
      <c r="D107" s="60" t="n">
        <v>14106</v>
      </c>
      <c r="E107" s="57" t="n">
        <v>14106</v>
      </c>
      <c r="F107" s="42" t="n"/>
      <c r="G107" s="42" t="n"/>
      <c r="H107" s="51" t="n"/>
      <c r="I107" s="51" t="n"/>
      <c r="J107" s="52" t="n"/>
      <c r="K107" s="53" t="n"/>
    </row>
    <row r="108" ht="11.1" customHeight="1" s="243">
      <c r="A108" s="42" t="n"/>
      <c r="B108" s="42" t="n"/>
      <c r="C108" s="49" t="inlineStr">
        <is>
          <t>Shiva Book Stall</t>
        </is>
      </c>
      <c r="D108" s="42" t="n"/>
      <c r="E108" s="50" t="n"/>
      <c r="F108" s="42" t="n"/>
      <c r="G108" s="42" t="n"/>
      <c r="H108" s="51" t="n"/>
      <c r="I108" s="51" t="n"/>
      <c r="J108" s="52" t="n"/>
      <c r="K108" s="53" t="n"/>
      <c r="L108" t="inlineStr">
        <is>
          <t>send bill in wattup | HE WILL PAY ON MONDAY | MONDAY  SEND THE SHAKEEL  HE WILL  RETURN THE STOCK</t>
        </is>
      </c>
    </row>
    <row r="109" ht="11.1" customHeight="1" s="243">
      <c r="A109" s="54" t="n">
        <v>46076</v>
      </c>
      <c r="B109" s="55" t="inlineStr">
        <is>
          <t>C-SLG/2269/25-26</t>
        </is>
      </c>
      <c r="C109" s="42" t="n"/>
      <c r="D109" s="60" t="n">
        <v>9399</v>
      </c>
      <c r="E109" s="57" t="n">
        <v>9399</v>
      </c>
      <c r="F109" s="58" t="n">
        <v>46101</v>
      </c>
      <c r="G109" s="59">
        <f>$E$2-F109</f>
        <v/>
      </c>
      <c r="H109" s="51" t="n"/>
      <c r="I109" s="51">
        <f>E109-H109</f>
        <v/>
      </c>
      <c r="J109" s="64" t="inlineStr">
        <is>
          <t>Some Issue - Send DSO | Stock Return</t>
        </is>
      </c>
      <c r="K109" s="53" t="n"/>
      <c r="L109" t="inlineStr">
        <is>
          <t>Stock Return</t>
        </is>
      </c>
    </row>
    <row r="110" ht="11.1" customHeight="1" s="243">
      <c r="A110" s="42" t="n"/>
      <c r="B110" s="42" t="n"/>
      <c r="C110" s="42" t="n"/>
      <c r="D110" s="60" t="n">
        <v>9399</v>
      </c>
      <c r="E110" s="57" t="n">
        <v>9399</v>
      </c>
      <c r="F110" s="42" t="n"/>
      <c r="G110" s="42" t="n"/>
      <c r="H110" s="51" t="n"/>
      <c r="I110" s="51" t="n"/>
      <c r="J110" s="52" t="n"/>
      <c r="K110" s="53" t="n"/>
    </row>
    <row r="111" ht="11.1" customHeight="1" s="243">
      <c r="A111" s="42" t="n"/>
      <c r="B111" s="42" t="n"/>
      <c r="C111" s="49" t="inlineStr">
        <is>
          <t>SHRI SHARADA  BOOK DISTRIBUTERS</t>
        </is>
      </c>
      <c r="D111" s="42" t="n"/>
      <c r="E111" s="50" t="n"/>
      <c r="F111" s="42" t="n"/>
      <c r="G111" s="42" t="n"/>
      <c r="H111" s="51" t="n"/>
      <c r="I111" s="51" t="n"/>
      <c r="J111" s="52" t="n"/>
      <c r="K111" s="53" t="n"/>
    </row>
    <row r="112" ht="11.1" customHeight="1" s="243">
      <c r="A112" s="54" t="n">
        <v>46133</v>
      </c>
      <c r="B112" s="55" t="inlineStr">
        <is>
          <t>C-SLG/0061/26-27</t>
        </is>
      </c>
      <c r="C112" s="42" t="n"/>
      <c r="D112" s="60" t="n">
        <v>670</v>
      </c>
      <c r="E112" s="57" t="n">
        <v>670</v>
      </c>
      <c r="F112" s="58" t="n">
        <v>46158</v>
      </c>
      <c r="G112" s="59">
        <f>$E$2-F112</f>
        <v/>
      </c>
      <c r="H112" s="51" t="n"/>
      <c r="I112" s="51">
        <f>E112-H112</f>
        <v/>
      </c>
      <c r="J112" s="52" t="n"/>
      <c r="K112" s="53" t="n"/>
    </row>
    <row r="113" ht="11.1" customHeight="1" s="243">
      <c r="A113" s="42" t="n"/>
      <c r="B113" s="42" t="n"/>
      <c r="C113" s="42" t="n"/>
      <c r="D113" s="60" t="n">
        <v>670</v>
      </c>
      <c r="E113" s="57" t="n">
        <v>670</v>
      </c>
      <c r="F113" s="42" t="n"/>
      <c r="G113" s="42" t="n"/>
      <c r="H113" s="51" t="n"/>
      <c r="I113" s="51" t="n"/>
      <c r="J113" s="52" t="n"/>
      <c r="K113" s="53" t="n"/>
    </row>
    <row r="114" ht="11.1" customHeight="1" s="243">
      <c r="A114" s="42" t="n"/>
      <c r="B114" s="42" t="n"/>
      <c r="C114" s="49" t="inlineStr">
        <is>
          <t>SIDDHARTHA STATIONERY &amp; ELECRTRICAL</t>
        </is>
      </c>
      <c r="D114" s="42" t="n"/>
      <c r="E114" s="50" t="n"/>
      <c r="F114" s="42" t="n"/>
      <c r="G114" s="42" t="n"/>
      <c r="H114" s="51" t="n"/>
      <c r="I114" s="51" t="n"/>
      <c r="J114" s="52" t="n"/>
      <c r="K114" s="53" t="n"/>
      <c r="L114" t="inlineStr">
        <is>
          <t>RINGING NOT RESPONDING | RINGING NOT RESPONDING | NUMBER BUSY | RINGING NOT RESPONDING | RINGING NOT RESPONDING | RINGING NOT RESPONDING</t>
        </is>
      </c>
    </row>
    <row r="115" ht="11.1" customHeight="1" s="243">
      <c r="A115" s="54" t="n">
        <v>46057</v>
      </c>
      <c r="B115" s="55" t="inlineStr">
        <is>
          <t>C-SLG/2179/25-26</t>
        </is>
      </c>
      <c r="C115" s="42" t="n"/>
      <c r="D115" s="60" t="n">
        <v>5370</v>
      </c>
      <c r="E115" s="57" t="n">
        <v>5370</v>
      </c>
      <c r="F115" s="58" t="n">
        <v>46082</v>
      </c>
      <c r="G115" s="59">
        <f>$E$2-F115</f>
        <v/>
      </c>
      <c r="H115" s="51" t="n"/>
      <c r="I115" s="51">
        <f>E115-H115</f>
        <v/>
      </c>
      <c r="J115" s="52" t="inlineStr">
        <is>
          <t>Number Busy</t>
        </is>
      </c>
      <c r="K115" s="55" t="inlineStr">
        <is>
          <t>Number Busy</t>
        </is>
      </c>
      <c r="L115" t="inlineStr">
        <is>
          <t>Number Busy</t>
        </is>
      </c>
    </row>
    <row r="116" ht="11.1" customHeight="1" s="243">
      <c r="A116" s="42" t="n"/>
      <c r="B116" s="42" t="n"/>
      <c r="C116" s="42" t="n"/>
      <c r="D116" s="60" t="n">
        <v>5370</v>
      </c>
      <c r="E116" s="57" t="n">
        <v>5370</v>
      </c>
      <c r="F116" s="42" t="n"/>
      <c r="G116" s="42" t="n"/>
      <c r="H116" s="51" t="n"/>
      <c r="I116" s="51" t="n"/>
      <c r="J116" s="52" t="n"/>
      <c r="K116" s="53" t="n"/>
    </row>
    <row r="117" ht="11.1" customHeight="1" s="243">
      <c r="A117" s="42" t="n"/>
      <c r="B117" s="42" t="n"/>
      <c r="C117" s="49" t="inlineStr">
        <is>
          <t>SREE VENKATESHWARA PUBLISHERS</t>
        </is>
      </c>
      <c r="D117" s="42" t="n"/>
      <c r="E117" s="50" t="n"/>
      <c r="F117" s="42" t="n"/>
      <c r="G117" s="42" t="n"/>
      <c r="H117" s="51" t="n"/>
      <c r="I117" s="51" t="n"/>
      <c r="J117" s="52" t="n"/>
      <c r="K117" s="53" t="n"/>
      <c r="L117" t="inlineStr">
        <is>
          <t>RINGING NOT RESPONDING | NUMBER BUSY | NUMBER BUSY | RINGING NOT RESPONDING | RINGING NOT RESPONDING | NUMBER BUSY | AFTER 10D HE WILL PAY</t>
        </is>
      </c>
    </row>
    <row r="118" ht="11.1" customHeight="1" s="243">
      <c r="A118" s="54" t="n">
        <v>45968</v>
      </c>
      <c r="B118" s="55" t="inlineStr">
        <is>
          <t>C-SLG/1620/25-26</t>
        </is>
      </c>
      <c r="C118" s="42" t="n"/>
      <c r="D118" s="60" t="n">
        <v>5248</v>
      </c>
      <c r="E118" s="57" t="n">
        <v>5248</v>
      </c>
      <c r="F118" s="58" t="n">
        <v>45993</v>
      </c>
      <c r="G118" s="59">
        <f>$E$2-F118</f>
        <v/>
      </c>
      <c r="H118" s="51" t="n"/>
      <c r="I118" s="51">
        <f>E118-H118</f>
        <v/>
      </c>
      <c r="J118" s="52" t="inlineStr">
        <is>
          <t>After 10d Collect Payment</t>
        </is>
      </c>
      <c r="K118" s="53" t="n"/>
    </row>
    <row r="119" ht="11.1" customHeight="1" s="243">
      <c r="A119" s="54" t="n">
        <v>45981</v>
      </c>
      <c r="B119" s="55" t="inlineStr">
        <is>
          <t>C-SLG/1718/25-26</t>
        </is>
      </c>
      <c r="C119" s="42" t="n"/>
      <c r="D119" s="60" t="n">
        <v>1170</v>
      </c>
      <c r="E119" s="57" t="n">
        <v>1170</v>
      </c>
      <c r="F119" s="58" t="n">
        <v>46006</v>
      </c>
      <c r="G119" s="59">
        <f>$E$2-F119</f>
        <v/>
      </c>
      <c r="H119" s="51" t="n"/>
      <c r="I119" s="51">
        <f>E119-H119</f>
        <v/>
      </c>
      <c r="J119" s="52" t="inlineStr">
        <is>
          <t>After 10d Collect Payment</t>
        </is>
      </c>
      <c r="K119" s="53" t="n"/>
    </row>
    <row r="120" ht="11.1" customHeight="1" s="243">
      <c r="A120" s="54" t="n">
        <v>45987</v>
      </c>
      <c r="B120" s="55" t="inlineStr">
        <is>
          <t>C-SLG/1773/25-26</t>
        </is>
      </c>
      <c r="C120" s="42" t="n"/>
      <c r="D120" s="60" t="n">
        <v>23364</v>
      </c>
      <c r="E120" s="57" t="n">
        <v>6342</v>
      </c>
      <c r="F120" s="58" t="n">
        <v>46012</v>
      </c>
      <c r="G120" s="59">
        <f>$E$2-F120</f>
        <v/>
      </c>
      <c r="H120" s="51" t="n"/>
      <c r="I120" s="51">
        <f>E120-H120</f>
        <v/>
      </c>
      <c r="J120" s="52" t="inlineStr">
        <is>
          <t>After 10d Collect Payment</t>
        </is>
      </c>
      <c r="K120" s="53" t="n"/>
    </row>
    <row r="121" ht="11.1" customHeight="1" s="243">
      <c r="A121" s="54" t="n">
        <v>46049</v>
      </c>
      <c r="B121" s="55" t="inlineStr">
        <is>
          <t>C-SLG/2108/25-26</t>
        </is>
      </c>
      <c r="C121" s="42" t="n"/>
      <c r="D121" s="60" t="n">
        <v>47824</v>
      </c>
      <c r="E121" s="57" t="n">
        <v>47824</v>
      </c>
      <c r="F121" s="58" t="n">
        <v>46074</v>
      </c>
      <c r="G121" s="59">
        <f>$E$2-F121</f>
        <v/>
      </c>
      <c r="H121" s="51" t="n"/>
      <c r="I121" s="51">
        <f>E121-H121</f>
        <v/>
      </c>
      <c r="J121" s="52" t="inlineStr">
        <is>
          <t>After 10d Collect Payment</t>
        </is>
      </c>
      <c r="K121" s="53" t="n"/>
    </row>
    <row r="122" ht="11.1" customHeight="1" s="243">
      <c r="A122" s="42" t="n"/>
      <c r="B122" s="42" t="n"/>
      <c r="C122" s="42" t="n"/>
      <c r="D122" s="60" t="n">
        <v>77606</v>
      </c>
      <c r="E122" s="57" t="n">
        <v>60584</v>
      </c>
      <c r="F122" s="42" t="n"/>
      <c r="G122" s="42" t="n"/>
      <c r="H122" s="51" t="n"/>
      <c r="I122" s="51" t="n"/>
      <c r="J122" s="52" t="n"/>
      <c r="K122" s="53" t="n"/>
    </row>
    <row r="123" ht="11.1" customHeight="1" s="243">
      <c r="A123" s="42" t="n"/>
      <c r="B123" s="42" t="n"/>
      <c r="C123" s="49" t="inlineStr">
        <is>
          <t>SRI RAKHI BOOK CENTER</t>
        </is>
      </c>
      <c r="D123" s="42" t="n"/>
      <c r="E123" s="50" t="n"/>
      <c r="F123" s="42" t="n"/>
      <c r="G123" s="42" t="n"/>
      <c r="H123" s="51" t="n"/>
      <c r="I123" s="51" t="n"/>
      <c r="J123" s="52" t="n"/>
      <c r="K123" s="53" t="n"/>
      <c r="L123" t="inlineStr">
        <is>
          <t>RINGING NOT RESPONDING | RINGING NOT RESPONDING | RINGING NOT RESPONDING | RINGING NOT RESPONDING | RINGING NOT RESPONDING | RINGING NOT RESPONDING | RINGING NOT RESPONDING</t>
        </is>
      </c>
    </row>
    <row r="124" ht="11.1" customHeight="1" s="243">
      <c r="A124" s="54" t="n">
        <v>46052</v>
      </c>
      <c r="B124" s="55" t="inlineStr">
        <is>
          <t>C-SLG/2148/25-26</t>
        </is>
      </c>
      <c r="C124" s="42" t="n"/>
      <c r="D124" s="60" t="n">
        <v>25760</v>
      </c>
      <c r="E124" s="57" t="n">
        <v>25760</v>
      </c>
      <c r="F124" s="58" t="n">
        <v>46077</v>
      </c>
      <c r="G124" s="59">
        <f>$E$2-F124</f>
        <v/>
      </c>
      <c r="H124" s="51" t="n"/>
      <c r="I124" s="51">
        <f>E124-H124</f>
        <v/>
      </c>
      <c r="J124" s="52" t="inlineStr">
        <is>
          <t>Send DSO for Stock Return Collection</t>
        </is>
      </c>
      <c r="K124" s="52" t="inlineStr">
        <is>
          <t>Send DSO for Stock Return Collection</t>
        </is>
      </c>
      <c r="L124" t="inlineStr">
        <is>
          <t>Send DSO for Stock Return Collection</t>
        </is>
      </c>
    </row>
    <row r="125" ht="11.1" customHeight="1" s="243">
      <c r="A125" s="42" t="n"/>
      <c r="B125" s="42" t="n"/>
      <c r="C125" s="42" t="n"/>
      <c r="D125" s="60" t="n">
        <v>25760</v>
      </c>
      <c r="E125" s="57" t="n">
        <v>25760</v>
      </c>
      <c r="F125" s="42" t="n"/>
      <c r="G125" s="42" t="n"/>
      <c r="H125" s="51" t="n"/>
      <c r="I125" s="51" t="n"/>
      <c r="J125" s="52" t="n"/>
      <c r="K125" s="53" t="n"/>
    </row>
    <row r="126" ht="11.1" customHeight="1" s="243">
      <c r="A126" s="42" t="n"/>
      <c r="B126" s="42" t="n"/>
      <c r="C126" s="49" t="inlineStr">
        <is>
          <t>Sri Shyam Enterprises</t>
        </is>
      </c>
      <c r="D126" s="42" t="n"/>
      <c r="E126" s="50" t="n"/>
      <c r="F126" s="42" t="n"/>
      <c r="G126" s="42" t="n"/>
      <c r="H126" s="51" t="n"/>
      <c r="I126" s="51" t="n"/>
      <c r="J126" s="52" t="n"/>
      <c r="K126" s="53" t="n"/>
      <c r="L126" t="inlineStr">
        <is>
          <t>8686705353 | HE SAID THAT SENDBILLWITHPERSON</t>
        </is>
      </c>
    </row>
    <row r="127" ht="11.1" customHeight="1" s="243">
      <c r="A127" s="54" t="n">
        <v>46007</v>
      </c>
      <c r="B127" s="55" t="inlineStr">
        <is>
          <t>C-SLG/1902/25-26</t>
        </is>
      </c>
      <c r="C127" s="42" t="n"/>
      <c r="D127" s="60" t="n">
        <v>1180</v>
      </c>
      <c r="E127" s="57" t="n">
        <v>100</v>
      </c>
      <c r="F127" s="58" t="n">
        <v>46032</v>
      </c>
      <c r="G127" s="59">
        <f>$E$2-F127</f>
        <v/>
      </c>
      <c r="H127" s="51" t="n"/>
      <c r="I127" s="51">
        <f>E127-H127</f>
        <v/>
      </c>
      <c r="J127" s="52" t="n"/>
      <c r="K127" s="53" t="n"/>
    </row>
    <row r="128" ht="11.1" customHeight="1" s="243">
      <c r="A128" s="42" t="n"/>
      <c r="B128" s="42" t="n"/>
      <c r="C128" s="42" t="n"/>
      <c r="D128" s="60" t="n">
        <v>1180</v>
      </c>
      <c r="E128" s="57" t="n">
        <v>100</v>
      </c>
      <c r="F128" s="42" t="n"/>
      <c r="G128" s="42" t="n"/>
      <c r="H128" s="51" t="n"/>
      <c r="I128" s="51" t="n"/>
      <c r="J128" s="52" t="n"/>
      <c r="K128" s="53" t="n"/>
    </row>
    <row r="129" ht="11.1" customHeight="1" s="243">
      <c r="A129" s="42" t="n"/>
      <c r="B129" s="42" t="n"/>
      <c r="C129" s="49" t="inlineStr">
        <is>
          <t>SRI VENKTESHWARA BOOK HOUSE</t>
        </is>
      </c>
      <c r="D129" s="42" t="n"/>
      <c r="E129" s="50" t="n"/>
      <c r="F129" s="42" t="n"/>
      <c r="G129" s="42" t="n"/>
      <c r="H129" s="51" t="n"/>
      <c r="I129" s="51" t="n"/>
      <c r="J129" s="52" t="n"/>
      <c r="K129" s="53" t="n"/>
    </row>
    <row r="130" ht="11.1" customHeight="1" s="243">
      <c r="A130" s="54" t="n">
        <v>46129</v>
      </c>
      <c r="B130" s="55" t="inlineStr">
        <is>
          <t>C-SLG/0050/26-27</t>
        </is>
      </c>
      <c r="C130" s="42" t="n"/>
      <c r="D130" s="60" t="n">
        <v>5517</v>
      </c>
      <c r="E130" s="57" t="n">
        <v>5517</v>
      </c>
      <c r="F130" s="58" t="n">
        <v>46154</v>
      </c>
      <c r="G130" s="59">
        <f>$E$2-F130</f>
        <v/>
      </c>
      <c r="H130" s="51" t="n"/>
      <c r="I130" s="51">
        <f>E130-H130</f>
        <v/>
      </c>
      <c r="J130" s="52" t="n"/>
      <c r="K130" s="53" t="n"/>
    </row>
    <row r="131" ht="11.1" customHeight="1" s="243">
      <c r="A131" s="42" t="n"/>
      <c r="B131" s="42" t="n"/>
      <c r="C131" s="42" t="n"/>
      <c r="D131" s="60" t="n">
        <v>5517</v>
      </c>
      <c r="E131" s="57" t="n">
        <v>5517</v>
      </c>
      <c r="F131" s="42" t="n"/>
      <c r="G131" s="42" t="n"/>
      <c r="H131" s="51" t="n"/>
      <c r="I131" s="51" t="n"/>
      <c r="J131" s="52" t="n"/>
      <c r="K131" s="53" t="n"/>
    </row>
    <row r="132" ht="11.1" customHeight="1" s="243">
      <c r="A132" s="42" t="n"/>
      <c r="B132" s="42" t="n"/>
      <c r="C132" s="65" t="inlineStr">
        <is>
          <t>SRI VIDYA SARASWATI COLLECTION</t>
        </is>
      </c>
      <c r="D132" s="42" t="n"/>
      <c r="E132" s="50" t="n"/>
      <c r="F132" s="42" t="n"/>
      <c r="G132" s="42" t="n"/>
      <c r="H132" s="51" t="n"/>
      <c r="I132" s="51" t="n"/>
      <c r="J132" s="52" t="n"/>
      <c r="K132" s="53" t="n"/>
      <c r="L132" t="inlineStr">
        <is>
          <t>RINGING NOT  RESPONDING | RINGING NOT  RESPONDING</t>
        </is>
      </c>
    </row>
    <row r="133" ht="11.1" customHeight="1" s="243">
      <c r="A133" s="54" t="n">
        <v>46105</v>
      </c>
      <c r="B133" s="55" t="inlineStr">
        <is>
          <t>C-SLG/2425/25-26</t>
        </is>
      </c>
      <c r="C133" s="42" t="n"/>
      <c r="D133" s="60" t="n">
        <v>12031</v>
      </c>
      <c r="E133" s="57" t="n">
        <v>12031</v>
      </c>
      <c r="F133" s="58" t="n">
        <v>46130</v>
      </c>
      <c r="G133" s="59">
        <f>$E$2-F133</f>
        <v/>
      </c>
      <c r="H133" s="51" t="n"/>
      <c r="I133" s="51">
        <f>E133-H133</f>
        <v/>
      </c>
      <c r="J133" s="52" t="inlineStr">
        <is>
          <t>Not Called</t>
        </is>
      </c>
      <c r="K133" s="53" t="n"/>
    </row>
    <row r="134" ht="11.1" customHeight="1" s="243">
      <c r="A134" s="54" t="n">
        <v>46122</v>
      </c>
      <c r="B134" s="55" t="inlineStr">
        <is>
          <t>C-SLG/0027/26-27</t>
        </is>
      </c>
      <c r="C134" s="42" t="n"/>
      <c r="D134" s="60" t="n">
        <v>6100</v>
      </c>
      <c r="E134" s="57" t="n">
        <v>6100</v>
      </c>
      <c r="F134" s="58" t="n">
        <v>46147</v>
      </c>
      <c r="G134" s="59">
        <f>$E$2-F134</f>
        <v/>
      </c>
      <c r="H134" s="51" t="n"/>
      <c r="I134" s="51">
        <f>E134-H134</f>
        <v/>
      </c>
      <c r="J134" s="52" t="inlineStr">
        <is>
          <t>Not Called</t>
        </is>
      </c>
      <c r="K134" s="53" t="n"/>
    </row>
    <row r="135" ht="11.1" customHeight="1" s="243">
      <c r="A135" s="54" t="n">
        <v>46137</v>
      </c>
      <c r="B135" s="55" t="inlineStr">
        <is>
          <t>C-SLG/0070/26-27</t>
        </is>
      </c>
      <c r="C135" s="42" t="n"/>
      <c r="D135" s="60" t="n">
        <v>3812</v>
      </c>
      <c r="E135" s="56" t="n">
        <v>3812</v>
      </c>
      <c r="F135" s="58" t="n">
        <v>46162</v>
      </c>
      <c r="G135" s="42" t="n"/>
      <c r="H135" s="51" t="n"/>
      <c r="I135" s="51" t="n"/>
      <c r="J135" s="52" t="n"/>
      <c r="K135" s="53" t="n"/>
    </row>
    <row r="136" ht="11.1" customHeight="1" s="243">
      <c r="A136" s="42" t="n"/>
      <c r="B136" s="42" t="n"/>
      <c r="C136" s="42" t="n"/>
      <c r="D136" s="60" t="n">
        <v>21943</v>
      </c>
      <c r="E136" s="57" t="n">
        <v>21943</v>
      </c>
      <c r="F136" s="42" t="n"/>
      <c r="G136" s="42" t="n"/>
      <c r="H136" s="51" t="n"/>
      <c r="I136" s="51" t="n"/>
      <c r="J136" s="52" t="n"/>
      <c r="K136" s="53" t="n"/>
    </row>
    <row r="137" ht="11.1" customHeight="1" s="243">
      <c r="A137" s="42" t="n"/>
      <c r="B137" s="42" t="n"/>
      <c r="C137" s="49" t="inlineStr">
        <is>
          <t>Stationey Xerox</t>
        </is>
      </c>
      <c r="D137" s="42" t="n"/>
      <c r="E137" s="50" t="n"/>
      <c r="F137" s="42" t="n"/>
      <c r="G137" s="42" t="n"/>
      <c r="H137" s="51" t="n"/>
      <c r="I137" s="51" t="n"/>
      <c r="J137" s="52" t="n"/>
      <c r="K137" s="53" t="n"/>
      <c r="L137" t="inlineStr">
        <is>
          <t>RINGING NOT RESPONDING | RINGING NOT RESPONDING | RINGING NOT RESPONDING | RINGING NOT RESPONDING | RINGING NOT RESPONDING | RINGING NOT RESPONDING | RINGING NOT RESPONDING</t>
        </is>
      </c>
    </row>
    <row r="138" ht="11.1" customHeight="1" s="243">
      <c r="A138" s="54" t="n">
        <v>46059</v>
      </c>
      <c r="B138" s="55" t="inlineStr">
        <is>
          <t>C-SLG/2197/25-26</t>
        </is>
      </c>
      <c r="C138" s="42" t="n"/>
      <c r="D138" s="60" t="n">
        <v>19279</v>
      </c>
      <c r="E138" s="57" t="n">
        <v>19279</v>
      </c>
      <c r="F138" s="58" t="n">
        <v>46084</v>
      </c>
      <c r="G138" s="59">
        <f>$E$2-F138</f>
        <v/>
      </c>
      <c r="H138" s="51" t="n"/>
      <c r="I138" s="51">
        <f>E138-H138</f>
        <v/>
      </c>
      <c r="J138" s="52" t="inlineStr">
        <is>
          <t>Not responding</t>
        </is>
      </c>
      <c r="K138" s="52" t="inlineStr">
        <is>
          <t>Not responding</t>
        </is>
      </c>
      <c r="L138" t="inlineStr">
        <is>
          <t>Not responding</t>
        </is>
      </c>
    </row>
    <row r="139" ht="11.1" customHeight="1" s="243">
      <c r="A139" s="42" t="n"/>
      <c r="B139" s="42" t="n"/>
      <c r="C139" s="42" t="n"/>
      <c r="D139" s="60" t="n">
        <v>19279</v>
      </c>
      <c r="E139" s="57" t="n">
        <v>19279</v>
      </c>
      <c r="F139" s="42" t="n"/>
      <c r="G139" s="42" t="n"/>
      <c r="H139" s="51" t="n"/>
      <c r="I139" s="51" t="n"/>
      <c r="J139" s="52" t="n"/>
      <c r="K139" s="53" t="n"/>
    </row>
    <row r="140" ht="11.1" customHeight="1" s="243">
      <c r="A140" s="42" t="n"/>
      <c r="B140" s="42" t="n"/>
      <c r="C140" s="49" t="inlineStr">
        <is>
          <t>THE DECCAN PEN STORE</t>
        </is>
      </c>
      <c r="D140" s="42" t="n"/>
      <c r="E140" s="50" t="n"/>
      <c r="F140" s="42" t="n"/>
      <c r="G140" s="42" t="n"/>
      <c r="H140" s="51" t="n"/>
      <c r="I140" s="51" t="n"/>
      <c r="J140" s="52" t="n"/>
      <c r="K140" s="53" t="n"/>
      <c r="L140" t="inlineStr">
        <is>
          <t>RINGING NOT  RESPONDING | RINGING NOT  RESPONDING | RINGING NOT  RESPONDING | RINGING NOT  RESPONDING</t>
        </is>
      </c>
    </row>
    <row r="141" ht="11.1" customHeight="1" s="243">
      <c r="A141" s="54" t="n">
        <v>46105</v>
      </c>
      <c r="B141" s="55" t="inlineStr">
        <is>
          <t>C-SLG/2430/25-26</t>
        </is>
      </c>
      <c r="C141" s="42" t="n"/>
      <c r="D141" s="60" t="n">
        <v>3988</v>
      </c>
      <c r="E141" s="57" t="n">
        <v>3988</v>
      </c>
      <c r="F141" s="58" t="n">
        <v>46130</v>
      </c>
      <c r="G141" s="59">
        <f>$E$2-F141</f>
        <v/>
      </c>
      <c r="H141" s="51" t="n"/>
      <c r="I141" s="51">
        <f>E141-H141</f>
        <v/>
      </c>
      <c r="J141" s="52" t="inlineStr">
        <is>
          <t>Not responding</t>
        </is>
      </c>
      <c r="K141" s="52" t="inlineStr">
        <is>
          <t>Not responding</t>
        </is>
      </c>
      <c r="L141" t="inlineStr">
        <is>
          <t>Not responding</t>
        </is>
      </c>
    </row>
    <row r="142" ht="11.1" customHeight="1" s="243">
      <c r="A142" s="54" t="n">
        <v>46121</v>
      </c>
      <c r="B142" s="55" t="inlineStr">
        <is>
          <t>C-SLG/002/26-27</t>
        </is>
      </c>
      <c r="C142" s="42" t="n"/>
      <c r="D142" s="60" t="n">
        <v>2021</v>
      </c>
      <c r="E142" s="57" t="n">
        <v>2021</v>
      </c>
      <c r="F142" s="58" t="n">
        <v>46146</v>
      </c>
      <c r="G142" s="59">
        <f>$E$2-F142</f>
        <v/>
      </c>
      <c r="H142" s="51" t="n"/>
      <c r="I142" s="51">
        <f>E142-H142</f>
        <v/>
      </c>
      <c r="J142" s="52" t="inlineStr">
        <is>
          <t>Not responding</t>
        </is>
      </c>
      <c r="K142" s="52" t="inlineStr">
        <is>
          <t>Not responding</t>
        </is>
      </c>
      <c r="L142" t="inlineStr">
        <is>
          <t>Not responding</t>
        </is>
      </c>
    </row>
    <row r="143" ht="11.1" customHeight="1" s="243">
      <c r="A143" s="42" t="n"/>
      <c r="B143" s="42" t="n"/>
      <c r="C143" s="42" t="n"/>
      <c r="D143" s="60" t="n">
        <v>6009</v>
      </c>
      <c r="E143" s="57" t="n">
        <v>6009</v>
      </c>
      <c r="F143" s="42" t="n"/>
      <c r="G143" s="42" t="n"/>
      <c r="H143" s="51" t="n"/>
      <c r="I143" s="51" t="n"/>
      <c r="J143" s="52" t="n"/>
      <c r="K143" s="53" t="n"/>
    </row>
    <row r="144" ht="11.1" customHeight="1" s="243">
      <c r="A144" s="42" t="n"/>
      <c r="B144" s="42" t="n"/>
      <c r="C144" s="49" t="inlineStr">
        <is>
          <t>TRIBHUVAN BOOKS &amp; STATIONERY</t>
        </is>
      </c>
      <c r="D144" s="42" t="n"/>
      <c r="E144" s="50" t="n"/>
      <c r="F144" s="42" t="n"/>
      <c r="G144" s="42" t="n"/>
      <c r="H144" s="51" t="n"/>
      <c r="I144" s="51" t="n"/>
      <c r="J144" s="52" t="n"/>
      <c r="K144" s="53" t="n"/>
      <c r="L144" t="inlineStr">
        <is>
          <t>NUMBER BUSY | RINGING NOT  RESPONDING | RINGING NOT  RESPONDING | BUSY</t>
        </is>
      </c>
    </row>
    <row r="145" ht="11.1" customHeight="1" s="243">
      <c r="A145" s="54" t="n">
        <v>46107</v>
      </c>
      <c r="B145" s="55" t="inlineStr">
        <is>
          <t>C-SLG/2445/25-26</t>
        </is>
      </c>
      <c r="C145" s="42" t="n"/>
      <c r="D145" s="60" t="n">
        <v>28248</v>
      </c>
      <c r="E145" s="57" t="n">
        <v>28248</v>
      </c>
      <c r="F145" s="58" t="n">
        <v>46132</v>
      </c>
      <c r="G145" s="59">
        <f>$E$2-F145</f>
        <v/>
      </c>
      <c r="H145" s="51" t="n"/>
      <c r="I145" s="51">
        <f>E145-H145</f>
        <v/>
      </c>
      <c r="J145" s="52" t="inlineStr">
        <is>
          <t>Send DSO with Bill</t>
        </is>
      </c>
      <c r="K145" s="52" t="inlineStr">
        <is>
          <t xml:space="preserve">Send DSO with Bill </t>
        </is>
      </c>
      <c r="L145" t="inlineStr">
        <is>
          <t>Send DSO with Bill</t>
        </is>
      </c>
    </row>
    <row r="146" ht="11.1" customHeight="1" s="243">
      <c r="A146" s="42" t="n"/>
      <c r="B146" s="42" t="n"/>
      <c r="C146" s="42" t="n"/>
      <c r="D146" s="60" t="n">
        <v>28248</v>
      </c>
      <c r="E146" s="57" t="n">
        <v>28248</v>
      </c>
      <c r="F146" s="42" t="n"/>
      <c r="G146" s="42" t="n"/>
      <c r="H146" s="51" t="n"/>
      <c r="I146" s="51" t="n"/>
      <c r="J146" s="52" t="n"/>
      <c r="K146" s="53" t="n"/>
    </row>
    <row r="147" ht="11.1" customHeight="1" s="243">
      <c r="A147" s="42" t="n"/>
      <c r="B147" s="42" t="n"/>
      <c r="C147" s="49" t="inlineStr">
        <is>
          <t>T.V Gupta</t>
        </is>
      </c>
      <c r="D147" s="42" t="n"/>
      <c r="E147" s="50" t="n"/>
      <c r="F147" s="42" t="n"/>
      <c r="G147" s="42" t="n"/>
      <c r="H147" s="51" t="n"/>
      <c r="I147" s="51" t="n"/>
      <c r="J147" s="52" t="n"/>
      <c r="K147" s="53" t="n"/>
    </row>
    <row r="148" ht="11.1" customHeight="1" s="243">
      <c r="A148" s="54" t="n">
        <v>46130</v>
      </c>
      <c r="B148" s="55" t="inlineStr">
        <is>
          <t>C-SLG/0055/26-27</t>
        </is>
      </c>
      <c r="C148" s="42" t="n"/>
      <c r="D148" s="60" t="n">
        <v>3176</v>
      </c>
      <c r="E148" s="57" t="n">
        <v>3176</v>
      </c>
      <c r="F148" s="58" t="n">
        <v>46155</v>
      </c>
      <c r="G148" s="59">
        <f>$E$2-F148</f>
        <v/>
      </c>
      <c r="H148" s="51" t="n"/>
      <c r="I148" s="51">
        <f>E148-H148</f>
        <v/>
      </c>
      <c r="J148" s="52" t="n"/>
      <c r="K148" s="53" t="n"/>
    </row>
    <row r="149" ht="11.1" customHeight="1" s="243">
      <c r="A149" s="42" t="n"/>
      <c r="B149" s="42" t="n"/>
      <c r="C149" s="42" t="n"/>
      <c r="D149" s="60" t="n">
        <v>3176</v>
      </c>
      <c r="E149" s="57" t="n">
        <v>3176</v>
      </c>
      <c r="F149" s="42" t="n"/>
      <c r="G149" s="42" t="n"/>
      <c r="H149" s="51" t="n"/>
      <c r="I149" s="51" t="n"/>
      <c r="J149" s="52" t="n"/>
      <c r="K149" s="53" t="n"/>
    </row>
    <row r="150" ht="11.1" customHeight="1" s="243">
      <c r="A150" s="42" t="n"/>
      <c r="B150" s="42" t="n"/>
      <c r="C150" s="49" t="inlineStr">
        <is>
          <t>United Paper &amp; Stationery</t>
        </is>
      </c>
      <c r="D150" s="42" t="n"/>
      <c r="E150" s="50" t="n"/>
      <c r="F150" s="42" t="n"/>
      <c r="G150" s="42" t="n"/>
      <c r="H150" s="51" t="n"/>
      <c r="I150" s="51" t="n"/>
      <c r="J150" s="52" t="n"/>
      <c r="K150" s="53" t="n"/>
    </row>
    <row r="151" ht="11.1" customHeight="1" s="243">
      <c r="A151" s="54" t="n">
        <v>46134</v>
      </c>
      <c r="B151" s="55" t="inlineStr">
        <is>
          <t>C-SLG/0063/26-27</t>
        </is>
      </c>
      <c r="C151" s="42" t="n"/>
      <c r="D151" s="60" t="n">
        <v>458</v>
      </c>
      <c r="E151" s="56" t="n">
        <v>458</v>
      </c>
      <c r="F151" s="58" t="n">
        <v>46159</v>
      </c>
      <c r="G151" s="59">
        <f>$E$2-F151</f>
        <v/>
      </c>
      <c r="H151" s="51" t="n"/>
      <c r="I151" s="51">
        <f>E151-H151</f>
        <v/>
      </c>
      <c r="J151" s="52" t="n"/>
      <c r="K151" s="53" t="n"/>
    </row>
    <row r="152" ht="11.1" customHeight="1" s="243">
      <c r="A152" s="42" t="n"/>
      <c r="B152" s="42" t="n"/>
      <c r="C152" s="42" t="n"/>
      <c r="D152" s="60" t="n">
        <v>458</v>
      </c>
      <c r="E152" s="57" t="n">
        <v>458</v>
      </c>
      <c r="F152" s="42" t="n"/>
      <c r="G152" s="42" t="n"/>
      <c r="H152" s="51" t="n"/>
      <c r="I152" s="51" t="n"/>
      <c r="J152" s="52" t="n"/>
      <c r="K152" s="53" t="n"/>
    </row>
    <row r="153" ht="11.1" customHeight="1" s="243">
      <c r="A153" s="42" t="n"/>
      <c r="B153" s="42" t="n"/>
      <c r="C153" s="49" t="inlineStr">
        <is>
          <t>Universal Book Shop</t>
        </is>
      </c>
      <c r="D153" s="42" t="n"/>
      <c r="E153" s="50" t="n"/>
      <c r="F153" s="42" t="n"/>
      <c r="G153" s="42" t="n"/>
      <c r="H153" s="51" t="n"/>
      <c r="I153" s="51" t="n"/>
      <c r="J153" s="52" t="n"/>
      <c r="K153" s="53" t="n"/>
      <c r="L153" t="inlineStr">
        <is>
          <t>RINGING NOT RESPONDING | RINGING NOT RESPONDING | RINGING NOT RESPONDING | RINGING NOT RESPONDING | MONDAY  HE WILL PAY | RINGING NOT RESPONDING</t>
        </is>
      </c>
    </row>
    <row r="154" ht="11.1" customHeight="1" s="243">
      <c r="A154" s="54" t="n">
        <v>45965</v>
      </c>
      <c r="B154" s="55" t="inlineStr">
        <is>
          <t>C-SLG/1597/25-26</t>
        </is>
      </c>
      <c r="C154" s="42" t="n"/>
      <c r="D154" s="60" t="n">
        <v>31676</v>
      </c>
      <c r="E154" s="57" t="n">
        <v>9357</v>
      </c>
      <c r="F154" s="58" t="n">
        <v>45990</v>
      </c>
      <c r="G154" s="59">
        <f>$E$2-F154</f>
        <v/>
      </c>
      <c r="H154" s="51" t="n"/>
      <c r="I154" s="51">
        <f>E154-H154</f>
        <v/>
      </c>
      <c r="J154" s="52" t="inlineStr">
        <is>
          <t>He will Pay in 2 days</t>
        </is>
      </c>
      <c r="K154" s="53" t="n"/>
    </row>
    <row r="155" ht="11.1" customHeight="1" s="243">
      <c r="A155" s="54" t="n">
        <v>46021</v>
      </c>
      <c r="B155" s="55" t="inlineStr">
        <is>
          <t>C-SLG/2013/25-26</t>
        </is>
      </c>
      <c r="C155" s="42" t="n"/>
      <c r="D155" s="60" t="n">
        <v>643</v>
      </c>
      <c r="E155" s="57" t="n">
        <v>643</v>
      </c>
      <c r="F155" s="58" t="n">
        <v>46046</v>
      </c>
      <c r="G155" s="59">
        <f>$E$2-F155</f>
        <v/>
      </c>
      <c r="H155" s="51" t="n"/>
      <c r="I155" s="51">
        <f>E155-H155</f>
        <v/>
      </c>
      <c r="J155" s="52" t="n"/>
      <c r="K155" s="53" t="n"/>
    </row>
    <row r="156" ht="11.1" customHeight="1" s="243">
      <c r="A156" s="42" t="n"/>
      <c r="B156" s="42" t="n"/>
      <c r="C156" s="42" t="n"/>
      <c r="D156" s="60" t="n">
        <v>32319</v>
      </c>
      <c r="E156" s="57" t="n">
        <v>10000</v>
      </c>
      <c r="F156" s="42" t="n"/>
      <c r="G156" s="42" t="n"/>
      <c r="H156" s="51" t="n"/>
      <c r="I156" s="51" t="n"/>
      <c r="J156" s="52" t="n"/>
      <c r="K156" s="53" t="n"/>
    </row>
    <row r="157" ht="11.1" customHeight="1" s="243">
      <c r="A157" s="42" t="n"/>
      <c r="B157" s="42" t="n"/>
      <c r="C157" s="49" t="inlineStr">
        <is>
          <t>Vidya Book Poin't</t>
        </is>
      </c>
      <c r="D157" s="42" t="n"/>
      <c r="E157" s="50" t="n"/>
      <c r="F157" s="42" t="n"/>
      <c r="G157" s="42" t="n"/>
      <c r="H157" s="51" t="n"/>
      <c r="I157" s="51" t="n"/>
      <c r="J157" s="52" t="n"/>
      <c r="K157" s="53" t="n"/>
      <c r="L157" t="inlineStr">
        <is>
          <t>RINGING NOT RESPONDING | RINGING NOT RESPONDING | NUMBER BUSY | RINGING NOT RESPONDING</t>
        </is>
      </c>
    </row>
    <row r="158" ht="11.1" customHeight="1" s="243">
      <c r="A158" s="54" t="n">
        <v>46099</v>
      </c>
      <c r="B158" s="55" t="inlineStr">
        <is>
          <t>C-SLG/2408/25-26</t>
        </is>
      </c>
      <c r="C158" s="42" t="n"/>
      <c r="D158" s="60" t="n">
        <v>12623</v>
      </c>
      <c r="E158" s="57" t="n">
        <v>12623</v>
      </c>
      <c r="F158" s="58" t="n">
        <v>46124</v>
      </c>
      <c r="G158" s="59">
        <f>$E$2-F158</f>
        <v/>
      </c>
      <c r="H158" s="51" t="n"/>
      <c r="I158" s="51">
        <f>E158-H158</f>
        <v/>
      </c>
      <c r="J158" s="52" t="n"/>
      <c r="K158" s="53" t="n"/>
    </row>
    <row r="159" ht="11.1" customHeight="1" s="243">
      <c r="A159" s="42" t="n"/>
      <c r="B159" s="42" t="n"/>
      <c r="C159" s="42" t="n"/>
      <c r="D159" s="60" t="n">
        <v>12623</v>
      </c>
      <c r="E159" s="57" t="n">
        <v>12623</v>
      </c>
      <c r="F159" s="42" t="n"/>
      <c r="G159" s="42" t="n"/>
      <c r="H159" s="51" t="n"/>
      <c r="I159" s="51" t="n"/>
      <c r="J159" s="55" t="inlineStr">
        <is>
          <t>Sent DSO Today</t>
        </is>
      </c>
      <c r="K159" s="53" t="n"/>
    </row>
    <row r="160" ht="11.1" customHeight="1" s="243">
      <c r="A160" s="42" t="n"/>
      <c r="B160" s="42" t="n"/>
      <c r="C160" s="49" t="inlineStr">
        <is>
          <t>Vidya Book Point(Vijaynagar Colony)</t>
        </is>
      </c>
      <c r="D160" s="42" t="n"/>
      <c r="E160" s="42" t="n"/>
      <c r="F160" s="42" t="n"/>
      <c r="G160" s="42" t="n"/>
      <c r="H160" s="51" t="n"/>
      <c r="I160" s="51" t="n"/>
      <c r="J160" s="52" t="n"/>
      <c r="K160" s="53" t="n"/>
      <c r="L160" t="inlineStr">
        <is>
          <t>RINGING NOT RESPONDING | RINGING NOT RESPONDING | RINGING NOT RESPONDING | HE SAID THAT  HE GIVEN CHEQUE | HE SAID THAT HE WILL GIVE CHEQUE | MONDAY  HE WILL GIVE CHEQUE | NUMBER BUSY</t>
        </is>
      </c>
    </row>
    <row r="161" ht="11.1" customHeight="1" s="243">
      <c r="A161" s="54" t="n">
        <v>46059</v>
      </c>
      <c r="B161" s="55" t="inlineStr">
        <is>
          <t>C-SLG/2187/25-26</t>
        </is>
      </c>
      <c r="C161" s="42" t="n"/>
      <c r="D161" s="60" t="n">
        <v>9634</v>
      </c>
      <c r="E161" s="66" t="n">
        <v>9634</v>
      </c>
      <c r="F161" s="58" t="n">
        <v>46084</v>
      </c>
      <c r="G161" s="59">
        <f>$E$2-F161</f>
        <v/>
      </c>
      <c r="H161" s="51" t="n"/>
      <c r="I161" s="51">
        <f>E161-H161</f>
        <v/>
      </c>
      <c r="J161" s="52" t="inlineStr">
        <is>
          <t>Send DSO with Bills</t>
        </is>
      </c>
      <c r="K161" s="53" t="n"/>
    </row>
    <row r="162" ht="11.1" customHeight="1" s="243">
      <c r="A162" s="54" t="n">
        <v>46088</v>
      </c>
      <c r="B162" s="55" t="inlineStr">
        <is>
          <t>C-SLG/2345/25-26</t>
        </is>
      </c>
      <c r="C162" s="42" t="n"/>
      <c r="D162" s="60" t="n">
        <v>4466</v>
      </c>
      <c r="E162" s="66" t="n">
        <v>4466</v>
      </c>
      <c r="F162" s="58" t="n">
        <v>46113</v>
      </c>
      <c r="G162" s="59">
        <f>$E$2-F162</f>
        <v/>
      </c>
      <c r="H162" s="51" t="n"/>
      <c r="I162" s="51">
        <f>E162-H162</f>
        <v/>
      </c>
      <c r="J162" s="52" t="inlineStr">
        <is>
          <t>Send DSO with Bills</t>
        </is>
      </c>
      <c r="K162" s="53" t="n"/>
    </row>
    <row r="163" ht="11.1" customHeight="1" s="243">
      <c r="A163" s="42" t="n"/>
      <c r="B163" s="42" t="n"/>
      <c r="C163" s="42" t="n"/>
      <c r="D163" s="60" t="n">
        <v>14100</v>
      </c>
      <c r="E163" s="66" t="n">
        <v>14100</v>
      </c>
      <c r="F163" s="42" t="n"/>
      <c r="G163" s="42" t="n"/>
      <c r="H163" s="51" t="n"/>
      <c r="I163" s="51" t="n"/>
      <c r="J163" s="55" t="inlineStr">
        <is>
          <t>Sent DSO Today</t>
        </is>
      </c>
      <c r="K163" s="53" t="n"/>
    </row>
    <row r="164" ht="11.1" customHeight="1" s="243">
      <c r="A164" s="42" t="n"/>
      <c r="B164" s="42" t="n"/>
      <c r="C164" s="49" t="inlineStr">
        <is>
          <t>VIDYA COLLECTION</t>
        </is>
      </c>
      <c r="D164" s="42" t="n"/>
      <c r="E164" s="42" t="n"/>
      <c r="F164" s="42" t="n"/>
      <c r="G164" s="42" t="n"/>
      <c r="H164" s="51" t="n"/>
      <c r="I164" s="51" t="n"/>
      <c r="J164" s="52" t="n"/>
      <c r="K164" s="53" t="n"/>
      <c r="L164" t="inlineStr">
        <is>
          <t>RINGING NOT RESPONDING | NUMBER BUSY | RINGING NOT RESPONDING | RINGING NOT RESPONDING</t>
        </is>
      </c>
    </row>
    <row r="165" ht="11.1" customHeight="1" s="243">
      <c r="A165" s="54" t="n">
        <v>46084</v>
      </c>
      <c r="B165" s="55" t="inlineStr">
        <is>
          <t>C-SLG/2313/25-26</t>
        </is>
      </c>
      <c r="C165" s="42" t="n"/>
      <c r="D165" s="60" t="n">
        <v>6372</v>
      </c>
      <c r="E165" s="66" t="n">
        <v>6372</v>
      </c>
      <c r="F165" s="58" t="n">
        <v>46109</v>
      </c>
      <c r="G165" s="59">
        <f>$E$2-F165</f>
        <v/>
      </c>
      <c r="H165" s="51" t="n"/>
      <c r="I165" s="51">
        <f>E165-H165</f>
        <v/>
      </c>
      <c r="J165" s="52" t="n"/>
      <c r="K165" s="53" t="n"/>
    </row>
    <row r="166" ht="11.1" customHeight="1" s="243">
      <c r="A166" s="42" t="n"/>
      <c r="B166" s="42" t="n"/>
      <c r="C166" s="42" t="n"/>
      <c r="D166" s="60" t="n">
        <v>6372</v>
      </c>
      <c r="E166" s="66" t="n">
        <v>6372</v>
      </c>
      <c r="F166" s="42" t="n"/>
      <c r="G166" s="42" t="n"/>
      <c r="H166" s="51" t="n"/>
      <c r="I166" s="51" t="n"/>
      <c r="J166" s="55" t="inlineStr">
        <is>
          <t>Sent DSO Today</t>
        </is>
      </c>
      <c r="K166" s="53" t="n"/>
    </row>
    <row r="167" ht="11.1" customHeight="1" s="243">
      <c r="A167" s="42" t="n"/>
      <c r="B167" s="42" t="n"/>
      <c r="C167" s="49" t="inlineStr">
        <is>
          <t>Vidya Collection (New)</t>
        </is>
      </c>
      <c r="D167" s="42" t="n"/>
      <c r="E167" s="42" t="n"/>
      <c r="F167" s="42" t="n"/>
      <c r="G167" s="42" t="n"/>
      <c r="H167" s="51" t="n"/>
      <c r="I167" s="51" t="n"/>
      <c r="J167" s="52" t="n"/>
      <c r="K167" s="53" t="n"/>
      <c r="L167" t="inlineStr">
        <is>
          <t>number busy | NUMBER BUSY | NUMBER BUSY | RINGING NOT RESPONDING | NUMBER  NOT CONNETED | RINGING NOT RESPONDING | NUMBER BUSY</t>
        </is>
      </c>
    </row>
    <row r="168" ht="11.1" customHeight="1" s="243">
      <c r="A168" s="54" t="n">
        <v>46070</v>
      </c>
      <c r="B168" s="55" t="inlineStr">
        <is>
          <t>C-SLG/2246/25-26</t>
        </is>
      </c>
      <c r="C168" s="42" t="n"/>
      <c r="D168" s="60" t="n">
        <v>9276</v>
      </c>
      <c r="E168" s="66" t="n">
        <v>9276</v>
      </c>
      <c r="F168" s="58" t="n">
        <v>46095</v>
      </c>
      <c r="G168" s="59">
        <f>$E$2-F168</f>
        <v/>
      </c>
      <c r="H168" s="51" t="n"/>
      <c r="I168" s="51">
        <f>E168-H168</f>
        <v/>
      </c>
      <c r="J168" s="52" t="n"/>
      <c r="K168" s="53" t="n"/>
    </row>
    <row r="169" ht="11.1" customHeight="1" s="243">
      <c r="A169" s="54" t="n">
        <v>46071</v>
      </c>
      <c r="B169" s="55" t="inlineStr">
        <is>
          <t>C-SLG/2254/25-26</t>
        </is>
      </c>
      <c r="C169" s="42" t="n"/>
      <c r="D169" s="60" t="n">
        <v>1274</v>
      </c>
      <c r="E169" s="66" t="n">
        <v>1274</v>
      </c>
      <c r="F169" s="58" t="n">
        <v>46096</v>
      </c>
      <c r="G169" s="59">
        <f>$E$2-F169</f>
        <v/>
      </c>
      <c r="H169" s="51" t="n"/>
      <c r="I169" s="51">
        <f>E169-H169</f>
        <v/>
      </c>
      <c r="J169" s="52" t="n"/>
      <c r="K169" s="53" t="n"/>
    </row>
    <row r="170" ht="11.1" customHeight="1" s="243">
      <c r="A170" s="54" t="n">
        <v>46084</v>
      </c>
      <c r="B170" s="55" t="inlineStr">
        <is>
          <t>C-SLG/2312/25-26</t>
        </is>
      </c>
      <c r="C170" s="42" t="n"/>
      <c r="D170" s="60" t="n">
        <v>6712</v>
      </c>
      <c r="E170" s="66" t="n">
        <v>6712</v>
      </c>
      <c r="F170" s="58" t="n">
        <v>46109</v>
      </c>
      <c r="G170" s="59">
        <f>$E$2-F170</f>
        <v/>
      </c>
      <c r="H170" s="51" t="n"/>
      <c r="I170" s="51">
        <f>E170-H170</f>
        <v/>
      </c>
      <c r="J170" s="52" t="n"/>
      <c r="K170" s="53" t="n"/>
    </row>
    <row r="171" ht="11.1" customHeight="1" s="243">
      <c r="A171" s="42" t="n"/>
      <c r="B171" s="42" t="n"/>
      <c r="C171" s="42" t="n"/>
      <c r="D171" s="60" t="n">
        <v>17262</v>
      </c>
      <c r="E171" s="66" t="n">
        <v>17262</v>
      </c>
      <c r="F171" s="42" t="n"/>
      <c r="G171" s="42" t="n"/>
      <c r="H171" s="51" t="n"/>
      <c r="I171" s="51" t="n"/>
      <c r="J171" s="55" t="inlineStr">
        <is>
          <t>Sent DSO Today</t>
        </is>
      </c>
      <c r="K171" s="53" t="n"/>
    </row>
    <row r="172" ht="11.1" customHeight="1" s="243">
      <c r="A172" s="42" t="n"/>
      <c r="B172" s="42" t="n"/>
      <c r="C172" s="49" t="inlineStr">
        <is>
          <t>VIJAYALAKSHMI ENTERPRISES</t>
        </is>
      </c>
      <c r="D172" s="42" t="n"/>
      <c r="E172" s="42" t="n"/>
      <c r="F172" s="42" t="n"/>
      <c r="G172" s="42" t="n"/>
      <c r="H172" s="51" t="n"/>
      <c r="I172" s="51" t="n"/>
      <c r="J172" s="52" t="n"/>
      <c r="K172" s="53" t="n"/>
    </row>
    <row r="173" ht="11.1" customHeight="1" s="243">
      <c r="A173" s="54" t="n">
        <v>46010</v>
      </c>
      <c r="B173" s="55" t="inlineStr">
        <is>
          <t>Bounce Charges-204</t>
        </is>
      </c>
      <c r="C173" s="42" t="n"/>
      <c r="D173" s="60" t="n">
        <v>500</v>
      </c>
      <c r="E173" s="66" t="n">
        <v>500</v>
      </c>
      <c r="F173" s="58" t="n">
        <v>46010</v>
      </c>
      <c r="G173" s="59">
        <f>$E$2-F173</f>
        <v/>
      </c>
      <c r="H173" s="51" t="n"/>
      <c r="I173" s="51">
        <f>E173-H173</f>
        <v/>
      </c>
      <c r="J173" s="52" t="n"/>
      <c r="K173" s="53" t="n"/>
    </row>
    <row r="174" ht="11.1" customHeight="1" s="243">
      <c r="A174" s="42" t="n"/>
      <c r="B174" s="42" t="n"/>
      <c r="C174" s="42" t="n"/>
      <c r="D174" s="60" t="n">
        <v>500</v>
      </c>
      <c r="E174" s="66" t="n">
        <v>500</v>
      </c>
      <c r="F174" s="42" t="n"/>
      <c r="G174" s="42" t="n"/>
      <c r="H174" s="51" t="n"/>
      <c r="I174" s="51" t="n"/>
      <c r="J174" s="52" t="n"/>
      <c r="K174" s="53" t="n"/>
    </row>
    <row r="175" ht="11.1" customHeight="1" s="243">
      <c r="A175" s="42" t="n"/>
      <c r="B175" s="42" t="n"/>
      <c r="C175" s="49" t="inlineStr">
        <is>
          <t>WITTYSHOP INDIA</t>
        </is>
      </c>
      <c r="D175" s="42" t="n"/>
      <c r="E175" s="42" t="n"/>
      <c r="F175" s="42" t="n"/>
      <c r="G175" s="42" t="n"/>
      <c r="H175" s="51" t="n"/>
      <c r="I175" s="51" t="n"/>
      <c r="J175" s="52" t="n"/>
      <c r="K175" s="53" t="n"/>
      <c r="L175" t="inlineStr">
        <is>
          <t>CHEQUE READY | CHEQUE READY | CHEQUE READY | CHEQUE READY | Paid by Cheque</t>
        </is>
      </c>
    </row>
    <row r="176" ht="11.1" customHeight="1" s="243">
      <c r="A176" s="54" t="n">
        <v>46098</v>
      </c>
      <c r="B176" s="55" t="inlineStr">
        <is>
          <t>C-SLG/2397/25-26</t>
        </is>
      </c>
      <c r="C176" s="42" t="n"/>
      <c r="D176" s="60" t="n">
        <v>15868</v>
      </c>
      <c r="E176" s="66" t="n">
        <v>15868</v>
      </c>
      <c r="F176" s="58" t="n">
        <v>46123</v>
      </c>
      <c r="G176" s="59">
        <f>$E$2-F176</f>
        <v/>
      </c>
      <c r="H176" s="51" t="n"/>
      <c r="I176" s="51" t="n"/>
      <c r="J176" s="52" t="n"/>
      <c r="K176" s="53" t="n"/>
    </row>
    <row r="177" ht="11.1" customHeight="1" s="243">
      <c r="A177" s="42" t="n"/>
      <c r="B177" s="42" t="n"/>
      <c r="C177" s="42" t="n"/>
      <c r="D177" s="60" t="n">
        <v>15868</v>
      </c>
      <c r="E177" s="66" t="n">
        <v>15868</v>
      </c>
      <c r="F177" s="42" t="n"/>
      <c r="G177" s="42" t="n"/>
      <c r="H177" s="51" t="n">
        <v>15868</v>
      </c>
      <c r="I177" s="51">
        <f>E177-H177</f>
        <v/>
      </c>
      <c r="J177" s="52" t="inlineStr">
        <is>
          <t>Paid by Cheque</t>
        </is>
      </c>
      <c r="K177" s="53" t="n"/>
    </row>
    <row r="178" ht="11.1" customHeight="1" s="243">
      <c r="A178" s="42" t="n"/>
      <c r="B178" s="42" t="n"/>
      <c r="C178" s="49" t="inlineStr">
        <is>
          <t>YADA LAXMAIAH BOOK SELLERS &amp; STATIONERY</t>
        </is>
      </c>
      <c r="D178" s="42" t="n"/>
      <c r="E178" s="42" t="n"/>
      <c r="F178" s="42" t="n"/>
      <c r="G178" s="42" t="n"/>
      <c r="H178" s="51" t="n"/>
      <c r="I178" s="51" t="n"/>
      <c r="J178" s="52" t="n"/>
      <c r="K178" s="53" t="n"/>
      <c r="L178" t="inlineStr">
        <is>
          <t>RINGING NOT RESPONDING | RINGING NOT RESPONDING | RINGING NOT RESPONDING | RINGING NOT RESPONDING | MSGIN WATTUP | RINGING NOT RESPONDING | NUMBER BUSY</t>
        </is>
      </c>
    </row>
    <row r="179" ht="11.1" customHeight="1" s="243">
      <c r="A179" s="54" t="n">
        <v>46002</v>
      </c>
      <c r="B179" s="55" t="inlineStr">
        <is>
          <t>C-SLG/1879/25-26</t>
        </is>
      </c>
      <c r="C179" s="42" t="n"/>
      <c r="D179" s="60" t="n">
        <v>5197</v>
      </c>
      <c r="E179" s="66" t="n">
        <v>5197</v>
      </c>
      <c r="F179" s="58" t="n">
        <v>46027</v>
      </c>
      <c r="G179" s="59">
        <f>$E$2-F179</f>
        <v/>
      </c>
      <c r="H179" s="51" t="n"/>
      <c r="I179" s="51">
        <f>E179-H179</f>
        <v/>
      </c>
      <c r="J179" s="52" t="inlineStr">
        <is>
          <t>Number Busy</t>
        </is>
      </c>
      <c r="K179" s="53" t="n"/>
    </row>
    <row r="180" ht="11.1" customHeight="1" s="243">
      <c r="A180" s="42" t="n"/>
      <c r="B180" s="42" t="n"/>
      <c r="C180" s="42" t="n"/>
      <c r="D180" s="60" t="n">
        <v>5197</v>
      </c>
      <c r="E180" s="66" t="n">
        <v>5197</v>
      </c>
      <c r="F180" s="42" t="n"/>
      <c r="G180" s="42" t="n"/>
      <c r="H180" s="51" t="n"/>
      <c r="I180" s="51" t="n"/>
      <c r="J180" s="52" t="n"/>
      <c r="K180" s="53" t="n"/>
    </row>
    <row r="181" ht="11.1" customHeight="1" s="243">
      <c r="C181" t="inlineStr">
        <is>
          <t>CENTRAL WATCH CO.</t>
        </is>
      </c>
    </row>
    <row r="182" ht="11.1" customHeight="1" s="243">
      <c r="A182" t="inlineStr">
        <is>
          <t>2026-05-19</t>
        </is>
      </c>
      <c r="B182" t="inlineStr">
        <is>
          <t>C-SLG/0145/26-27</t>
        </is>
      </c>
      <c r="D182" t="n">
        <v>6940</v>
      </c>
      <c r="E182" t="n">
        <v>6940</v>
      </c>
      <c r="F182" t="inlineStr">
        <is>
          <t>2026-06-13</t>
        </is>
      </c>
    </row>
    <row r="183" ht="11.1" customHeight="1" s="243">
      <c r="C183" t="inlineStr">
        <is>
          <t>Sarita Agencies</t>
        </is>
      </c>
    </row>
    <row r="184" ht="11.1" customHeight="1" s="243">
      <c r="A184" t="inlineStr">
        <is>
          <t>2026-04-29</t>
        </is>
      </c>
      <c r="B184" t="inlineStr">
        <is>
          <t>C-SLG/0078/26-27</t>
        </is>
      </c>
      <c r="D184" t="n">
        <v>1779</v>
      </c>
      <c r="E184" t="n">
        <v>1779</v>
      </c>
      <c r="F184" t="inlineStr">
        <is>
          <t>2026-05-24</t>
        </is>
      </c>
    </row>
    <row r="185" ht="11.1" customHeight="1" s="243">
      <c r="C185" t="inlineStr">
        <is>
          <t>Sharadha Book Point</t>
        </is>
      </c>
    </row>
    <row r="186" ht="11.1" customHeight="1" s="243">
      <c r="A186" t="inlineStr">
        <is>
          <t>2026-04-29</t>
        </is>
      </c>
      <c r="B186" t="inlineStr">
        <is>
          <t>C-SLG/0074/26-27</t>
        </is>
      </c>
      <c r="D186" t="n">
        <v>16319</v>
      </c>
      <c r="E186" t="n">
        <v>16319</v>
      </c>
      <c r="F186" t="inlineStr">
        <is>
          <t>2026-05-24</t>
        </is>
      </c>
    </row>
    <row r="187" ht="11.1" customHeight="1" s="243">
      <c r="C187" t="inlineStr">
        <is>
          <t>SV. AUGUST 15TH</t>
        </is>
      </c>
    </row>
    <row r="188" ht="11.1" customHeight="1" s="243">
      <c r="A188" t="inlineStr">
        <is>
          <t>2026-04-29</t>
        </is>
      </c>
      <c r="B188" t="inlineStr">
        <is>
          <t>C-SLG/0073/26-27</t>
        </is>
      </c>
      <c r="D188" t="n">
        <v>16478</v>
      </c>
      <c r="E188" t="n">
        <v>16478</v>
      </c>
      <c r="F188" t="inlineStr">
        <is>
          <t>2026-05-24</t>
        </is>
      </c>
    </row>
    <row r="189" ht="11.1" customHeight="1" s="243">
      <c r="C189" t="inlineStr">
        <is>
          <t>VENUS WATCH AGENCIES</t>
        </is>
      </c>
    </row>
    <row r="190" ht="11.1" customHeight="1" s="243">
      <c r="A190" t="inlineStr">
        <is>
          <t>2026-05-13</t>
        </is>
      </c>
      <c r="B190" t="inlineStr">
        <is>
          <t>C-SLG/0119/26-27</t>
        </is>
      </c>
      <c r="D190" t="n">
        <v>18690</v>
      </c>
      <c r="E190" t="n">
        <v>18690</v>
      </c>
      <c r="F190" t="inlineStr">
        <is>
          <t>2026-06-07</t>
        </is>
      </c>
    </row>
    <row r="191" ht="11.1" customHeight="1" s="243">
      <c r="A191" t="inlineStr">
        <is>
          <t>2026-05-21</t>
        </is>
      </c>
      <c r="B191" t="inlineStr">
        <is>
          <t>C-SLG/0156/26-27</t>
        </is>
      </c>
      <c r="D191" t="n">
        <v>6641</v>
      </c>
      <c r="E191" t="n">
        <v>6641</v>
      </c>
      <c r="F191" t="inlineStr">
        <is>
          <t>2026-06-15</t>
        </is>
      </c>
    </row>
    <row r="192" ht="11.1" customHeight="1" s="243">
      <c r="A192" t="inlineStr">
        <is>
          <t>2026-05-19</t>
        </is>
      </c>
      <c r="B192" t="inlineStr">
        <is>
          <t>C-SLG/0144/26-27</t>
        </is>
      </c>
      <c r="D192" t="n">
        <v>1270</v>
      </c>
      <c r="E192" t="n">
        <v>1270</v>
      </c>
      <c r="F192" t="inlineStr">
        <is>
          <t>2026-06-13</t>
        </is>
      </c>
    </row>
    <row r="193" ht="11.1" customHeight="1" s="243">
      <c r="A193" t="inlineStr">
        <is>
          <t>2026-05-21</t>
        </is>
      </c>
      <c r="B193" t="inlineStr">
        <is>
          <t>C-SLG/0154/26-27</t>
        </is>
      </c>
      <c r="D193" t="n">
        <v>3176</v>
      </c>
      <c r="E193" t="n">
        <v>3176</v>
      </c>
      <c r="F193" t="inlineStr">
        <is>
          <t>2026-06-15</t>
        </is>
      </c>
    </row>
    <row r="194" ht="11.1" customHeight="1" s="243">
      <c r="A194" t="inlineStr">
        <is>
          <t>2026-05-19</t>
        </is>
      </c>
      <c r="B194" t="inlineStr">
        <is>
          <t>C-SLG/0147/26-27</t>
        </is>
      </c>
      <c r="D194" t="n">
        <v>16274</v>
      </c>
      <c r="E194" t="n">
        <v>16274</v>
      </c>
      <c r="F194" t="inlineStr">
        <is>
          <t>2026-06-13</t>
        </is>
      </c>
      <c r="I194" t="inlineStr">
        <is>
          <t>Cheque Ready</t>
        </is>
      </c>
    </row>
    <row r="195" ht="11.1" customHeight="1" s="243"/>
    <row r="196" ht="11.1" customHeight="1" s="243">
      <c r="B196" t="inlineStr">
        <is>
          <t>Nazeeb</t>
        </is>
      </c>
      <c r="D196" t="n">
        <v>0</v>
      </c>
      <c r="E196" t="n">
        <v>0</v>
      </c>
    </row>
    <row r="197" ht="11.1" customHeight="1" s="243"/>
    <row r="198" ht="11.1" customHeight="1" s="243">
      <c r="B198" t="inlineStr">
        <is>
          <t>Pending Bills</t>
        </is>
      </c>
      <c r="D198" t="n">
        <v>0</v>
      </c>
      <c r="E198" t="n">
        <v>0</v>
      </c>
    </row>
    <row r="199" ht="11.1" customHeight="1" s="243">
      <c r="C199" t="inlineStr">
        <is>
          <t>Lakshmi Bhavani Stationary</t>
        </is>
      </c>
    </row>
    <row r="200" ht="11.1" customHeight="1" s="243">
      <c r="A200" s="109" t="n">
        <v>46141</v>
      </c>
      <c r="B200" t="inlineStr">
        <is>
          <t>C-SLG/0076/26-27</t>
        </is>
      </c>
      <c r="D200" t="n">
        <v>4119</v>
      </c>
      <c r="E200" t="n">
        <v>4119</v>
      </c>
      <c r="F200" s="109" t="n">
        <v>46166</v>
      </c>
    </row>
    <row r="201" ht="11.1" customHeight="1" s="243">
      <c r="C201" t="inlineStr">
        <is>
          <t>POOJA STATIONERY SPORTS &amp; GIFTS</t>
        </is>
      </c>
    </row>
    <row r="202" ht="11.1" customHeight="1" s="243">
      <c r="A202" s="109" t="n">
        <v>46151</v>
      </c>
      <c r="B202" t="inlineStr">
        <is>
          <t>C-SLG/0110/26-27</t>
        </is>
      </c>
      <c r="D202" t="n">
        <v>4427</v>
      </c>
      <c r="E202" t="n">
        <v>4427</v>
      </c>
      <c r="F202" s="109" t="n">
        <v>46176</v>
      </c>
    </row>
    <row r="203" ht="11.1" customHeight="1" s="243">
      <c r="C203" t="inlineStr">
        <is>
          <t>RAJ KUMAR STATIONERY</t>
        </is>
      </c>
    </row>
    <row r="204" ht="11.1" customHeight="1" s="243">
      <c r="A204" s="109" t="n">
        <v>46141</v>
      </c>
      <c r="B204" t="inlineStr">
        <is>
          <t>C-SLG/0075/26-27</t>
        </is>
      </c>
      <c r="D204" t="n">
        <v>1963</v>
      </c>
      <c r="E204" t="n">
        <v>1963</v>
      </c>
      <c r="F204" s="109" t="n">
        <v>46166</v>
      </c>
    </row>
    <row r="205" ht="11.1" customHeight="1" s="243">
      <c r="C205" t="inlineStr">
        <is>
          <t>SM COLLECTIONS(Universal)</t>
        </is>
      </c>
    </row>
    <row r="206" ht="11.1" customHeight="1" s="243">
      <c r="A206" s="109" t="n">
        <v>46142</v>
      </c>
      <c r="B206" t="inlineStr">
        <is>
          <t>C-SLG/0081/26-27</t>
        </is>
      </c>
      <c r="D206" t="n">
        <v>12200</v>
      </c>
      <c r="E206" t="n">
        <v>12200</v>
      </c>
      <c r="F206" s="109" t="n">
        <v>46167</v>
      </c>
    </row>
    <row r="207" ht="11.1" customHeight="1" s="243">
      <c r="A207" s="42" t="n"/>
      <c r="B207" s="42" t="n"/>
      <c r="C207" s="67" t="inlineStr">
        <is>
          <t>TOTAL AMOUNT</t>
        </is>
      </c>
      <c r="D207" s="60" t="n">
        <v>992959</v>
      </c>
      <c r="E207" s="66" t="n">
        <v>726782</v>
      </c>
      <c r="F207" s="42" t="n"/>
      <c r="G207" s="42" t="n"/>
      <c r="H207" s="68">
        <f>SUM(H15:H180)</f>
        <v/>
      </c>
      <c r="I207" s="69">
        <f>SUM(I4:I180)</f>
        <v/>
      </c>
      <c r="J207" s="51" t="n"/>
      <c r="K207" s="53" t="n"/>
    </row>
    <row r="208" ht="11.1" customHeight="1" s="243"/>
  </sheetData>
  <mergeCells count="4">
    <mergeCell ref="B1:C1"/>
    <mergeCell ref="B2:C2"/>
    <mergeCell ref="A3:XFD3"/>
    <mergeCell ref="D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4.4"/>
  <cols>
    <col width="11.6640625" customWidth="1" style="243" min="1" max="1"/>
    <col width="19.33203125" customWidth="1" style="243" min="2" max="2"/>
    <col width="32.6640625" customWidth="1" style="243" min="3" max="3"/>
    <col width="13.44140625" customWidth="1" style="243" min="4" max="4"/>
    <col width="13.109375" customWidth="1" style="243" min="5" max="5"/>
    <col width="10" customWidth="1" style="243" min="6" max="6"/>
    <col width="16.109375" customWidth="1" style="243" min="7" max="7"/>
    <col width="15" customWidth="1" style="243" min="9" max="9"/>
    <col width="19" customWidth="1" style="243" min="10" max="10"/>
  </cols>
  <sheetData>
    <row r="1">
      <c r="A1" s="70" t="inlineStr">
        <is>
          <t>Group:</t>
        </is>
      </c>
      <c r="B1" s="267" t="inlineStr">
        <is>
          <t>Mujahid</t>
        </is>
      </c>
      <c r="C1" s="264" t="n"/>
    </row>
    <row r="2">
      <c r="A2" s="70" t="inlineStr">
        <is>
          <t>Details of:</t>
        </is>
      </c>
      <c r="B2" s="267" t="inlineStr">
        <is>
          <t>Pending Bills</t>
        </is>
      </c>
      <c r="C2" s="264" t="n"/>
      <c r="D2" s="71" t="inlineStr">
        <is>
          <t>Today Date:</t>
        </is>
      </c>
      <c r="E2" s="72">
        <f>TODAY()</f>
        <v/>
      </c>
    </row>
    <row r="3" ht="7.5" customHeight="1" s="243"/>
    <row r="4">
      <c r="A4" s="73" t="inlineStr">
        <is>
          <t>Date</t>
        </is>
      </c>
      <c r="B4" s="74" t="inlineStr">
        <is>
          <t>Ref. No.</t>
        </is>
      </c>
      <c r="C4" s="74" t="inlineStr">
        <is>
          <t>Party's Name</t>
        </is>
      </c>
      <c r="D4" s="75" t="inlineStr">
        <is>
          <t>Opening Amt</t>
        </is>
      </c>
      <c r="E4" s="73" t="inlineStr">
        <is>
          <t>Total Amt</t>
        </is>
      </c>
      <c r="F4" s="74" t="inlineStr">
        <is>
          <t>Due on</t>
        </is>
      </c>
      <c r="G4" s="76" t="inlineStr">
        <is>
          <t>Days Overdue</t>
        </is>
      </c>
      <c r="H4" s="76" t="inlineStr">
        <is>
          <t>Paid Amt</t>
        </is>
      </c>
      <c r="I4" s="76" t="inlineStr">
        <is>
          <t>Pending Amt</t>
        </is>
      </c>
      <c r="J4" s="41" t="inlineStr">
        <is>
          <t>Remark (5/20)</t>
        </is>
      </c>
      <c r="K4" s="107" t="inlineStr">
        <is>
          <t>Last Follow-up Notes</t>
        </is>
      </c>
    </row>
    <row r="5">
      <c r="A5" s="77" t="n"/>
      <c r="B5" s="78" t="n"/>
      <c r="C5" s="77" t="n"/>
      <c r="D5" s="78" t="n"/>
      <c r="E5" s="77" t="n"/>
      <c r="F5" s="78" t="n"/>
      <c r="G5" s="78" t="n"/>
      <c r="H5" s="78" t="n"/>
      <c r="I5" s="78" t="n"/>
      <c r="J5" s="78" t="inlineStr">
        <is>
          <t>Remark (5/20)</t>
        </is>
      </c>
      <c r="K5" t="inlineStr">
        <is>
          <t>Last Follow-up Notes</t>
        </is>
      </c>
    </row>
    <row r="6">
      <c r="A6" s="79" t="n"/>
      <c r="B6" s="80" t="n"/>
      <c r="C6" s="79" t="inlineStr">
        <is>
          <t>BAGARIA AGENCIES</t>
        </is>
      </c>
      <c r="D6" s="80" t="n"/>
      <c r="E6" s="79" t="n"/>
      <c r="F6" s="80" t="n"/>
      <c r="G6" s="80" t="n"/>
      <c r="H6" s="80" t="n"/>
      <c r="I6" s="80" t="n"/>
      <c r="J6" s="80" t="n"/>
    </row>
    <row r="7">
      <c r="A7" s="81" t="n">
        <v>45083</v>
      </c>
      <c r="B7" s="80" t="inlineStr">
        <is>
          <t>Bounce Charges-429</t>
        </is>
      </c>
      <c r="C7" s="79" t="n"/>
      <c r="D7" s="80" t="n">
        <v>500</v>
      </c>
      <c r="E7" s="79" t="n">
        <v>500</v>
      </c>
      <c r="F7" s="82" t="n">
        <v>45083</v>
      </c>
      <c r="G7" s="80">
        <f>$E$2-F7</f>
        <v/>
      </c>
      <c r="H7" s="80" t="n"/>
      <c r="I7" s="80" t="n"/>
      <c r="J7" s="80" t="inlineStr">
        <is>
          <t>Old Issue</t>
        </is>
      </c>
    </row>
    <row r="8">
      <c r="A8" s="81" t="n">
        <v>46087</v>
      </c>
      <c r="B8" s="80" t="inlineStr">
        <is>
          <t>C-SLG/2322/25-26</t>
        </is>
      </c>
      <c r="C8" s="79" t="n"/>
      <c r="D8" s="80" t="n">
        <v>1427</v>
      </c>
      <c r="E8" s="79" t="n">
        <v>1427</v>
      </c>
      <c r="F8" s="82" t="n">
        <v>46112</v>
      </c>
      <c r="G8" s="80">
        <f>$E$2-F8</f>
        <v/>
      </c>
      <c r="H8" s="80" t="n"/>
      <c r="I8" s="80" t="n"/>
      <c r="J8" s="80" t="inlineStr">
        <is>
          <t>Sample Piece to MJ</t>
        </is>
      </c>
    </row>
    <row r="9">
      <c r="A9" s="79" t="n"/>
      <c r="B9" s="80" t="n"/>
      <c r="C9" s="79" t="n"/>
      <c r="D9" s="80" t="n">
        <v>1927</v>
      </c>
      <c r="E9" s="79" t="n">
        <v>1927</v>
      </c>
      <c r="F9" s="80" t="n"/>
      <c r="G9" s="80" t="n"/>
      <c r="H9" s="80" t="n"/>
      <c r="I9" s="80" t="n"/>
      <c r="J9" s="80" t="n"/>
    </row>
    <row r="10">
      <c r="A10" s="79" t="n"/>
      <c r="B10" s="80" t="n"/>
      <c r="C10" s="79" t="inlineStr">
        <is>
          <t>BALAJI ENTERPRISES</t>
        </is>
      </c>
      <c r="D10" s="80" t="n"/>
      <c r="E10" s="79" t="n"/>
      <c r="F10" s="80" t="n"/>
      <c r="G10" s="80" t="n"/>
      <c r="H10" s="80" t="n"/>
      <c r="I10" s="80" t="n"/>
      <c r="J10" s="80" t="n"/>
      <c r="K10" t="inlineStr">
        <is>
          <t>HE WILL PAY  CALL BACK | cheque given</t>
        </is>
      </c>
    </row>
    <row r="11">
      <c r="A11" s="81" t="n">
        <v>45870</v>
      </c>
      <c r="B11" s="80" t="inlineStr">
        <is>
          <t>Bounce Charges-803</t>
        </is>
      </c>
      <c r="C11" s="79" t="n"/>
      <c r="D11" s="80" t="n">
        <v>500</v>
      </c>
      <c r="E11" s="79" t="n">
        <v>400</v>
      </c>
      <c r="F11" s="82" t="n">
        <v>45895</v>
      </c>
      <c r="G11" s="80">
        <f>$E$2-F11</f>
        <v/>
      </c>
      <c r="H11" s="80" t="n"/>
      <c r="I11" s="80" t="n"/>
      <c r="J11" s="80" t="inlineStr">
        <is>
          <t>Customer Paid</t>
        </is>
      </c>
    </row>
    <row r="12">
      <c r="A12" s="81" t="n">
        <v>46119</v>
      </c>
      <c r="B12" s="80" t="inlineStr">
        <is>
          <t>Bounce Charges-168</t>
        </is>
      </c>
      <c r="C12" s="79" t="n"/>
      <c r="D12" s="80" t="n">
        <v>500</v>
      </c>
      <c r="E12" s="79" t="n">
        <v>500</v>
      </c>
      <c r="F12" s="82" t="n">
        <v>46144</v>
      </c>
      <c r="G12" s="80">
        <f>$E$2-F12</f>
        <v/>
      </c>
      <c r="H12" s="80" t="n"/>
      <c r="I12" s="80" t="n"/>
      <c r="J12" s="80" t="inlineStr">
        <is>
          <t>Customer Paid</t>
        </is>
      </c>
    </row>
    <row r="13">
      <c r="A13" s="81" t="n">
        <v>46156</v>
      </c>
      <c r="B13" s="80" t="inlineStr">
        <is>
          <t>C-SLG/0127/26-27</t>
        </is>
      </c>
      <c r="C13" s="79" t="n"/>
      <c r="D13" s="80" t="n">
        <v>28600</v>
      </c>
      <c r="E13" s="79" t="n">
        <v>28600</v>
      </c>
      <c r="F13" s="82" t="n">
        <v>46181</v>
      </c>
      <c r="G13" s="80" t="n"/>
      <c r="H13" s="80" t="n"/>
      <c r="I13" s="80" t="n"/>
      <c r="J13" s="80" t="n"/>
    </row>
    <row r="14">
      <c r="A14" s="79" t="n"/>
      <c r="B14" s="80" t="n"/>
      <c r="C14" s="79" t="n"/>
      <c r="D14" s="80" t="n">
        <v>29600</v>
      </c>
      <c r="E14" s="79" t="n">
        <v>29500</v>
      </c>
      <c r="F14" s="80" t="n"/>
      <c r="G14" s="80" t="n"/>
      <c r="H14" s="80" t="n"/>
      <c r="I14" s="80" t="n"/>
      <c r="J14" s="80" t="n"/>
    </row>
    <row r="15">
      <c r="A15" s="79" t="n"/>
      <c r="B15" s="80" t="n"/>
      <c r="C15" s="79" t="inlineStr">
        <is>
          <t>BANNU ENTERPRISES</t>
        </is>
      </c>
      <c r="D15" s="80" t="n"/>
      <c r="E15" s="79" t="n"/>
      <c r="F15" s="80" t="n"/>
      <c r="G15" s="80" t="n"/>
      <c r="H15" s="80" t="n"/>
      <c r="I15" s="80" t="n"/>
      <c r="J15" s="80" t="n"/>
      <c r="K15" t="inlineStr">
        <is>
          <t>HE WILL PAY IN 2 DAYS | paid 20000 remaing he will pay</t>
        </is>
      </c>
    </row>
    <row r="16">
      <c r="A16" s="81" t="n">
        <v>46107</v>
      </c>
      <c r="B16" s="80" t="inlineStr">
        <is>
          <t>C-SLG/2438/25-26</t>
        </is>
      </c>
      <c r="C16" s="79" t="n"/>
      <c r="D16" s="80" t="n">
        <v>67462</v>
      </c>
      <c r="E16" s="79" t="n">
        <v>67462</v>
      </c>
      <c r="F16" s="82" t="n">
        <v>46107</v>
      </c>
      <c r="G16" s="80">
        <f>$E$2-F16</f>
        <v/>
      </c>
      <c r="H16" s="80" t="n"/>
      <c r="I16" s="80" t="n"/>
      <c r="J16" s="80" t="inlineStr">
        <is>
          <t>DSO will Collect</t>
        </is>
      </c>
    </row>
    <row r="17">
      <c r="A17" s="79" t="n"/>
      <c r="B17" s="80" t="n"/>
      <c r="C17" s="79" t="n"/>
      <c r="D17" s="80" t="n">
        <v>67462</v>
      </c>
      <c r="E17" s="79" t="n">
        <v>67462</v>
      </c>
      <c r="F17" s="80" t="n"/>
      <c r="G17" s="80" t="n"/>
      <c r="H17" s="80">
        <f>20000</f>
        <v/>
      </c>
      <c r="I17" s="80">
        <f>E17-H17</f>
        <v/>
      </c>
      <c r="J17" s="80" t="n"/>
    </row>
    <row r="18">
      <c r="A18" s="79" t="n"/>
      <c r="B18" s="80" t="n"/>
      <c r="C18" s="79" t="inlineStr">
        <is>
          <t>DHANLAKSHMI ENTERPRISES</t>
        </is>
      </c>
      <c r="D18" s="80" t="n"/>
      <c r="E18" s="79" t="n"/>
      <c r="F18" s="80" t="n"/>
      <c r="G18" s="80" t="n"/>
      <c r="H18" s="80" t="n"/>
      <c r="I18" s="80" t="n"/>
      <c r="J18" s="80" t="n"/>
      <c r="K18" t="inlineStr">
        <is>
          <t>RINGING NOT RESPONDING | RINGING NOT RESPONDING | RINGING NOT RESPONDING | CHEQUE  GIVEN | PAID</t>
        </is>
      </c>
    </row>
    <row r="19">
      <c r="A19" s="81" t="n">
        <v>46087</v>
      </c>
      <c r="B19" s="80" t="inlineStr">
        <is>
          <t>Bounce Charges-2567</t>
        </is>
      </c>
      <c r="C19" s="79" t="n"/>
      <c r="D19" s="80" t="n">
        <v>500</v>
      </c>
      <c r="E19" s="79" t="n">
        <v>500</v>
      </c>
      <c r="F19" s="82" t="n">
        <v>46112</v>
      </c>
      <c r="G19" s="80">
        <f>$E$2-F19</f>
        <v/>
      </c>
      <c r="H19" s="80" t="n"/>
      <c r="I19" s="80" t="n"/>
      <c r="J19" s="80" t="inlineStr">
        <is>
          <t>Number Busy</t>
        </is>
      </c>
    </row>
    <row r="20">
      <c r="A20" s="79" t="n"/>
      <c r="B20" s="80" t="n"/>
      <c r="C20" s="79" t="n"/>
      <c r="D20" s="80" t="n">
        <v>500</v>
      </c>
      <c r="E20" s="79" t="n">
        <v>500</v>
      </c>
      <c r="F20" s="80" t="n"/>
      <c r="G20" s="80" t="n"/>
      <c r="H20" s="80" t="n"/>
      <c r="I20" s="80" t="n"/>
      <c r="J20" s="80" t="n"/>
    </row>
    <row r="21">
      <c r="A21" s="79" t="n"/>
      <c r="B21" s="80" t="n"/>
      <c r="C21" s="83" t="inlineStr">
        <is>
          <t>Dynamic Computer &amp; Stationery</t>
        </is>
      </c>
      <c r="D21" s="80" t="n"/>
      <c r="E21" s="79" t="n"/>
      <c r="F21" s="80" t="n"/>
      <c r="G21" s="80" t="n"/>
      <c r="H21" s="80" t="n"/>
      <c r="I21" s="80" t="n"/>
      <c r="J21" s="80" t="n"/>
      <c r="K21" t="inlineStr">
        <is>
          <t>NUMBER  BUSY | NUMBER  BUSY | NUMBER  BUSY | NUMBER  BUSY</t>
        </is>
      </c>
    </row>
    <row r="22">
      <c r="A22" s="81" t="n">
        <v>46008</v>
      </c>
      <c r="B22" s="80" t="inlineStr">
        <is>
          <t>C-SLG/1915/25-26</t>
        </is>
      </c>
      <c r="C22" s="79" t="n"/>
      <c r="D22" s="80" t="n">
        <v>132634</v>
      </c>
      <c r="E22" s="79" t="n">
        <v>101670</v>
      </c>
      <c r="F22" s="82" t="n">
        <v>46033</v>
      </c>
      <c r="G22" s="80">
        <f>$E$2-F22</f>
        <v/>
      </c>
      <c r="H22" s="80" t="n"/>
      <c r="I22" s="80" t="n"/>
      <c r="J22" s="80" t="inlineStr">
        <is>
          <t>DSO will Collect</t>
        </is>
      </c>
    </row>
    <row r="23">
      <c r="A23" s="81" t="n">
        <v>46009</v>
      </c>
      <c r="B23" s="80" t="inlineStr">
        <is>
          <t>C-SLG/1933/25-26</t>
        </is>
      </c>
      <c r="C23" s="79" t="n"/>
      <c r="D23" s="80" t="n">
        <v>45784</v>
      </c>
      <c r="E23" s="79" t="n">
        <v>45784</v>
      </c>
      <c r="F23" s="82" t="n">
        <v>46034</v>
      </c>
      <c r="G23" s="80">
        <f>$E$2-F23</f>
        <v/>
      </c>
      <c r="H23" s="80" t="n"/>
      <c r="I23" s="80" t="n"/>
      <c r="J23" s="80" t="inlineStr">
        <is>
          <t>DSO will Collect</t>
        </is>
      </c>
    </row>
    <row r="24">
      <c r="A24" s="81" t="n">
        <v>46011</v>
      </c>
      <c r="B24" s="80" t="inlineStr">
        <is>
          <t>C-SLG/1938/25-26</t>
        </is>
      </c>
      <c r="C24" s="79" t="n"/>
      <c r="D24" s="80" t="n">
        <v>217599</v>
      </c>
      <c r="E24" s="79" t="n">
        <v>217599</v>
      </c>
      <c r="F24" s="82" t="n">
        <v>46036</v>
      </c>
      <c r="G24" s="80">
        <f>$E$2-F24</f>
        <v/>
      </c>
      <c r="H24" s="80" t="n"/>
      <c r="I24" s="80" t="n"/>
      <c r="J24" s="80" t="inlineStr">
        <is>
          <t>DSO will Collect</t>
        </is>
      </c>
    </row>
    <row r="25">
      <c r="A25" s="81" t="n">
        <v>46094</v>
      </c>
      <c r="B25" s="80" t="inlineStr">
        <is>
          <t>C-SLG/2380/25-26</t>
        </is>
      </c>
      <c r="C25" s="79" t="n"/>
      <c r="D25" s="80" t="n">
        <v>134125</v>
      </c>
      <c r="E25" s="79" t="n">
        <v>134125</v>
      </c>
      <c r="F25" s="82" t="n">
        <v>46119</v>
      </c>
      <c r="G25" s="80">
        <f>$E$2-F25</f>
        <v/>
      </c>
      <c r="H25" s="80" t="n"/>
      <c r="I25" s="80" t="n"/>
      <c r="J25" s="80" t="inlineStr">
        <is>
          <t>DSO will Collect</t>
        </is>
      </c>
    </row>
    <row r="26">
      <c r="A26" s="81" t="n">
        <v>46108</v>
      </c>
      <c r="B26" s="80" t="inlineStr">
        <is>
          <t>C-SLG/2461/25-26</t>
        </is>
      </c>
      <c r="C26" s="79" t="n"/>
      <c r="D26" s="80" t="n">
        <v>97809</v>
      </c>
      <c r="E26" s="79" t="n">
        <v>97809</v>
      </c>
      <c r="F26" s="82" t="n">
        <v>46133</v>
      </c>
      <c r="G26" s="80">
        <f>$E$2-F26</f>
        <v/>
      </c>
      <c r="H26" s="80" t="n"/>
      <c r="I26" s="80" t="n"/>
      <c r="J26" s="80" t="inlineStr">
        <is>
          <t>DSO will Collect</t>
        </is>
      </c>
    </row>
    <row r="27">
      <c r="A27" s="81" t="n">
        <v>46127</v>
      </c>
      <c r="B27" s="80" t="inlineStr">
        <is>
          <t>C-SLG/0042/26-27</t>
        </is>
      </c>
      <c r="C27" s="79" t="n"/>
      <c r="D27" s="80" t="n">
        <v>47335</v>
      </c>
      <c r="E27" s="79" t="n">
        <v>47335</v>
      </c>
      <c r="F27" s="82" t="n">
        <v>46152</v>
      </c>
      <c r="G27" s="80">
        <f>$E$2-F27</f>
        <v/>
      </c>
      <c r="H27" s="80" t="n"/>
      <c r="I27" s="80" t="n"/>
      <c r="J27" s="80" t="inlineStr">
        <is>
          <t>DSO will Collect</t>
        </is>
      </c>
    </row>
    <row r="28">
      <c r="A28" s="81" t="n">
        <v>46156</v>
      </c>
      <c r="B28" s="80" t="inlineStr">
        <is>
          <t>C-SLG/0121/26-27</t>
        </is>
      </c>
      <c r="C28" s="79" t="n"/>
      <c r="D28" s="80" t="n">
        <v>112417</v>
      </c>
      <c r="E28" s="79" t="n">
        <v>112417</v>
      </c>
      <c r="F28" s="82" t="n">
        <v>46181</v>
      </c>
      <c r="G28" s="80" t="n"/>
      <c r="H28" s="80" t="n"/>
      <c r="I28" s="80" t="n"/>
      <c r="J28" s="80" t="n"/>
    </row>
    <row r="29">
      <c r="A29" s="81" t="n">
        <v>46156</v>
      </c>
      <c r="B29" s="80" t="inlineStr">
        <is>
          <t>C-SLG/0134/26-27</t>
        </is>
      </c>
      <c r="C29" s="79" t="n"/>
      <c r="D29" s="80" t="n">
        <v>3614</v>
      </c>
      <c r="E29" s="79" t="n">
        <v>3614</v>
      </c>
      <c r="F29" s="82" t="n">
        <v>46181</v>
      </c>
      <c r="G29" s="80" t="n"/>
      <c r="H29" s="80" t="n"/>
      <c r="I29" s="80" t="n"/>
      <c r="J29" s="80" t="n"/>
    </row>
    <row r="30">
      <c r="A30" s="79" t="n"/>
      <c r="B30" s="80" t="n"/>
      <c r="C30" s="79" t="n"/>
      <c r="D30" s="80" t="n">
        <v>791317</v>
      </c>
      <c r="E30" s="79" t="n">
        <v>760353</v>
      </c>
      <c r="F30" s="80" t="n"/>
      <c r="G30" s="80" t="n"/>
      <c r="H30" s="80" t="n"/>
      <c r="I30" s="80" t="n"/>
      <c r="J30" s="80" t="n"/>
    </row>
    <row r="31">
      <c r="A31" s="79" t="n"/>
      <c r="B31" s="80" t="n"/>
      <c r="C31" s="79" t="inlineStr">
        <is>
          <t>K D M MARKETING</t>
        </is>
      </c>
      <c r="D31" s="80" t="n"/>
      <c r="E31" s="79" t="n"/>
      <c r="F31" s="80" t="n"/>
      <c r="G31" s="80" t="n"/>
      <c r="H31" s="80" t="n"/>
      <c r="I31" s="80" t="n"/>
      <c r="J31" s="80" t="n"/>
      <c r="K31" t="inlineStr">
        <is>
          <t>HE SAID THAT  SEND  THE  LEDGER | share the satement | HE WILL PAY TODAY | RINGING NOT RESPONDING | hewill pay today</t>
        </is>
      </c>
    </row>
    <row r="32">
      <c r="A32" s="81" t="n">
        <v>45988</v>
      </c>
      <c r="B32" s="80" t="inlineStr">
        <is>
          <t>C-SLG/1781/25-26</t>
        </is>
      </c>
      <c r="C32" s="79" t="n"/>
      <c r="D32" s="80" t="n">
        <v>107348</v>
      </c>
      <c r="E32" s="79" t="n">
        <v>107348</v>
      </c>
      <c r="F32" s="82" t="n">
        <v>46013</v>
      </c>
      <c r="G32" s="80">
        <f>$E$2-F32</f>
        <v/>
      </c>
      <c r="H32" s="80" t="n"/>
      <c r="I32" s="80" t="n"/>
      <c r="J32" s="80" t="inlineStr">
        <is>
          <t>Number Busy</t>
        </is>
      </c>
    </row>
    <row r="33">
      <c r="A33" s="81" t="n">
        <v>46123</v>
      </c>
      <c r="B33" s="80" t="inlineStr">
        <is>
          <t>C-SLG/0030/26-27</t>
        </is>
      </c>
      <c r="C33" s="79" t="n"/>
      <c r="D33" s="80" t="n">
        <v>94833</v>
      </c>
      <c r="E33" s="79" t="n">
        <v>94833</v>
      </c>
      <c r="F33" s="82" t="n">
        <v>46148</v>
      </c>
      <c r="G33" s="80">
        <f>$E$2-F33</f>
        <v/>
      </c>
      <c r="H33" s="80" t="n"/>
      <c r="I33" s="80" t="n"/>
      <c r="J33" s="80" t="inlineStr">
        <is>
          <t>Number Busy</t>
        </is>
      </c>
    </row>
    <row r="34">
      <c r="A34" s="79" t="n"/>
      <c r="B34" s="80" t="n"/>
      <c r="C34" s="79" t="n"/>
      <c r="D34" s="80" t="n">
        <v>202181</v>
      </c>
      <c r="E34" s="79" t="n">
        <v>202181</v>
      </c>
      <c r="F34" s="80" t="n"/>
      <c r="G34" s="80" t="n"/>
      <c r="H34" s="80" t="n"/>
      <c r="I34" s="80" t="n"/>
      <c r="J34" s="80" t="n"/>
    </row>
    <row r="35">
      <c r="A35" s="79" t="n"/>
      <c r="B35" s="80" t="n"/>
      <c r="C35" s="79" t="inlineStr">
        <is>
          <t>Mahadev Stationers</t>
        </is>
      </c>
      <c r="D35" s="80" t="n"/>
      <c r="E35" s="79" t="n"/>
      <c r="F35" s="80" t="n"/>
      <c r="G35" s="80" t="n"/>
      <c r="H35" s="80" t="n"/>
      <c r="I35" s="80" t="n"/>
      <c r="J35" s="80" t="n"/>
      <c r="K35" t="inlineStr">
        <is>
          <t>TOMMROW HE WILL PAY | waiting for cheque book | DSO TODAY VISIT | CHEQUE GIVEN</t>
        </is>
      </c>
    </row>
    <row r="36">
      <c r="A36" s="81" t="n">
        <v>46112</v>
      </c>
      <c r="B36" s="80" t="inlineStr">
        <is>
          <t>C-SLG/2490/25-26</t>
        </is>
      </c>
      <c r="C36" s="79" t="n"/>
      <c r="D36" s="80" t="n">
        <v>146950</v>
      </c>
      <c r="E36" s="79" t="n">
        <v>146950</v>
      </c>
      <c r="F36" s="82" t="n">
        <v>46137</v>
      </c>
      <c r="G36" s="80">
        <f>$E$2-F36</f>
        <v/>
      </c>
      <c r="H36" s="80" t="n">
        <v>146950</v>
      </c>
      <c r="I36" s="80">
        <f>E36-H36</f>
        <v/>
      </c>
      <c r="J36" s="80" t="inlineStr">
        <is>
          <t>Paid Cheque - Full Amt</t>
        </is>
      </c>
    </row>
    <row r="37">
      <c r="A37" s="79" t="n"/>
      <c r="B37" s="80" t="n"/>
      <c r="C37" s="79" t="n"/>
      <c r="D37" s="80" t="n">
        <v>146950</v>
      </c>
      <c r="E37" s="79" t="n">
        <v>146950</v>
      </c>
      <c r="F37" s="80" t="n"/>
      <c r="G37" s="80" t="n"/>
      <c r="H37" s="80" t="n">
        <v>146950</v>
      </c>
      <c r="I37" s="80">
        <f>E37-H37</f>
        <v/>
      </c>
      <c r="J37" s="80" t="n"/>
    </row>
    <row r="38">
      <c r="A38" s="79" t="n"/>
      <c r="B38" s="80" t="n"/>
      <c r="C38" s="79" t="inlineStr">
        <is>
          <t>Nandi Arts Stationery</t>
        </is>
      </c>
      <c r="D38" s="80" t="n"/>
      <c r="E38" s="79" t="n"/>
      <c r="F38" s="80" t="n"/>
      <c r="G38" s="80" t="n"/>
      <c r="H38" s="80" t="n"/>
      <c r="I38" s="80" t="n"/>
      <c r="J38" s="80" t="n"/>
      <c r="K38" t="inlineStr">
        <is>
          <t>RINGING NOT RESPONDING</t>
        </is>
      </c>
    </row>
    <row r="39">
      <c r="A39" s="81" t="n">
        <v>46133</v>
      </c>
      <c r="B39" s="80" t="inlineStr">
        <is>
          <t>C-SLG/0057/26-27</t>
        </is>
      </c>
      <c r="C39" s="79" t="n"/>
      <c r="D39" s="80" t="n">
        <v>120696</v>
      </c>
      <c r="E39" s="79" t="n">
        <v>120696</v>
      </c>
      <c r="F39" s="82" t="n">
        <v>46158</v>
      </c>
      <c r="G39" s="80">
        <f>$E$2-F39</f>
        <v/>
      </c>
      <c r="H39" s="80" t="n"/>
      <c r="I39" s="80" t="n"/>
      <c r="J39" s="80" t="n"/>
    </row>
    <row r="40">
      <c r="A40" s="81" t="n">
        <v>46139</v>
      </c>
      <c r="B40" s="80" t="inlineStr">
        <is>
          <t>C-SLG/0072/26-27</t>
        </is>
      </c>
      <c r="C40" s="79" t="n"/>
      <c r="D40" s="80" t="n">
        <v>25410</v>
      </c>
      <c r="E40" s="79" t="n">
        <v>25410</v>
      </c>
      <c r="F40" s="82" t="n">
        <v>46164</v>
      </c>
      <c r="G40" s="80" t="n"/>
      <c r="H40" s="80" t="n"/>
      <c r="I40" s="80" t="n"/>
      <c r="J40" s="80" t="n"/>
    </row>
    <row r="41">
      <c r="A41" s="79" t="n"/>
      <c r="B41" s="80" t="n"/>
      <c r="C41" s="79" t="n"/>
      <c r="D41" s="80" t="n">
        <v>146106</v>
      </c>
      <c r="E41" s="79" t="n">
        <v>146106</v>
      </c>
      <c r="F41" s="80" t="n"/>
      <c r="G41" s="80" t="n"/>
      <c r="H41" s="80" t="n"/>
      <c r="I41" s="80" t="n"/>
      <c r="J41" s="80" t="n"/>
    </row>
    <row r="42">
      <c r="A42" s="79" t="n"/>
      <c r="B42" s="80" t="n"/>
      <c r="C42" s="79" t="inlineStr">
        <is>
          <t>Narender Stationary</t>
        </is>
      </c>
      <c r="D42" s="80" t="n"/>
      <c r="E42" s="79" t="n"/>
      <c r="F42" s="80" t="n"/>
      <c r="G42" s="80" t="n"/>
      <c r="H42" s="80" t="n"/>
      <c r="I42" s="80" t="n"/>
      <c r="J42" s="80" t="n"/>
    </row>
    <row r="43">
      <c r="A43" s="81" t="n">
        <v>46104</v>
      </c>
      <c r="B43" s="80" t="inlineStr">
        <is>
          <t>C-SLG/2418/25-26</t>
        </is>
      </c>
      <c r="C43" s="79" t="n"/>
      <c r="D43" s="80" t="n">
        <v>1329</v>
      </c>
      <c r="E43" s="79" t="n">
        <v>1329</v>
      </c>
      <c r="F43" s="82" t="n">
        <v>46129</v>
      </c>
      <c r="G43" s="80">
        <f>$E$2-F43</f>
        <v/>
      </c>
      <c r="H43" s="80" t="n"/>
      <c r="I43" s="80" t="n"/>
      <c r="J43" s="80" t="inlineStr">
        <is>
          <t>Sample Piece Issue</t>
        </is>
      </c>
    </row>
    <row r="44">
      <c r="A44" s="79" t="n"/>
      <c r="B44" s="80" t="n"/>
      <c r="C44" s="79" t="n"/>
      <c r="D44" s="80" t="n">
        <v>1329</v>
      </c>
      <c r="E44" s="79" t="n">
        <v>1329</v>
      </c>
      <c r="F44" s="80" t="n"/>
      <c r="G44" s="80" t="n"/>
      <c r="H44" s="80" t="n"/>
      <c r="I44" s="80" t="n"/>
      <c r="J44" s="80" t="n"/>
    </row>
    <row r="45">
      <c r="A45" s="79" t="n"/>
      <c r="B45" s="80" t="n"/>
      <c r="C45" s="79" t="inlineStr">
        <is>
          <t>N. PRIYA STATIONARY</t>
        </is>
      </c>
      <c r="D45" s="80" t="n"/>
      <c r="E45" s="79" t="n"/>
      <c r="F45" s="80" t="n"/>
      <c r="G45" s="80" t="n"/>
      <c r="H45" s="80" t="n"/>
      <c r="I45" s="80" t="n"/>
      <c r="J45" s="80" t="n"/>
      <c r="K45" t="inlineStr">
        <is>
          <t>HEWILL PAY SEND PERSON | HE SAID THAT  SATURDAY HEWILL CHEQUE | MONDAY WILL PAY | RINGING NOT RESPONDING</t>
        </is>
      </c>
    </row>
    <row r="46">
      <c r="A46" s="81" t="n">
        <v>46136</v>
      </c>
      <c r="B46" s="80" t="inlineStr">
        <is>
          <t>C-SLG/0068/26-27</t>
        </is>
      </c>
      <c r="C46" s="79" t="n"/>
      <c r="D46" s="80" t="n">
        <v>135197</v>
      </c>
      <c r="E46" s="79" t="n">
        <v>135197</v>
      </c>
      <c r="F46" s="82" t="n">
        <v>46161</v>
      </c>
      <c r="G46" s="80">
        <f>$E$2-F46</f>
        <v/>
      </c>
      <c r="H46" s="80" t="n"/>
      <c r="I46" s="80" t="n"/>
      <c r="J46" s="80" t="n"/>
    </row>
    <row r="47">
      <c r="A47" s="79" t="n"/>
      <c r="B47" s="80" t="n"/>
      <c r="C47" s="79" t="n"/>
      <c r="D47" s="80" t="n">
        <v>135197</v>
      </c>
      <c r="E47" s="79" t="n">
        <v>135197</v>
      </c>
      <c r="F47" s="80" t="n"/>
      <c r="G47" s="80" t="n"/>
      <c r="H47" s="80" t="n"/>
      <c r="I47" s="80" t="n"/>
      <c r="J47" s="80" t="n"/>
    </row>
    <row r="48">
      <c r="A48" s="79" t="n"/>
      <c r="B48" s="80" t="n"/>
      <c r="C48" s="79" t="inlineStr">
        <is>
          <t>PAVAN STATIONERY MART</t>
        </is>
      </c>
      <c r="D48" s="80" t="n"/>
      <c r="E48" s="79" t="n"/>
      <c r="F48" s="80" t="n"/>
      <c r="G48" s="80" t="n"/>
      <c r="H48" s="80" t="n"/>
      <c r="I48" s="80" t="n"/>
      <c r="J48" s="80" t="n"/>
    </row>
    <row r="49">
      <c r="A49" s="81" t="n">
        <v>46104</v>
      </c>
      <c r="B49" s="80" t="inlineStr">
        <is>
          <t>C-SLG/2417/25-26</t>
        </is>
      </c>
      <c r="C49" s="79" t="n"/>
      <c r="D49" s="80" t="n">
        <v>1329</v>
      </c>
      <c r="E49" s="79" t="n">
        <v>1329</v>
      </c>
      <c r="F49" s="82" t="n">
        <v>46129</v>
      </c>
      <c r="G49" s="80">
        <f>$E$2-F49</f>
        <v/>
      </c>
      <c r="H49" s="80" t="n"/>
      <c r="I49" s="80" t="n"/>
      <c r="J49" s="80" t="inlineStr">
        <is>
          <t>Sample Piece Issue</t>
        </is>
      </c>
    </row>
    <row r="50">
      <c r="A50" s="79" t="n"/>
      <c r="B50" s="80" t="n"/>
      <c r="C50" s="79" t="n"/>
      <c r="D50" s="80" t="n">
        <v>1329</v>
      </c>
      <c r="E50" s="79" t="n">
        <v>1329</v>
      </c>
      <c r="F50" s="80" t="n"/>
      <c r="G50" s="80" t="n"/>
      <c r="H50" s="80" t="n"/>
      <c r="I50" s="80" t="n"/>
      <c r="J50" s="80" t="n"/>
    </row>
    <row r="51">
      <c r="A51" s="79" t="n"/>
      <c r="B51" s="80" t="n"/>
      <c r="C51" s="79" t="inlineStr">
        <is>
          <t>RAHUL STATIONERS</t>
        </is>
      </c>
      <c r="D51" s="80" t="n"/>
      <c r="E51" s="79" t="n"/>
      <c r="F51" s="80" t="n"/>
      <c r="G51" s="80" t="n"/>
      <c r="H51" s="80" t="n"/>
      <c r="I51" s="80" t="n"/>
      <c r="J51" s="80" t="n"/>
    </row>
    <row r="52">
      <c r="A52" s="81" t="n">
        <v>46087</v>
      </c>
      <c r="B52" s="80" t="inlineStr">
        <is>
          <t>C-SLG/2325/25-26</t>
        </is>
      </c>
      <c r="C52" s="79" t="n"/>
      <c r="D52" s="80" t="n">
        <v>1427</v>
      </c>
      <c r="E52" s="79" t="n">
        <v>1427</v>
      </c>
      <c r="F52" s="82" t="n">
        <v>46112</v>
      </c>
      <c r="G52" s="80">
        <f>$E$2-F52</f>
        <v/>
      </c>
      <c r="H52" s="80" t="n"/>
      <c r="I52" s="80" t="n"/>
      <c r="J52" s="80" t="inlineStr">
        <is>
          <t>Sample Piece Issue</t>
        </is>
      </c>
    </row>
    <row r="53">
      <c r="A53" s="79" t="n"/>
      <c r="B53" s="80" t="n"/>
      <c r="C53" s="79" t="n"/>
      <c r="D53" s="80" t="n">
        <v>1427</v>
      </c>
      <c r="E53" s="79" t="n">
        <v>1427</v>
      </c>
      <c r="F53" s="80" t="n"/>
      <c r="G53" s="80" t="n"/>
      <c r="H53" s="80" t="n"/>
      <c r="I53" s="80" t="n"/>
      <c r="J53" s="80" t="n"/>
    </row>
    <row r="54">
      <c r="A54" s="79" t="n"/>
      <c r="B54" s="80" t="n"/>
      <c r="C54" s="79" t="inlineStr">
        <is>
          <t>RAJKAMAL AGENCIES</t>
        </is>
      </c>
      <c r="D54" s="80" t="n"/>
      <c r="E54" s="79" t="n"/>
      <c r="F54" s="80" t="n"/>
      <c r="G54" s="80" t="n"/>
      <c r="H54" s="80" t="n"/>
      <c r="I54" s="80" t="n"/>
      <c r="J54" s="80" t="n"/>
      <c r="K54" t="inlineStr">
        <is>
          <t>HE WILL GIVE TODAY CHEQUE | RINGING NOT RESPONDING | HE WILL PAY TOMMROW | GIVEN CHEQUE</t>
        </is>
      </c>
    </row>
    <row r="55">
      <c r="A55" s="81" t="n">
        <v>46098</v>
      </c>
      <c r="B55" s="80" t="inlineStr">
        <is>
          <t>C-SLG/2395/25-26</t>
        </is>
      </c>
      <c r="C55" s="79" t="n"/>
      <c r="D55" s="80" t="n">
        <v>75814</v>
      </c>
      <c r="E55" s="79" t="n">
        <v>75814</v>
      </c>
      <c r="F55" s="82" t="n">
        <v>46123</v>
      </c>
      <c r="G55" s="80">
        <f>$E$2-F55</f>
        <v/>
      </c>
      <c r="H55" s="80" t="n"/>
      <c r="I55" s="80" t="n"/>
      <c r="J55" s="80" t="inlineStr">
        <is>
          <t>Send DSO on Monday for Cheque Collection</t>
        </is>
      </c>
    </row>
    <row r="56">
      <c r="A56" s="81" t="n">
        <v>46112</v>
      </c>
      <c r="B56" s="80" t="inlineStr">
        <is>
          <t>Bounce Charges-2661</t>
        </is>
      </c>
      <c r="C56" s="79" t="n"/>
      <c r="D56" s="80" t="n">
        <v>500</v>
      </c>
      <c r="E56" s="79" t="n">
        <v>500</v>
      </c>
      <c r="F56" s="82" t="n">
        <v>46137</v>
      </c>
      <c r="G56" s="80">
        <f>$E$2-F56</f>
        <v/>
      </c>
      <c r="H56" s="80" t="n"/>
      <c r="I56" s="80" t="n"/>
      <c r="J56" s="80" t="n"/>
    </row>
    <row r="57">
      <c r="A57" s="81" t="n">
        <v>46151</v>
      </c>
      <c r="B57" s="80" t="inlineStr">
        <is>
          <t>C-SLG/0107/26-27</t>
        </is>
      </c>
      <c r="C57" s="79" t="n"/>
      <c r="D57" s="80" t="n">
        <v>57397</v>
      </c>
      <c r="E57" s="79" t="n">
        <v>57397</v>
      </c>
      <c r="F57" s="82" t="n">
        <v>46176</v>
      </c>
      <c r="G57" s="80" t="n"/>
      <c r="H57" s="80" t="n"/>
      <c r="I57" s="80" t="n"/>
      <c r="J57" s="80" t="n"/>
    </row>
    <row r="58">
      <c r="A58" s="79" t="n"/>
      <c r="B58" s="80" t="n"/>
      <c r="C58" s="79" t="n"/>
      <c r="D58" s="80" t="n">
        <v>133711</v>
      </c>
      <c r="E58" s="79" t="n">
        <v>133711</v>
      </c>
      <c r="F58" s="80" t="n"/>
      <c r="G58" s="80" t="n"/>
      <c r="H58" s="80" t="n"/>
      <c r="I58" s="80" t="n"/>
      <c r="J58" s="80" t="n"/>
    </row>
    <row r="59">
      <c r="A59" s="79" t="n"/>
      <c r="B59" s="80" t="n"/>
      <c r="C59" s="79" t="inlineStr">
        <is>
          <t>Rajkamal Paper Product</t>
        </is>
      </c>
      <c r="D59" s="80" t="n"/>
      <c r="E59" s="79" t="n"/>
      <c r="F59" s="80" t="n"/>
      <c r="G59" s="80" t="n"/>
      <c r="H59" s="80" t="n"/>
      <c r="I59" s="80" t="n"/>
      <c r="J59" s="80" t="n"/>
    </row>
    <row r="60">
      <c r="A60" s="81" t="n">
        <v>46121</v>
      </c>
      <c r="B60" s="80" t="inlineStr">
        <is>
          <t>Bounce Charges-170</t>
        </is>
      </c>
      <c r="C60" s="79" t="n"/>
      <c r="D60" s="80" t="n">
        <v>500</v>
      </c>
      <c r="E60" s="79" t="n">
        <v>500</v>
      </c>
      <c r="F60" s="82" t="n">
        <v>46146</v>
      </c>
      <c r="G60" s="80">
        <f>$E$2-F60</f>
        <v/>
      </c>
      <c r="H60" s="80" t="n"/>
      <c r="I60" s="80" t="n"/>
      <c r="J60" s="80" t="n"/>
    </row>
    <row r="61">
      <c r="A61" s="81" t="n">
        <v>46125</v>
      </c>
      <c r="B61" s="80" t="inlineStr">
        <is>
          <t>Bounce Charges-172</t>
        </is>
      </c>
      <c r="C61" s="79" t="n"/>
      <c r="D61" s="80" t="n">
        <v>500</v>
      </c>
      <c r="E61" s="79" t="n">
        <v>500</v>
      </c>
      <c r="F61" s="82" t="n">
        <v>46150</v>
      </c>
      <c r="G61" s="80">
        <f>$E$2-F61</f>
        <v/>
      </c>
      <c r="H61" s="80" t="n"/>
      <c r="I61" s="80" t="n"/>
      <c r="J61" s="80" t="n"/>
    </row>
    <row r="62">
      <c r="A62" s="81" t="n">
        <v>46130</v>
      </c>
      <c r="B62" s="80" t="inlineStr">
        <is>
          <t>C-SLG/0052/26-27</t>
        </is>
      </c>
      <c r="C62" s="79" t="n"/>
      <c r="D62" s="80" t="n">
        <v>39730</v>
      </c>
      <c r="E62" s="79" t="n">
        <v>39730</v>
      </c>
      <c r="F62" s="82" t="n">
        <v>46155</v>
      </c>
      <c r="G62" s="80">
        <f>$E$2-F62</f>
        <v/>
      </c>
      <c r="H62" s="80" t="n"/>
      <c r="I62" s="80" t="n"/>
      <c r="J62" s="80" t="n"/>
    </row>
    <row r="63">
      <c r="A63" s="79" t="n"/>
      <c r="B63" s="80" t="n"/>
      <c r="C63" s="79" t="n"/>
      <c r="D63" s="80" t="n">
        <v>40730</v>
      </c>
      <c r="E63" s="79" t="n">
        <v>40730</v>
      </c>
      <c r="F63" s="80" t="n"/>
      <c r="G63" s="80" t="n"/>
      <c r="H63" s="80" t="n"/>
      <c r="I63" s="80" t="n"/>
      <c r="J63" s="80" t="n"/>
    </row>
    <row r="64">
      <c r="A64" s="79" t="n"/>
      <c r="B64" s="80" t="n"/>
      <c r="C64" s="79" t="inlineStr">
        <is>
          <t>RAJLAXMI STATIONERY</t>
        </is>
      </c>
      <c r="D64" s="80" t="n"/>
      <c r="E64" s="79" t="n"/>
      <c r="F64" s="80" t="n"/>
      <c r="G64" s="80" t="n"/>
      <c r="H64" s="80" t="n"/>
      <c r="I64" s="80" t="n"/>
      <c r="J64" s="80" t="n"/>
      <c r="K64" t="inlineStr">
        <is>
          <t>RINGING NOT RESPONDING | RINGING NOT RESPONDING | PAID TODAY 5000 | NUMBER BUSY | NUMBER BUSY | RINGING NOT RESPONDING | RINGING NOT RESPONDING | paid 5000 remaing hewill pay</t>
        </is>
      </c>
    </row>
    <row r="65">
      <c r="A65" s="81" t="n">
        <v>46015</v>
      </c>
      <c r="B65" s="80" t="inlineStr">
        <is>
          <t>Chq Bounce-2101</t>
        </is>
      </c>
      <c r="C65" s="79" t="n"/>
      <c r="D65" s="80" t="n">
        <v>52086</v>
      </c>
      <c r="E65" s="79" t="n">
        <v>15000</v>
      </c>
      <c r="F65" s="82" t="n">
        <v>46040</v>
      </c>
      <c r="G65" s="80">
        <f>$E$2-F65</f>
        <v/>
      </c>
      <c r="H65" s="80" t="n"/>
      <c r="I65" s="80" t="n"/>
      <c r="J65" s="80" t="inlineStr">
        <is>
          <t>Paid</t>
        </is>
      </c>
    </row>
    <row r="66">
      <c r="A66" s="81" t="n">
        <v>46042</v>
      </c>
      <c r="B66" s="80" t="inlineStr">
        <is>
          <t>Bounce Charges-2290</t>
        </is>
      </c>
      <c r="C66" s="79" t="n"/>
      <c r="D66" s="80" t="n">
        <v>500</v>
      </c>
      <c r="E66" s="79" t="n">
        <v>400</v>
      </c>
      <c r="F66" s="82" t="n">
        <v>46067</v>
      </c>
      <c r="G66" s="80">
        <f>$E$2-F66</f>
        <v/>
      </c>
      <c r="H66" s="80" t="n"/>
      <c r="I66" s="80" t="n"/>
      <c r="J66" s="80" t="inlineStr">
        <is>
          <t>Paid</t>
        </is>
      </c>
    </row>
    <row r="67">
      <c r="A67" s="79" t="n"/>
      <c r="B67" s="80" t="n"/>
      <c r="C67" s="79" t="n"/>
      <c r="D67" s="80" t="n">
        <v>52586</v>
      </c>
      <c r="E67" s="79" t="n">
        <v>15400</v>
      </c>
      <c r="F67" s="80" t="n"/>
      <c r="G67" s="80" t="n"/>
      <c r="H67" s="80">
        <f>5000+10000</f>
        <v/>
      </c>
      <c r="I67" s="80">
        <f>E67-H67</f>
        <v/>
      </c>
      <c r="J67" s="80" t="inlineStr">
        <is>
          <t>Paid 10,000 Today</t>
        </is>
      </c>
    </row>
    <row r="68">
      <c r="A68" s="79" t="n"/>
      <c r="B68" s="80" t="n"/>
      <c r="C68" s="79" t="inlineStr">
        <is>
          <t>RAJ MARKETING</t>
        </is>
      </c>
      <c r="D68" s="80" t="n"/>
      <c r="E68" s="79" t="n"/>
      <c r="F68" s="80" t="n"/>
      <c r="G68" s="80" t="n"/>
      <c r="H68" s="80" t="n"/>
      <c r="I68" s="80" t="n"/>
      <c r="J68" s="80" t="n"/>
      <c r="K68" t="inlineStr">
        <is>
          <t>RINGING NOT RESPONDING | MONDAY HE WILL PAY | cheque given</t>
        </is>
      </c>
    </row>
    <row r="69">
      <c r="A69" s="81" t="n">
        <v>46084</v>
      </c>
      <c r="B69" s="80" t="inlineStr">
        <is>
          <t>C-SLG/2306/25-26</t>
        </is>
      </c>
      <c r="C69" s="79" t="n"/>
      <c r="D69" s="80" t="n">
        <v>26307</v>
      </c>
      <c r="E69" s="79" t="n">
        <v>26307</v>
      </c>
      <c r="F69" s="82" t="n">
        <v>46109</v>
      </c>
      <c r="G69" s="80">
        <f>$E$2-F69</f>
        <v/>
      </c>
      <c r="H69" s="80" t="n"/>
      <c r="I69" s="80" t="n"/>
      <c r="J69" s="80" t="inlineStr">
        <is>
          <t>Credit Note</t>
        </is>
      </c>
    </row>
    <row r="70">
      <c r="A70" s="81" t="n">
        <v>46109</v>
      </c>
      <c r="B70" s="80" t="inlineStr">
        <is>
          <t>C-SLG/2468/25-26</t>
        </is>
      </c>
      <c r="C70" s="79" t="n"/>
      <c r="D70" s="80" t="n">
        <v>20526</v>
      </c>
      <c r="E70" s="79" t="n">
        <v>20526</v>
      </c>
      <c r="F70" s="82" t="n">
        <v>46134</v>
      </c>
      <c r="G70" s="80">
        <f>$E$2-F70</f>
        <v/>
      </c>
      <c r="H70" s="80" t="n">
        <v>20526</v>
      </c>
      <c r="I70" s="80">
        <f>E70-H70</f>
        <v/>
      </c>
      <c r="J70" s="80" t="inlineStr">
        <is>
          <t>Paid Cheque - Full Amt</t>
        </is>
      </c>
    </row>
    <row r="71">
      <c r="A71" s="79" t="n"/>
      <c r="B71" s="80" t="n"/>
      <c r="C71" s="79" t="n"/>
      <c r="D71" s="80" t="n">
        <v>46833</v>
      </c>
      <c r="E71" s="79" t="n">
        <v>46833</v>
      </c>
      <c r="F71" s="80" t="n"/>
      <c r="G71" s="80" t="n"/>
      <c r="H71" s="80" t="n">
        <v>20526</v>
      </c>
      <c r="I71" s="80">
        <f>E71-H71</f>
        <v/>
      </c>
      <c r="J71" s="80" t="n"/>
    </row>
    <row r="72">
      <c r="A72" s="79" t="n"/>
      <c r="B72" s="80" t="n"/>
      <c r="C72" s="79" t="inlineStr">
        <is>
          <t>RAM BHAGWAN CORPORATION</t>
        </is>
      </c>
      <c r="D72" s="80" t="n"/>
      <c r="E72" s="79" t="n"/>
      <c r="F72" s="80" t="n"/>
      <c r="G72" s="80" t="n"/>
      <c r="H72" s="80" t="n"/>
      <c r="I72" s="80" t="n"/>
      <c r="J72" s="80" t="n"/>
      <c r="K72" t="inlineStr">
        <is>
          <t>HE WILL   GIVE CHEQUE DSO | chequegiven | 1-2 DAYS CHEQUE GIVE</t>
        </is>
      </c>
    </row>
    <row r="73">
      <c r="A73" s="81" t="n">
        <v>46128</v>
      </c>
      <c r="B73" s="80" t="inlineStr">
        <is>
          <t>C-SLG/0044/26-27</t>
        </is>
      </c>
      <c r="C73" s="79" t="n"/>
      <c r="D73" s="80" t="n">
        <v>25530</v>
      </c>
      <c r="E73" s="79" t="n">
        <v>25530</v>
      </c>
      <c r="F73" s="82" t="n">
        <v>46153</v>
      </c>
      <c r="G73" s="80">
        <f>$E$2-F73</f>
        <v/>
      </c>
      <c r="H73" s="80" t="n"/>
      <c r="I73" s="80" t="n"/>
      <c r="J73" s="80" t="n"/>
    </row>
    <row r="74">
      <c r="A74" s="79" t="n"/>
      <c r="B74" s="80" t="n"/>
      <c r="C74" s="79" t="n"/>
      <c r="D74" s="80" t="n">
        <v>25530</v>
      </c>
      <c r="E74" s="79" t="n">
        <v>25530</v>
      </c>
      <c r="F74" s="80" t="n"/>
      <c r="G74" s="80" t="n"/>
      <c r="H74" s="80" t="n"/>
      <c r="I74" s="80" t="n"/>
      <c r="J74" s="80" t="n"/>
    </row>
    <row r="75">
      <c r="A75" s="79" t="n"/>
      <c r="B75" s="80" t="n"/>
      <c r="C75" s="79" t="inlineStr">
        <is>
          <t>Ram Stationery Mart</t>
        </is>
      </c>
      <c r="D75" s="80" t="n"/>
      <c r="E75" s="79" t="n"/>
      <c r="F75" s="80" t="n"/>
      <c r="G75" s="80" t="n"/>
      <c r="H75" s="80" t="n"/>
      <c r="I75" s="80" t="n"/>
      <c r="J75" s="80" t="n"/>
    </row>
    <row r="76">
      <c r="A76" s="81" t="n">
        <v>45770</v>
      </c>
      <c r="B76" s="80" t="inlineStr">
        <is>
          <t>C-SLG/00130/25-26</t>
        </is>
      </c>
      <c r="C76" s="79" t="n"/>
      <c r="D76" s="80" t="n">
        <v>31674</v>
      </c>
      <c r="E76" s="79" t="n">
        <v>613.15</v>
      </c>
      <c r="F76" s="82" t="n">
        <v>45795</v>
      </c>
      <c r="G76" s="80">
        <f>$E$2-F76</f>
        <v/>
      </c>
      <c r="H76" s="80" t="n"/>
      <c r="I76" s="80" t="n"/>
      <c r="J76" s="80" t="inlineStr">
        <is>
          <t>Vendor</t>
        </is>
      </c>
    </row>
    <row r="77">
      <c r="A77" s="81" t="n">
        <v>45836</v>
      </c>
      <c r="B77" s="80" t="inlineStr">
        <is>
          <t>C-SLG/508/25-26</t>
        </is>
      </c>
      <c r="C77" s="79" t="n"/>
      <c r="D77" s="80" t="n">
        <v>83953</v>
      </c>
      <c r="E77" s="79" t="n">
        <v>83953</v>
      </c>
      <c r="F77" s="82" t="n">
        <v>45861</v>
      </c>
      <c r="G77" s="80">
        <f>$E$2-F77</f>
        <v/>
      </c>
      <c r="H77" s="80" t="n"/>
      <c r="I77" s="80" t="n"/>
      <c r="J77" s="80" t="inlineStr">
        <is>
          <t>Vendor</t>
        </is>
      </c>
    </row>
    <row r="78">
      <c r="A78" s="81" t="n">
        <v>45838</v>
      </c>
      <c r="B78" s="80" t="inlineStr">
        <is>
          <t>C-SLG/515/25-26</t>
        </is>
      </c>
      <c r="C78" s="79" t="n"/>
      <c r="D78" s="80" t="n">
        <v>136289</v>
      </c>
      <c r="E78" s="79" t="n">
        <v>136289</v>
      </c>
      <c r="F78" s="82" t="n">
        <v>45863</v>
      </c>
      <c r="G78" s="80">
        <f>$E$2-F78</f>
        <v/>
      </c>
      <c r="H78" s="80" t="n"/>
      <c r="I78" s="80" t="n"/>
      <c r="J78" s="80" t="inlineStr">
        <is>
          <t>Vendor</t>
        </is>
      </c>
    </row>
    <row r="79">
      <c r="A79" s="81" t="n">
        <v>45849</v>
      </c>
      <c r="B79" s="80" t="inlineStr">
        <is>
          <t>C-SLG/620/25-26</t>
        </is>
      </c>
      <c r="C79" s="79" t="n"/>
      <c r="D79" s="80" t="n">
        <v>97996</v>
      </c>
      <c r="E79" s="79" t="n">
        <v>97996</v>
      </c>
      <c r="F79" s="82" t="n">
        <v>45874</v>
      </c>
      <c r="G79" s="80">
        <f>$E$2-F79</f>
        <v/>
      </c>
      <c r="H79" s="80" t="n"/>
      <c r="I79" s="80" t="n"/>
      <c r="J79" s="80" t="inlineStr">
        <is>
          <t>Vendor</t>
        </is>
      </c>
    </row>
    <row r="80">
      <c r="A80" s="81" t="n">
        <v>45890</v>
      </c>
      <c r="B80" s="80" t="inlineStr">
        <is>
          <t>C-SLG/943/25-26</t>
        </is>
      </c>
      <c r="C80" s="79" t="n"/>
      <c r="D80" s="80" t="n">
        <v>37146</v>
      </c>
      <c r="E80" s="79" t="n">
        <v>37146</v>
      </c>
      <c r="F80" s="82" t="n">
        <v>45915</v>
      </c>
      <c r="G80" s="80">
        <f>$E$2-F80</f>
        <v/>
      </c>
      <c r="H80" s="80" t="n"/>
      <c r="I80" s="80" t="n"/>
      <c r="J80" s="80" t="inlineStr">
        <is>
          <t>Vendor</t>
        </is>
      </c>
    </row>
    <row r="81">
      <c r="A81" s="81" t="n">
        <v>45905</v>
      </c>
      <c r="B81" s="80" t="inlineStr">
        <is>
          <t>C-SLG/1078/25-26</t>
        </is>
      </c>
      <c r="C81" s="79" t="n"/>
      <c r="D81" s="80" t="n">
        <v>248440</v>
      </c>
      <c r="E81" s="79" t="n">
        <v>248440</v>
      </c>
      <c r="F81" s="82" t="n">
        <v>45930</v>
      </c>
      <c r="G81" s="80">
        <f>$E$2-F81</f>
        <v/>
      </c>
      <c r="H81" s="80" t="n"/>
      <c r="I81" s="80" t="n"/>
      <c r="J81" s="80" t="inlineStr">
        <is>
          <t>Vendor</t>
        </is>
      </c>
    </row>
    <row r="82">
      <c r="A82" s="81" t="n">
        <v>45918</v>
      </c>
      <c r="B82" s="80" t="inlineStr">
        <is>
          <t>C-SLG/1244/25-26</t>
        </is>
      </c>
      <c r="C82" s="79" t="n"/>
      <c r="D82" s="80" t="n">
        <v>143307</v>
      </c>
      <c r="E82" s="79" t="n">
        <v>143307</v>
      </c>
      <c r="F82" s="82" t="n">
        <v>45943</v>
      </c>
      <c r="G82" s="80">
        <f>$E$2-F82</f>
        <v/>
      </c>
      <c r="H82" s="80" t="n"/>
      <c r="I82" s="80" t="n"/>
      <c r="J82" s="80" t="inlineStr">
        <is>
          <t>Vendor</t>
        </is>
      </c>
    </row>
    <row r="83">
      <c r="A83" s="81" t="n">
        <v>45927</v>
      </c>
      <c r="B83" s="80" t="inlineStr">
        <is>
          <t>C-SLG/1326/25-26</t>
        </is>
      </c>
      <c r="C83" s="79" t="n"/>
      <c r="D83" s="80" t="n">
        <v>19200</v>
      </c>
      <c r="E83" s="79" t="n">
        <v>19200</v>
      </c>
      <c r="F83" s="82" t="n">
        <v>45952</v>
      </c>
      <c r="G83" s="80">
        <f>$E$2-F83</f>
        <v/>
      </c>
      <c r="H83" s="80" t="n"/>
      <c r="I83" s="80" t="n"/>
      <c r="J83" s="80" t="inlineStr">
        <is>
          <t>Vendor</t>
        </is>
      </c>
    </row>
    <row r="84">
      <c r="A84" s="81" t="n">
        <v>45955</v>
      </c>
      <c r="B84" s="80" t="inlineStr">
        <is>
          <t>C-SLG/1540/25-26</t>
        </is>
      </c>
      <c r="C84" s="79" t="n"/>
      <c r="D84" s="80" t="n">
        <v>163657</v>
      </c>
      <c r="E84" s="79" t="n">
        <v>163657</v>
      </c>
      <c r="F84" s="82" t="n">
        <v>45980</v>
      </c>
      <c r="G84" s="80">
        <f>$E$2-F84</f>
        <v/>
      </c>
      <c r="H84" s="80" t="n"/>
      <c r="I84" s="80" t="n"/>
      <c r="J84" s="80" t="inlineStr">
        <is>
          <t>Vendor</t>
        </is>
      </c>
    </row>
    <row r="85">
      <c r="A85" s="81" t="n">
        <v>45978</v>
      </c>
      <c r="B85" s="80" t="inlineStr">
        <is>
          <t>C-SLG/1673/25-26</t>
        </is>
      </c>
      <c r="C85" s="79" t="n"/>
      <c r="D85" s="80" t="n">
        <v>5143</v>
      </c>
      <c r="E85" s="79" t="n">
        <v>5143</v>
      </c>
      <c r="F85" s="82" t="n">
        <v>46003</v>
      </c>
      <c r="G85" s="80">
        <f>$E$2-F85</f>
        <v/>
      </c>
      <c r="H85" s="80" t="n"/>
      <c r="I85" s="80" t="n"/>
      <c r="J85" s="80" t="inlineStr">
        <is>
          <t>Vendor</t>
        </is>
      </c>
    </row>
    <row r="86">
      <c r="A86" s="81" t="n">
        <v>46022</v>
      </c>
      <c r="B86" s="80" t="inlineStr">
        <is>
          <t>C-SLG/2018/25-26</t>
        </is>
      </c>
      <c r="C86" s="79" t="n"/>
      <c r="D86" s="80" t="n">
        <v>109076</v>
      </c>
      <c r="E86" s="79" t="n">
        <v>105970.48</v>
      </c>
      <c r="F86" s="82" t="n">
        <v>46047</v>
      </c>
      <c r="G86" s="80">
        <f>$E$2-F86</f>
        <v/>
      </c>
      <c r="H86" s="80" t="n"/>
      <c r="I86" s="80" t="n"/>
      <c r="J86" s="80" t="inlineStr">
        <is>
          <t>Vendor</t>
        </is>
      </c>
    </row>
    <row r="87">
      <c r="A87" s="81" t="n">
        <v>46025</v>
      </c>
      <c r="B87" s="80" t="inlineStr">
        <is>
          <t>C-SLG/2030/25-26</t>
        </is>
      </c>
      <c r="C87" s="79" t="n"/>
      <c r="D87" s="80" t="n">
        <v>54538</v>
      </c>
      <c r="E87" s="79" t="n">
        <v>53447.25</v>
      </c>
      <c r="F87" s="82" t="n">
        <v>46050</v>
      </c>
      <c r="G87" s="80">
        <f>$E$2-F87</f>
        <v/>
      </c>
      <c r="H87" s="80" t="n"/>
      <c r="I87" s="80" t="n"/>
      <c r="J87" s="80" t="inlineStr">
        <is>
          <t>Vendor</t>
        </is>
      </c>
    </row>
    <row r="88">
      <c r="A88" s="81" t="n">
        <v>46053</v>
      </c>
      <c r="B88" s="80" t="inlineStr">
        <is>
          <t>C-SLG/2156/25-26</t>
        </is>
      </c>
      <c r="C88" s="79" t="n"/>
      <c r="D88" s="80" t="n">
        <v>159001</v>
      </c>
      <c r="E88" s="79" t="n">
        <v>155010</v>
      </c>
      <c r="F88" s="82" t="n">
        <v>46078</v>
      </c>
      <c r="G88" s="80">
        <f>$E$2-F88</f>
        <v/>
      </c>
      <c r="H88" s="80" t="n"/>
      <c r="I88" s="80" t="n"/>
      <c r="J88" s="80" t="inlineStr">
        <is>
          <t>Vendor</t>
        </is>
      </c>
    </row>
    <row r="89">
      <c r="A89" s="81" t="n">
        <v>46122</v>
      </c>
      <c r="B89" s="80" t="inlineStr">
        <is>
          <t>C-SLG/0025/26-27</t>
        </is>
      </c>
      <c r="C89" s="79" t="n"/>
      <c r="D89" s="80" t="n">
        <v>93732</v>
      </c>
      <c r="E89" s="79" t="n">
        <v>93732</v>
      </c>
      <c r="F89" s="82" t="n">
        <v>46147</v>
      </c>
      <c r="G89" s="80">
        <f>$E$2-F89</f>
        <v/>
      </c>
      <c r="H89" s="80" t="n"/>
      <c r="I89" s="80" t="n"/>
      <c r="J89" s="80" t="inlineStr">
        <is>
          <t>Vendor</t>
        </is>
      </c>
    </row>
    <row r="90">
      <c r="A90" s="81" t="n">
        <v>46156</v>
      </c>
      <c r="B90" s="80" t="inlineStr">
        <is>
          <t>C-SLG/0128/26-27</t>
        </is>
      </c>
      <c r="C90" s="79" t="n"/>
      <c r="D90" s="80" t="n">
        <v>43847</v>
      </c>
      <c r="E90" s="79" t="n">
        <v>43847</v>
      </c>
      <c r="F90" s="82" t="n">
        <v>46181</v>
      </c>
      <c r="G90" s="80" t="n"/>
      <c r="H90" s="80" t="n"/>
      <c r="I90" s="80" t="n"/>
      <c r="J90" s="80" t="n"/>
    </row>
    <row r="91">
      <c r="A91" s="79" t="n"/>
      <c r="B91" s="80" t="n"/>
      <c r="C91" s="79" t="n"/>
      <c r="D91" s="80" t="n">
        <v>1426999</v>
      </c>
      <c r="E91" s="79" t="n">
        <v>1387750.88</v>
      </c>
      <c r="F91" s="80" t="n"/>
      <c r="G91" s="80" t="n"/>
      <c r="H91" s="80" t="n"/>
      <c r="I91" s="80" t="n"/>
      <c r="J91" s="80" t="n"/>
    </row>
    <row r="92">
      <c r="A92" s="79" t="n"/>
      <c r="B92" s="80" t="n"/>
      <c r="C92" s="79" t="inlineStr">
        <is>
          <t>REMAX ENTERPRISES</t>
        </is>
      </c>
      <c r="D92" s="80" t="n"/>
      <c r="E92" s="79" t="n"/>
      <c r="F92" s="80" t="n"/>
      <c r="G92" s="80" t="n"/>
      <c r="H92" s="80" t="n"/>
      <c r="I92" s="80" t="n"/>
      <c r="J92" s="80" t="n"/>
    </row>
    <row r="93">
      <c r="A93" s="81" t="n">
        <v>46031</v>
      </c>
      <c r="B93" s="80" t="inlineStr">
        <is>
          <t>C-SLG/2061/25-26</t>
        </is>
      </c>
      <c r="C93" s="79" t="n"/>
      <c r="D93" s="80" t="n">
        <v>16753</v>
      </c>
      <c r="E93" s="79" t="n">
        <v>5</v>
      </c>
      <c r="F93" s="82" t="n">
        <v>46056</v>
      </c>
      <c r="G93" s="80">
        <f>$E$2-F93</f>
        <v/>
      </c>
      <c r="H93" s="80" t="n"/>
      <c r="I93" s="80" t="n"/>
      <c r="J93" s="80" t="n"/>
    </row>
    <row r="94">
      <c r="A94" s="79" t="n"/>
      <c r="B94" s="80" t="n"/>
      <c r="C94" s="79" t="n"/>
      <c r="D94" s="80" t="n">
        <v>16753</v>
      </c>
      <c r="E94" s="79" t="n">
        <v>5</v>
      </c>
      <c r="F94" s="80" t="n"/>
      <c r="G94" s="80" t="n"/>
      <c r="H94" s="80" t="n"/>
      <c r="I94" s="80" t="n"/>
      <c r="J94" s="80" t="n"/>
    </row>
    <row r="95">
      <c r="A95" s="79" t="n"/>
      <c r="B95" s="80" t="n"/>
      <c r="C95" s="79" t="inlineStr">
        <is>
          <t>Renuka Enterprises</t>
        </is>
      </c>
      <c r="D95" s="80" t="n"/>
      <c r="E95" s="79" t="n"/>
      <c r="F95" s="80" t="n"/>
      <c r="G95" s="80" t="n"/>
      <c r="H95" s="80" t="n"/>
      <c r="I95" s="80" t="n"/>
      <c r="J95" s="80" t="n"/>
      <c r="K95" t="inlineStr">
        <is>
          <t>HE WILL PAY IN 4 DAYS | HE WILL PAY ON SATURDAY | SATURDAY | RINGING NOT RESPONDING | PAYMENT AT 5:30PM</t>
        </is>
      </c>
    </row>
    <row r="96">
      <c r="A96" s="81" t="n">
        <v>46107</v>
      </c>
      <c r="B96" s="80" t="inlineStr">
        <is>
          <t>C-SLG/2456/25-26</t>
        </is>
      </c>
      <c r="C96" s="79" t="n"/>
      <c r="D96" s="80" t="n">
        <v>82798</v>
      </c>
      <c r="E96" s="79" t="n">
        <v>82798</v>
      </c>
      <c r="F96" s="82" t="n">
        <v>46132</v>
      </c>
      <c r="G96" s="80">
        <f>$E$2-F96</f>
        <v/>
      </c>
      <c r="H96" s="80" t="n"/>
      <c r="I96" s="80" t="n"/>
      <c r="J96" s="80" t="inlineStr">
        <is>
          <t>Out of Reach</t>
        </is>
      </c>
    </row>
    <row r="97">
      <c r="A97" s="81" t="n">
        <v>46155</v>
      </c>
      <c r="B97" s="80" t="inlineStr">
        <is>
          <t>C-SLG/0116/26-27</t>
        </is>
      </c>
      <c r="C97" s="79" t="n"/>
      <c r="D97" s="80" t="n">
        <v>547</v>
      </c>
      <c r="E97" s="79" t="n">
        <v>547</v>
      </c>
      <c r="F97" s="82" t="n">
        <v>46180</v>
      </c>
      <c r="G97" s="80" t="n"/>
      <c r="H97" s="80" t="n"/>
      <c r="I97" s="80" t="n"/>
      <c r="J97" s="80" t="n"/>
    </row>
    <row r="98">
      <c r="A98" s="79" t="n"/>
      <c r="B98" s="80" t="n"/>
      <c r="C98" s="79" t="n"/>
      <c r="D98" s="80" t="n">
        <v>83345</v>
      </c>
      <c r="E98" s="79" t="n">
        <v>83345</v>
      </c>
      <c r="F98" s="80" t="n"/>
      <c r="G98" s="80" t="n"/>
      <c r="H98" s="80" t="n"/>
      <c r="I98" s="80" t="n"/>
      <c r="J98" s="80" t="n"/>
    </row>
    <row r="99">
      <c r="A99" s="79" t="n"/>
      <c r="B99" s="80" t="n"/>
      <c r="C99" s="79" t="inlineStr">
        <is>
          <t>RENUKA STATIONERS</t>
        </is>
      </c>
      <c r="D99" s="80" t="n"/>
      <c r="E99" s="79" t="n"/>
      <c r="F99" s="80" t="n"/>
      <c r="G99" s="80" t="n"/>
      <c r="H99" s="80" t="n"/>
      <c r="I99" s="80" t="n"/>
      <c r="J99" s="80" t="n"/>
      <c r="K99" t="inlineStr">
        <is>
          <t>PAID | PAID</t>
        </is>
      </c>
    </row>
    <row r="100">
      <c r="A100" s="81" t="n">
        <v>46109</v>
      </c>
      <c r="B100" s="80" t="inlineStr">
        <is>
          <t>C-SLG/2473/25-26</t>
        </is>
      </c>
      <c r="C100" s="79" t="n"/>
      <c r="D100" s="80" t="n">
        <v>152603</v>
      </c>
      <c r="E100" s="79" t="n">
        <v>152603</v>
      </c>
      <c r="F100" s="82" t="n">
        <v>46134</v>
      </c>
      <c r="G100" s="80">
        <f>$E$2-F100</f>
        <v/>
      </c>
      <c r="H100" s="80" t="n"/>
      <c r="I100" s="80" t="n"/>
      <c r="J100" s="80" t="n"/>
    </row>
    <row r="101">
      <c r="A101" s="81" t="n">
        <v>46142</v>
      </c>
      <c r="B101" s="80" t="inlineStr">
        <is>
          <t>C-SLG/0084/26-27</t>
        </is>
      </c>
      <c r="C101" s="79" t="n"/>
      <c r="D101" s="80" t="n">
        <v>136439</v>
      </c>
      <c r="E101" s="79" t="n">
        <v>136439</v>
      </c>
      <c r="F101" s="82" t="n">
        <v>46167</v>
      </c>
      <c r="G101" s="80" t="n"/>
      <c r="H101" s="80" t="n"/>
      <c r="I101" s="80" t="n"/>
      <c r="J101" s="80" t="n"/>
    </row>
    <row r="102">
      <c r="A102" s="81" t="n">
        <v>46155</v>
      </c>
      <c r="B102" s="80" t="inlineStr">
        <is>
          <t>C-SLG/0115/26-27</t>
        </is>
      </c>
      <c r="C102" s="79" t="n"/>
      <c r="D102" s="80" t="n">
        <v>547</v>
      </c>
      <c r="E102" s="79" t="n">
        <v>547</v>
      </c>
      <c r="F102" s="82" t="n">
        <v>46180</v>
      </c>
      <c r="G102" s="80" t="n"/>
      <c r="H102" s="80" t="n"/>
      <c r="I102" s="80" t="n"/>
      <c r="J102" s="80" t="n"/>
    </row>
    <row r="103">
      <c r="A103" s="79" t="n"/>
      <c r="B103" s="80" t="n"/>
      <c r="C103" s="79" t="n"/>
      <c r="D103" s="80" t="n">
        <v>289589</v>
      </c>
      <c r="E103" s="79" t="n">
        <v>289589</v>
      </c>
      <c r="F103" s="80" t="n"/>
      <c r="G103" s="80" t="n"/>
      <c r="H103" s="80" t="n"/>
      <c r="I103" s="80" t="n"/>
      <c r="J103" s="80" t="n"/>
    </row>
    <row r="104">
      <c r="A104" s="79" t="n"/>
      <c r="B104" s="80" t="n"/>
      <c r="C104" s="79" t="inlineStr">
        <is>
          <t>ROLEX Stationary</t>
        </is>
      </c>
      <c r="D104" s="80" t="n"/>
      <c r="E104" s="79" t="n"/>
      <c r="F104" s="80" t="n"/>
      <c r="G104" s="80" t="n"/>
      <c r="H104" s="80" t="n"/>
      <c r="I104" s="80" t="n"/>
      <c r="J104" s="80" t="n"/>
    </row>
    <row r="105">
      <c r="A105" s="81" t="n">
        <v>46087</v>
      </c>
      <c r="B105" s="80" t="inlineStr">
        <is>
          <t>C-SLG/2326/25-26</t>
        </is>
      </c>
      <c r="C105" s="79" t="n"/>
      <c r="D105" s="80" t="n">
        <v>1427</v>
      </c>
      <c r="E105" s="79" t="n">
        <v>1427</v>
      </c>
      <c r="F105" s="82" t="n">
        <v>46112</v>
      </c>
      <c r="G105" s="80">
        <f>$E$2-F105</f>
        <v/>
      </c>
      <c r="H105" s="80" t="n"/>
      <c r="I105" s="80" t="n"/>
      <c r="J105" s="80" t="inlineStr">
        <is>
          <t>Sample Piece</t>
        </is>
      </c>
    </row>
    <row r="106">
      <c r="A106" s="79" t="n"/>
      <c r="B106" s="80" t="n"/>
      <c r="C106" s="79" t="n"/>
      <c r="D106" s="80" t="n">
        <v>1427</v>
      </c>
      <c r="E106" s="79" t="n">
        <v>1427</v>
      </c>
      <c r="F106" s="80" t="n"/>
      <c r="G106" s="80" t="n"/>
      <c r="H106" s="80" t="n"/>
      <c r="I106" s="80" t="n"/>
      <c r="J106" s="80" t="n"/>
    </row>
    <row r="107">
      <c r="A107" s="79" t="n"/>
      <c r="B107" s="80" t="n"/>
      <c r="C107" s="79" t="inlineStr">
        <is>
          <t>Sha Ghewarchand &amp; Co</t>
        </is>
      </c>
      <c r="D107" s="80" t="n"/>
      <c r="E107" s="79" t="n"/>
      <c r="F107" s="80" t="n"/>
      <c r="G107" s="80" t="n"/>
      <c r="H107" s="80" t="n"/>
      <c r="I107" s="80" t="n"/>
      <c r="J107" s="80" t="n"/>
    </row>
    <row r="108">
      <c r="A108" s="81" t="n">
        <v>46104</v>
      </c>
      <c r="B108" s="80" t="inlineStr">
        <is>
          <t>C-SLG/2416/25-26</t>
        </is>
      </c>
      <c r="C108" s="79" t="n"/>
      <c r="D108" s="80" t="n">
        <v>1329</v>
      </c>
      <c r="E108" s="79" t="n">
        <v>1329</v>
      </c>
      <c r="F108" s="82" t="n">
        <v>46129</v>
      </c>
      <c r="G108" s="80">
        <f>$E$2-F108</f>
        <v/>
      </c>
      <c r="H108" s="80" t="n"/>
      <c r="I108" s="80" t="n"/>
      <c r="J108" s="80" t="inlineStr">
        <is>
          <t>Sample Piece</t>
        </is>
      </c>
    </row>
    <row r="109">
      <c r="A109" s="79" t="n"/>
      <c r="B109" s="80" t="n"/>
      <c r="C109" s="79" t="n"/>
      <c r="D109" s="80" t="n">
        <v>1329</v>
      </c>
      <c r="E109" s="79" t="n">
        <v>1329</v>
      </c>
      <c r="F109" s="80" t="n"/>
      <c r="G109" s="80" t="n"/>
      <c r="H109" s="80" t="n"/>
      <c r="I109" s="80" t="n"/>
      <c r="J109" s="80" t="n"/>
    </row>
    <row r="110">
      <c r="A110" s="79" t="n"/>
      <c r="B110" s="80" t="n"/>
      <c r="C110" s="79" t="inlineStr">
        <is>
          <t>Shanker Stationery Mart</t>
        </is>
      </c>
      <c r="D110" s="80" t="n"/>
      <c r="E110" s="79" t="n"/>
      <c r="F110" s="80" t="n"/>
      <c r="G110" s="80" t="n"/>
      <c r="H110" s="80" t="n"/>
      <c r="I110" s="80" t="n"/>
      <c r="J110" s="80" t="n"/>
      <c r="K110" t="inlineStr">
        <is>
          <t>PAID | PAID | OUT OF REACH</t>
        </is>
      </c>
    </row>
    <row r="111">
      <c r="A111" s="81" t="n">
        <v>46118</v>
      </c>
      <c r="B111" s="80" t="inlineStr">
        <is>
          <t>C-SLG/0011/26-27</t>
        </is>
      </c>
      <c r="C111" s="79" t="n"/>
      <c r="D111" s="80" t="n">
        <v>765992</v>
      </c>
      <c r="E111" s="79" t="n">
        <v>743012</v>
      </c>
      <c r="F111" s="82" t="n">
        <v>46143</v>
      </c>
      <c r="G111" s="80">
        <f>$E$2-F111</f>
        <v/>
      </c>
      <c r="H111" s="80" t="n"/>
      <c r="I111" s="80" t="n"/>
      <c r="J111" s="80" t="n"/>
    </row>
    <row r="112">
      <c r="A112" s="79" t="n"/>
      <c r="B112" s="80" t="n"/>
      <c r="C112" s="79" t="n"/>
      <c r="D112" s="80" t="n">
        <v>765992</v>
      </c>
      <c r="E112" s="79" t="n">
        <v>743012</v>
      </c>
      <c r="F112" s="80" t="n"/>
      <c r="G112" s="80" t="n"/>
      <c r="H112" s="80" t="n"/>
      <c r="I112" s="80" t="n"/>
      <c r="J112" s="80" t="n"/>
    </row>
    <row r="113">
      <c r="A113" s="79" t="n"/>
      <c r="B113" s="80" t="n"/>
      <c r="C113" s="79" t="inlineStr">
        <is>
          <t>SRI RAMDEV ENTERPRISES</t>
        </is>
      </c>
      <c r="D113" s="80" t="n"/>
      <c r="E113" s="79" t="n"/>
      <c r="F113" s="80" t="n"/>
      <c r="G113" s="80" t="n"/>
      <c r="H113" s="80" t="n"/>
      <c r="I113" s="80" t="n"/>
      <c r="J113" s="80" t="n"/>
      <c r="K113" t="inlineStr">
        <is>
          <t>RINGING NOT RESPONDING | HE  WILL PAY IN 2 DAYS | RINGING NOT RESPONDING | he his hospital | 3 DAYS HE GET THE AMOUNT | RINGING NOT RESPONDING</t>
        </is>
      </c>
    </row>
    <row r="114">
      <c r="A114" s="81" t="n">
        <v>46059</v>
      </c>
      <c r="B114" s="80" t="inlineStr">
        <is>
          <t>C-SLG/2195/25-26</t>
        </is>
      </c>
      <c r="C114" s="79" t="n"/>
      <c r="D114" s="80" t="n">
        <v>28600</v>
      </c>
      <c r="E114" s="79" t="n">
        <v>28600</v>
      </c>
      <c r="F114" s="82" t="n">
        <v>46084</v>
      </c>
      <c r="G114" s="80">
        <f>$E$2-F114</f>
        <v/>
      </c>
      <c r="H114" s="80" t="n"/>
      <c r="I114" s="80" t="n"/>
      <c r="J114" s="80" t="inlineStr">
        <is>
          <t>Ringing Not Responding</t>
        </is>
      </c>
    </row>
    <row r="115">
      <c r="A115" s="81" t="n">
        <v>46087</v>
      </c>
      <c r="B115" s="80" t="inlineStr">
        <is>
          <t>C-SLG/2336/25-26</t>
        </is>
      </c>
      <c r="C115" s="79" t="n"/>
      <c r="D115" s="80" t="n">
        <v>26307</v>
      </c>
      <c r="E115" s="79" t="n">
        <v>26307</v>
      </c>
      <c r="F115" s="82" t="n">
        <v>46112</v>
      </c>
      <c r="G115" s="80">
        <f>$E$2-F115</f>
        <v/>
      </c>
      <c r="H115" s="80" t="n"/>
      <c r="I115" s="80" t="n"/>
      <c r="J115" s="80" t="inlineStr">
        <is>
          <t>Ringing Not Responding</t>
        </is>
      </c>
    </row>
    <row r="116">
      <c r="A116" s="81" t="n">
        <v>46109</v>
      </c>
      <c r="B116" s="80" t="inlineStr">
        <is>
          <t>C-SLG/2467/25-26</t>
        </is>
      </c>
      <c r="C116" s="79" t="n"/>
      <c r="D116" s="80" t="n">
        <v>21129</v>
      </c>
      <c r="E116" s="79" t="n">
        <v>21129</v>
      </c>
      <c r="F116" s="82" t="n">
        <v>46134</v>
      </c>
      <c r="G116" s="80">
        <f>$E$2-F116</f>
        <v/>
      </c>
      <c r="H116" s="80" t="n"/>
      <c r="I116" s="80" t="n"/>
      <c r="J116" s="80" t="inlineStr">
        <is>
          <t>Ringing Not Responding</t>
        </is>
      </c>
    </row>
    <row r="117">
      <c r="A117" s="81" t="n">
        <v>46121</v>
      </c>
      <c r="B117" s="80" t="inlineStr">
        <is>
          <t>C-SLG/0010/26-27</t>
        </is>
      </c>
      <c r="C117" s="79" t="n"/>
      <c r="D117" s="80" t="n">
        <v>7460</v>
      </c>
      <c r="E117" s="79" t="n">
        <v>7460</v>
      </c>
      <c r="F117" s="82" t="n">
        <v>46146</v>
      </c>
      <c r="G117" s="80">
        <f>$E$2-F117</f>
        <v/>
      </c>
      <c r="H117" s="80" t="n"/>
      <c r="I117" s="80" t="n"/>
      <c r="J117" s="80" t="inlineStr">
        <is>
          <t>Ringing Not Responding</t>
        </is>
      </c>
    </row>
    <row r="118">
      <c r="A118" s="79" t="n"/>
      <c r="B118" s="80" t="n"/>
      <c r="C118" s="79" t="n"/>
      <c r="D118" s="80" t="n">
        <v>83496</v>
      </c>
      <c r="E118" s="79" t="n">
        <v>83496</v>
      </c>
      <c r="F118" s="80" t="n"/>
      <c r="G118" s="80" t="n"/>
      <c r="H118" s="80" t="n"/>
      <c r="I118" s="80" t="n"/>
      <c r="J118" s="80" t="n"/>
    </row>
    <row r="119">
      <c r="A119" s="79" t="n"/>
      <c r="B119" s="80" t="n"/>
      <c r="C119" s="79" t="inlineStr">
        <is>
          <t>SRI RAM STATIONERY</t>
        </is>
      </c>
      <c r="D119" s="80" t="n"/>
      <c r="E119" s="79" t="n"/>
      <c r="F119" s="80" t="n"/>
      <c r="G119" s="80" t="n"/>
      <c r="H119" s="80" t="n"/>
      <c r="I119" s="80" t="n"/>
      <c r="J119" s="80" t="n"/>
      <c r="K119" t="inlineStr">
        <is>
          <t>RINGING NOT RESPONDING | HE WILL PAY TOMMROW | HE WILLPAY  TODAY | ringing   not respond | CALL  DISCONNETED | hewill  pay today</t>
        </is>
      </c>
    </row>
    <row r="120">
      <c r="A120" s="81" t="n">
        <v>45202</v>
      </c>
      <c r="B120" s="80" t="inlineStr">
        <is>
          <t>C-SLG/1650/23-24</t>
        </is>
      </c>
      <c r="C120" s="79" t="n"/>
      <c r="D120" s="80" t="n">
        <v>66959.10000000001</v>
      </c>
      <c r="E120" s="79" t="n">
        <v>21098.1</v>
      </c>
      <c r="F120" s="82" t="n">
        <v>45202</v>
      </c>
      <c r="G120" s="80">
        <f>$E$2-F120</f>
        <v/>
      </c>
      <c r="H120" s="80" t="n"/>
      <c r="I120" s="80" t="n"/>
      <c r="J120" s="80" t="inlineStr">
        <is>
          <t>Will Pay on Monday</t>
        </is>
      </c>
    </row>
    <row r="121">
      <c r="A121" s="81" t="n">
        <v>46087</v>
      </c>
      <c r="B121" s="80" t="inlineStr">
        <is>
          <t>C-SLG/2327/25-26</t>
        </is>
      </c>
      <c r="C121" s="79" t="n"/>
      <c r="D121" s="80" t="n">
        <v>1427</v>
      </c>
      <c r="E121" s="79" t="n">
        <v>1427</v>
      </c>
      <c r="F121" s="82" t="n">
        <v>46112</v>
      </c>
      <c r="G121" s="80">
        <f>$E$2-F121</f>
        <v/>
      </c>
      <c r="H121" s="80" t="n"/>
      <c r="I121" s="80" t="n"/>
      <c r="J121" s="80" t="inlineStr">
        <is>
          <t>Sample Piece</t>
        </is>
      </c>
    </row>
    <row r="122">
      <c r="A122" s="79" t="n"/>
      <c r="B122" s="80" t="n"/>
      <c r="C122" s="79" t="n"/>
      <c r="D122" s="80" t="n">
        <v>68386.10000000001</v>
      </c>
      <c r="E122" s="79" t="n">
        <v>22525.1</v>
      </c>
      <c r="F122" s="80" t="n"/>
      <c r="G122" s="80" t="n"/>
      <c r="H122" s="80" t="n"/>
      <c r="I122" s="80" t="n"/>
      <c r="J122" s="80" t="n"/>
    </row>
    <row r="123">
      <c r="A123" s="79" t="n"/>
      <c r="B123" s="80" t="n"/>
      <c r="C123" s="79" t="inlineStr">
        <is>
          <t>TALAWAT STATIONARY</t>
        </is>
      </c>
      <c r="D123" s="80" t="n"/>
      <c r="E123" s="79" t="n"/>
      <c r="F123" s="80" t="n"/>
      <c r="G123" s="80" t="n"/>
      <c r="H123" s="80" t="n"/>
      <c r="I123" s="80" t="n"/>
      <c r="J123" s="80" t="n"/>
    </row>
    <row r="124">
      <c r="A124" s="81" t="n">
        <v>46087</v>
      </c>
      <c r="B124" s="80" t="inlineStr">
        <is>
          <t>C-SLG/2328/25-26</t>
        </is>
      </c>
      <c r="C124" s="79" t="n"/>
      <c r="D124" s="80" t="n">
        <v>1427</v>
      </c>
      <c r="E124" s="79" t="n">
        <v>1427</v>
      </c>
      <c r="F124" s="82" t="n">
        <v>46112</v>
      </c>
      <c r="G124" s="80">
        <f>$E$2-F124</f>
        <v/>
      </c>
      <c r="H124" s="80" t="n"/>
      <c r="I124" s="80" t="n"/>
      <c r="J124" s="80" t="inlineStr">
        <is>
          <t>Sample Piece</t>
        </is>
      </c>
    </row>
    <row r="125">
      <c r="A125" s="79" t="n"/>
      <c r="B125" s="80" t="n"/>
      <c r="C125" s="79" t="n"/>
      <c r="D125" s="80" t="n">
        <v>1427</v>
      </c>
      <c r="E125" s="79" t="n">
        <v>1427</v>
      </c>
      <c r="F125" s="80" t="n"/>
      <c r="G125" s="80" t="n"/>
      <c r="H125" s="80" t="n"/>
      <c r="I125" s="80" t="n"/>
      <c r="J125" s="80" t="n"/>
    </row>
    <row r="126">
      <c r="A126" s="79" t="n"/>
      <c r="B126" s="80" t="n"/>
      <c r="C126" s="79" t="inlineStr">
        <is>
          <t>Vardhman Computer &amp; Stationery</t>
        </is>
      </c>
      <c r="D126" s="80" t="n"/>
      <c r="E126" s="79" t="n"/>
      <c r="F126" s="80" t="n"/>
      <c r="G126" s="80" t="n"/>
      <c r="H126" s="80" t="n"/>
      <c r="I126" s="80" t="n"/>
      <c r="J126" s="80" t="n"/>
      <c r="K126" t="inlineStr">
        <is>
          <t>SEND THE PERSON FOR PAYMENT | DSO WILL COLLECT | DSO WILL COLLECT</t>
        </is>
      </c>
    </row>
    <row r="127">
      <c r="A127" s="81" t="n">
        <v>46112</v>
      </c>
      <c r="B127" s="80" t="inlineStr">
        <is>
          <t>C-SLG/2493/25-26</t>
        </is>
      </c>
      <c r="C127" s="79" t="n"/>
      <c r="D127" s="80" t="n">
        <v>45625</v>
      </c>
      <c r="E127" s="79" t="n">
        <v>45625</v>
      </c>
      <c r="F127" s="82" t="n">
        <v>46137</v>
      </c>
      <c r="G127" s="80">
        <f>$E$2-F127</f>
        <v/>
      </c>
      <c r="H127" s="80" t="n"/>
      <c r="I127" s="80" t="n"/>
      <c r="J127" s="80" t="n"/>
    </row>
    <row r="128">
      <c r="A128" s="81" t="n">
        <v>46137</v>
      </c>
      <c r="B128" s="80" t="inlineStr">
        <is>
          <t>C-SLG/0069/26-27</t>
        </is>
      </c>
      <c r="C128" s="79" t="n"/>
      <c r="D128" s="80" t="n">
        <v>91396</v>
      </c>
      <c r="E128" s="79" t="n">
        <v>91396</v>
      </c>
      <c r="F128" s="82" t="n">
        <v>46162</v>
      </c>
      <c r="G128" s="80">
        <f>$E$2-F128</f>
        <v/>
      </c>
      <c r="H128" s="80" t="n"/>
      <c r="I128" s="80" t="n"/>
      <c r="J128" s="80" t="n"/>
    </row>
    <row r="129">
      <c r="A129" s="79" t="n"/>
      <c r="B129" s="80" t="n"/>
      <c r="C129" s="79" t="n"/>
      <c r="D129" s="80" t="n">
        <v>137021</v>
      </c>
      <c r="E129" s="79" t="n">
        <v>137021</v>
      </c>
      <c r="F129" s="80" t="n"/>
      <c r="G129" s="80" t="n"/>
      <c r="H129" s="80" t="n"/>
      <c r="I129" s="80" t="n"/>
      <c r="J129" s="80" t="n"/>
    </row>
    <row r="130">
      <c r="A130" s="79" t="n"/>
      <c r="B130" s="80" t="n"/>
      <c r="C130" s="79" t="inlineStr">
        <is>
          <t>V Raja Stationery</t>
        </is>
      </c>
      <c r="D130" s="80" t="n"/>
      <c r="E130" s="79" t="n"/>
      <c r="F130" s="80" t="n"/>
      <c r="G130" s="80" t="n"/>
      <c r="H130" s="80" t="n"/>
      <c r="I130" s="80" t="n"/>
      <c r="J130" s="80" t="n"/>
      <c r="K130" t="inlineStr">
        <is>
          <t>HE WILLPAY HIS IN OUT SATION | HE HIS IN OUT SATION IN 2 DAYS HE WILL PAY | HE NEED TIME TO PAY HIS IN HOSPITAL | CUSTOMER IN HOSPITAL</t>
        </is>
      </c>
    </row>
    <row r="131">
      <c r="A131" s="81" t="n">
        <v>46087</v>
      </c>
      <c r="B131" s="80" t="inlineStr">
        <is>
          <t>C-SLG/2330/25-26</t>
        </is>
      </c>
      <c r="C131" s="79" t="n"/>
      <c r="D131" s="80" t="n">
        <v>52613</v>
      </c>
      <c r="E131" s="79" t="n">
        <v>52613</v>
      </c>
      <c r="F131" s="82" t="n">
        <v>46112</v>
      </c>
      <c r="G131" s="80">
        <f>$E$2-F131</f>
        <v/>
      </c>
      <c r="H131" s="80" t="n"/>
      <c r="I131" s="80" t="n"/>
      <c r="J131" s="80" t="inlineStr">
        <is>
          <t>Call Disconnected</t>
        </is>
      </c>
    </row>
    <row r="132">
      <c r="A132" s="81" t="n">
        <v>46109</v>
      </c>
      <c r="B132" s="80" t="inlineStr">
        <is>
          <t>C-SLG/2466/25-26</t>
        </is>
      </c>
      <c r="C132" s="79" t="n"/>
      <c r="D132" s="80" t="n">
        <v>88584</v>
      </c>
      <c r="E132" s="79" t="n">
        <v>88584</v>
      </c>
      <c r="F132" s="82" t="n">
        <v>46134</v>
      </c>
      <c r="G132" s="80">
        <f>$E$2-F132</f>
        <v/>
      </c>
      <c r="H132" s="80" t="n"/>
      <c r="I132" s="80" t="n"/>
      <c r="J132" s="80" t="inlineStr">
        <is>
          <t>Call Disconnected</t>
        </is>
      </c>
    </row>
    <row r="133">
      <c r="A133" s="79" t="n"/>
      <c r="B133" s="80" t="n"/>
      <c r="C133" s="79" t="n"/>
      <c r="D133" s="80" t="n">
        <v>141197</v>
      </c>
      <c r="E133" s="79" t="n">
        <v>141197</v>
      </c>
      <c r="F133" s="80" t="n"/>
      <c r="G133" s="80" t="n"/>
      <c r="H133" s="80" t="n"/>
      <c r="I133" s="80" t="n"/>
      <c r="J133" s="80" t="n"/>
    </row>
    <row r="134">
      <c r="A134" s="79" t="n"/>
      <c r="B134" s="80" t="n"/>
      <c r="C134" s="79" t="inlineStr">
        <is>
          <t>Yash Marketing</t>
        </is>
      </c>
      <c r="D134" s="80" t="n"/>
      <c r="E134" s="79" t="n"/>
      <c r="F134" s="80" t="n"/>
      <c r="G134" s="80" t="n"/>
      <c r="H134" s="80" t="n"/>
      <c r="I134" s="80" t="n"/>
      <c r="J134" s="80" t="n"/>
      <c r="K134" t="inlineStr">
        <is>
          <t>RINGING NOT RESPONDING | OUT SATION  AFTER COMING  HEWILL PAY | RINGING NOT RESPONDING</t>
        </is>
      </c>
    </row>
    <row r="135">
      <c r="A135" s="81" t="n">
        <v>46140</v>
      </c>
      <c r="B135" s="80" t="inlineStr">
        <is>
          <t>Chq Bounce-173</t>
        </is>
      </c>
      <c r="C135" s="79" t="n"/>
      <c r="D135" s="80" t="n">
        <v>46578</v>
      </c>
      <c r="E135" s="79" t="n">
        <v>46578</v>
      </c>
      <c r="F135" s="82" t="n">
        <v>46140</v>
      </c>
      <c r="G135" s="80">
        <f>$E$2-F135</f>
        <v/>
      </c>
      <c r="H135" s="80" t="n"/>
      <c r="I135" s="80" t="n"/>
      <c r="J135" s="80" t="inlineStr">
        <is>
          <t>Ringing Not Responding</t>
        </is>
      </c>
    </row>
    <row r="136">
      <c r="A136" s="79" t="n"/>
      <c r="B136" s="80" t="n"/>
      <c r="C136" s="79" t="n"/>
      <c r="D136" s="80" t="n">
        <v>46578</v>
      </c>
      <c r="E136" s="79" t="n">
        <v>46578</v>
      </c>
      <c r="F136" s="80" t="n"/>
      <c r="G136" s="80" t="n"/>
      <c r="H136" s="80" t="n"/>
      <c r="I136" s="80" t="n"/>
      <c r="J136" s="80" t="n"/>
    </row>
    <row r="137">
      <c r="C137" t="inlineStr">
        <is>
          <t>DURGA STATIONERY MART</t>
        </is>
      </c>
    </row>
    <row r="138">
      <c r="A138" t="inlineStr">
        <is>
          <t>2026-05-15</t>
        </is>
      </c>
      <c r="B138" t="inlineStr">
        <is>
          <t>C-SLG/0136/26-27</t>
        </is>
      </c>
      <c r="D138" t="n">
        <v>22374</v>
      </c>
      <c r="E138" t="n">
        <v>22374</v>
      </c>
      <c r="F138" t="inlineStr">
        <is>
          <t>2026-06-09</t>
        </is>
      </c>
    </row>
    <row r="139">
      <c r="C139" t="inlineStr">
        <is>
          <t>Ganesh Stationery</t>
        </is>
      </c>
    </row>
    <row r="140">
      <c r="A140" t="inlineStr">
        <is>
          <t>2026-03-06</t>
        </is>
      </c>
      <c r="B140" t="inlineStr">
        <is>
          <t>C-SLG/2323/25-26</t>
        </is>
      </c>
      <c r="D140" t="n">
        <v>1427</v>
      </c>
      <c r="E140" t="n">
        <v>1427</v>
      </c>
      <c r="F140" t="inlineStr">
        <is>
          <t>2026-03-31</t>
        </is>
      </c>
    </row>
    <row r="141">
      <c r="C141" t="inlineStr">
        <is>
          <t>MARUTHI MARKETING</t>
        </is>
      </c>
    </row>
    <row r="142">
      <c r="A142" t="inlineStr">
        <is>
          <t>2026-04-30</t>
        </is>
      </c>
      <c r="B142" t="inlineStr">
        <is>
          <t>C-SLG/0082/26-27</t>
        </is>
      </c>
      <c r="D142" t="n">
        <v>44999</v>
      </c>
      <c r="E142" t="n">
        <v>44999</v>
      </c>
      <c r="F142" t="inlineStr">
        <is>
          <t>2026-05-25</t>
        </is>
      </c>
    </row>
    <row r="143">
      <c r="A143" t="inlineStr">
        <is>
          <t>2026-05-14</t>
        </is>
      </c>
      <c r="B143" t="inlineStr">
        <is>
          <t>C-SLG/0129/26-27</t>
        </is>
      </c>
      <c r="D143" t="n">
        <v>41544</v>
      </c>
      <c r="E143" t="n">
        <v>41544</v>
      </c>
      <c r="F143" t="inlineStr">
        <is>
          <t>2026-06-08</t>
        </is>
      </c>
    </row>
    <row r="144">
      <c r="C144" t="inlineStr">
        <is>
          <t>Murali Stationery Mart</t>
        </is>
      </c>
    </row>
    <row r="145">
      <c r="A145" t="inlineStr">
        <is>
          <t>2026-05-14</t>
        </is>
      </c>
      <c r="B145" t="inlineStr">
        <is>
          <t>C-SLG/0131/26-27</t>
        </is>
      </c>
      <c r="D145" t="n">
        <v>181624</v>
      </c>
      <c r="E145" t="n">
        <v>7464</v>
      </c>
      <c r="F145" t="inlineStr">
        <is>
          <t>2026-06-08</t>
        </is>
      </c>
    </row>
    <row r="146">
      <c r="C146" t="inlineStr">
        <is>
          <t>NARESH STATIONERY</t>
        </is>
      </c>
    </row>
    <row r="147">
      <c r="A147" t="inlineStr">
        <is>
          <t>2026-03-06</t>
        </is>
      </c>
      <c r="B147" t="inlineStr">
        <is>
          <t>C-SLG/2324/25-26</t>
        </is>
      </c>
      <c r="D147" t="n">
        <v>1427</v>
      </c>
      <c r="E147" t="n">
        <v>1427</v>
      </c>
      <c r="F147" t="inlineStr">
        <is>
          <t>2026-03-31</t>
        </is>
      </c>
    </row>
    <row r="148">
      <c r="C148" t="inlineStr">
        <is>
          <t>P.Manish Stationary</t>
        </is>
      </c>
    </row>
    <row r="149">
      <c r="A149" t="inlineStr">
        <is>
          <t>2026-05-14</t>
        </is>
      </c>
      <c r="B149" t="inlineStr">
        <is>
          <t>C-SLG/0120/26-27</t>
        </is>
      </c>
      <c r="D149" t="n">
        <v>25431</v>
      </c>
      <c r="E149" t="n">
        <v>25431</v>
      </c>
      <c r="F149" t="inlineStr">
        <is>
          <t>2026-06-08</t>
        </is>
      </c>
    </row>
    <row r="150">
      <c r="C150" t="inlineStr">
        <is>
          <t>Prajapathi Enterprises</t>
        </is>
      </c>
    </row>
    <row r="151">
      <c r="A151" t="inlineStr">
        <is>
          <t>2026-05-19</t>
        </is>
      </c>
      <c r="B151" t="inlineStr">
        <is>
          <t>C-SLG/0149/26-27</t>
        </is>
      </c>
      <c r="D151" t="n">
        <v>70455</v>
      </c>
      <c r="E151" t="n">
        <v>70455</v>
      </c>
      <c r="F151" t="inlineStr">
        <is>
          <t>2026-06-13</t>
        </is>
      </c>
    </row>
    <row r="152">
      <c r="C152" t="inlineStr">
        <is>
          <t>Rajan Stationers</t>
        </is>
      </c>
    </row>
    <row r="153">
      <c r="A153" t="inlineStr">
        <is>
          <t>2026-03-06</t>
        </is>
      </c>
      <c r="B153" t="inlineStr">
        <is>
          <t>C-SLG/2329/25-26</t>
        </is>
      </c>
      <c r="D153" t="n">
        <v>23318</v>
      </c>
      <c r="E153" t="n">
        <v>23318</v>
      </c>
      <c r="F153" t="inlineStr">
        <is>
          <t>2026-03-31</t>
        </is>
      </c>
    </row>
    <row r="154">
      <c r="C154" t="inlineStr">
        <is>
          <t>RATAN STATIONARY MART</t>
        </is>
      </c>
    </row>
    <row r="155">
      <c r="A155" t="inlineStr">
        <is>
          <t>2026-04-30</t>
        </is>
      </c>
      <c r="B155" t="inlineStr">
        <is>
          <t>C-SLG/0080/26-27</t>
        </is>
      </c>
      <c r="D155" t="n">
        <v>22849</v>
      </c>
      <c r="E155" t="n">
        <v>22849</v>
      </c>
      <c r="F155" t="inlineStr">
        <is>
          <t>2026-05-25</t>
        </is>
      </c>
    </row>
    <row r="156">
      <c r="A156" t="inlineStr">
        <is>
          <t>2026-05-07</t>
        </is>
      </c>
      <c r="B156" t="inlineStr">
        <is>
          <t>C-SLG/0096/26-27</t>
        </is>
      </c>
      <c r="D156" t="n">
        <v>22849</v>
      </c>
      <c r="E156" t="n">
        <v>22849</v>
      </c>
      <c r="F156" t="inlineStr">
        <is>
          <t>2026-06-01</t>
        </is>
      </c>
    </row>
    <row r="157">
      <c r="C157" t="inlineStr">
        <is>
          <t>SRI RAJKRUPA STATIONERS</t>
        </is>
      </c>
    </row>
    <row r="158">
      <c r="A158" t="inlineStr">
        <is>
          <t>2026-05-06</t>
        </is>
      </c>
      <c r="B158" t="inlineStr">
        <is>
          <t>C-SLG/0091/26-27</t>
        </is>
      </c>
      <c r="D158" t="n">
        <v>43882</v>
      </c>
      <c r="E158" t="n">
        <v>43882</v>
      </c>
      <c r="F158" t="inlineStr">
        <is>
          <t>2026-05-31</t>
        </is>
      </c>
    </row>
    <row r="159">
      <c r="A159" t="inlineStr">
        <is>
          <t>2026-05-21</t>
        </is>
      </c>
      <c r="B159" t="inlineStr">
        <is>
          <t>C-SLG/0159/26-27</t>
        </is>
      </c>
      <c r="D159" t="n">
        <v>51464</v>
      </c>
      <c r="E159" t="n">
        <v>51464</v>
      </c>
      <c r="F159" t="inlineStr">
        <is>
          <t>2026-06-15</t>
        </is>
      </c>
    </row>
    <row r="160">
      <c r="A160" t="inlineStr">
        <is>
          <t>2026-05-02</t>
        </is>
      </c>
      <c r="B160" t="inlineStr">
        <is>
          <t>Chq Bounce-239</t>
        </is>
      </c>
      <c r="D160" t="n">
        <v>27811</v>
      </c>
      <c r="E160" t="n">
        <v>27811</v>
      </c>
      <c r="F160" t="inlineStr">
        <is>
          <t>2026-05-27</t>
        </is>
      </c>
    </row>
    <row r="161">
      <c r="A161" t="inlineStr">
        <is>
          <t>2026-05-02</t>
        </is>
      </c>
      <c r="B161" t="inlineStr">
        <is>
          <t>Bounce Charges-2440</t>
        </is>
      </c>
      <c r="D161" t="n">
        <v>500</v>
      </c>
      <c r="E161" t="n">
        <v>500</v>
      </c>
      <c r="F161" t="inlineStr">
        <is>
          <t>2026-05-27</t>
        </is>
      </c>
    </row>
    <row r="162">
      <c r="A162" t="inlineStr">
        <is>
          <t>2026-05-21</t>
        </is>
      </c>
      <c r="B162" t="inlineStr">
        <is>
          <t>C-SLG/0158/26-27</t>
        </is>
      </c>
      <c r="D162" t="n">
        <v>28902</v>
      </c>
      <c r="E162" t="n">
        <v>28902</v>
      </c>
      <c r="F162" t="inlineStr">
        <is>
          <t>2026-06-15</t>
        </is>
      </c>
    </row>
    <row r="163">
      <c r="A163" t="inlineStr">
        <is>
          <t>2026-05-21</t>
        </is>
      </c>
      <c r="B163" t="inlineStr">
        <is>
          <t>C-SLG/0157/26-27</t>
        </is>
      </c>
      <c r="D163" t="n">
        <v>82798</v>
      </c>
      <c r="E163" t="n">
        <v>82798</v>
      </c>
      <c r="F163" t="inlineStr">
        <is>
          <t>2026-06-15</t>
        </is>
      </c>
    </row>
    <row r="164">
      <c r="A164" t="inlineStr">
        <is>
          <t>2026-05-19</t>
        </is>
      </c>
      <c r="B164" t="inlineStr">
        <is>
          <t>C-SLG/0152/26-27</t>
        </is>
      </c>
      <c r="D164" t="n">
        <v>59677</v>
      </c>
      <c r="E164" t="n">
        <v>59677</v>
      </c>
      <c r="F164" t="inlineStr">
        <is>
          <t>2026-06-13</t>
        </is>
      </c>
    </row>
    <row r="165">
      <c r="A165" s="79" t="n"/>
      <c r="B165" s="80" t="n"/>
      <c r="C165" s="32" t="inlineStr">
        <is>
          <t>TOTAL AMOUNT</t>
        </is>
      </c>
      <c r="D165" s="80" t="n">
        <v>5320525.1</v>
      </c>
      <c r="E165" s="79" t="n">
        <v>5127437.98</v>
      </c>
      <c r="F165" s="80" t="n"/>
      <c r="G165" s="80" t="n"/>
      <c r="H165" s="80" t="n"/>
      <c r="I165" s="80" t="n"/>
      <c r="J165" s="80" t="n"/>
    </row>
    <row r="166">
      <c r="A166" s="84" t="n"/>
      <c r="B166" s="85" t="n"/>
      <c r="C166" s="84" t="n"/>
      <c r="D166" s="85" t="n"/>
      <c r="E166" s="84" t="n"/>
      <c r="F166" s="85" t="n"/>
    </row>
    <row r="167">
      <c r="A167" s="84" t="n"/>
      <c r="B167" s="85" t="n"/>
      <c r="C167" s="84" t="n"/>
      <c r="D167" s="85" t="n"/>
      <c r="E167" s="84" t="n"/>
      <c r="F167" s="85" t="n"/>
    </row>
    <row r="168">
      <c r="A168" s="84" t="n"/>
      <c r="B168" s="85" t="n"/>
      <c r="C168" s="84" t="n"/>
      <c r="D168" s="85" t="n"/>
      <c r="E168" s="84" t="n"/>
      <c r="F168" s="85" t="n"/>
    </row>
    <row r="169">
      <c r="A169" s="84" t="n"/>
      <c r="B169" s="85" t="n"/>
      <c r="C169" s="84" t="n"/>
      <c r="D169" s="85" t="n"/>
      <c r="E169" s="84" t="n"/>
      <c r="F169" s="85" t="n"/>
    </row>
    <row r="170">
      <c r="A170" s="84" t="n"/>
      <c r="B170" s="85" t="n"/>
      <c r="C170" s="84" t="n"/>
      <c r="D170" s="85" t="n"/>
      <c r="E170" s="84" t="n"/>
      <c r="F170" s="85" t="n"/>
    </row>
    <row r="171">
      <c r="A171" s="84" t="n"/>
      <c r="B171" s="85" t="n"/>
      <c r="C171" s="84" t="n"/>
      <c r="D171" s="85" t="n"/>
      <c r="E171" s="84" t="n"/>
      <c r="F171" s="85" t="n"/>
    </row>
    <row r="172">
      <c r="A172" s="84" t="n"/>
      <c r="B172" s="85" t="n"/>
      <c r="C172" s="84" t="n"/>
      <c r="D172" s="85" t="n"/>
      <c r="E172" s="84" t="n"/>
      <c r="F172" s="85" t="n"/>
    </row>
    <row r="173">
      <c r="A173" s="84" t="n"/>
      <c r="B173" s="85" t="n"/>
      <c r="C173" s="84" t="n"/>
      <c r="D173" s="85" t="n"/>
      <c r="E173" s="84" t="n"/>
      <c r="F173" s="85" t="n"/>
    </row>
    <row r="174">
      <c r="A174" s="84" t="n"/>
      <c r="B174" s="85" t="n"/>
      <c r="C174" s="84" t="n"/>
      <c r="D174" s="85" t="n"/>
      <c r="E174" s="84" t="n"/>
      <c r="F174" s="85" t="n"/>
    </row>
    <row r="175">
      <c r="A175" s="84" t="n"/>
      <c r="B175" s="85" t="n"/>
      <c r="C175" s="84" t="n"/>
      <c r="D175" s="85" t="n"/>
      <c r="E175" s="84" t="n"/>
      <c r="F175" s="85" t="n"/>
      <c r="G175" s="85" t="n"/>
    </row>
    <row r="176">
      <c r="A176" s="84" t="n"/>
      <c r="B176" s="85" t="n"/>
      <c r="C176" s="84" t="n"/>
      <c r="D176" s="85" t="n"/>
      <c r="E176" s="84" t="n"/>
      <c r="F176" s="85" t="n"/>
      <c r="G176" s="85" t="n"/>
    </row>
    <row r="177">
      <c r="A177" s="84" t="n"/>
      <c r="B177" s="85" t="n"/>
      <c r="C177" s="84" t="n"/>
      <c r="D177" s="85" t="n"/>
      <c r="E177" s="84" t="n"/>
      <c r="F177" s="85" t="n"/>
      <c r="G177" s="85" t="n"/>
    </row>
    <row r="178">
      <c r="A178" s="84" t="n"/>
      <c r="B178" s="85" t="n"/>
      <c r="C178" s="84" t="n"/>
      <c r="D178" s="85" t="n"/>
      <c r="E178" s="84" t="n"/>
      <c r="F178" s="85" t="n"/>
      <c r="G178" s="85" t="n"/>
    </row>
    <row r="179">
      <c r="A179" s="84" t="n"/>
      <c r="B179" s="85" t="n"/>
      <c r="C179" s="84" t="n"/>
      <c r="D179" s="85" t="n"/>
      <c r="E179" s="84" t="n"/>
      <c r="F179" s="85" t="n"/>
      <c r="G179" s="85" t="n"/>
    </row>
    <row r="180">
      <c r="A180" s="84" t="n"/>
      <c r="B180" s="85" t="n"/>
      <c r="C180" s="84" t="n"/>
      <c r="D180" s="85" t="n"/>
      <c r="E180" s="84" t="n"/>
      <c r="F180" s="85" t="n"/>
      <c r="G180" s="85" t="n"/>
    </row>
    <row r="181">
      <c r="A181" s="84" t="n"/>
      <c r="B181" s="85" t="n"/>
      <c r="C181" s="84" t="n"/>
      <c r="D181" s="85" t="n"/>
      <c r="E181" s="84" t="n"/>
      <c r="F181" s="85" t="n"/>
      <c r="G181" s="85" t="n"/>
    </row>
    <row r="182">
      <c r="A182" s="84" t="n"/>
      <c r="B182" s="85" t="n"/>
      <c r="C182" s="84" t="n"/>
      <c r="D182" s="85" t="n"/>
      <c r="E182" s="84" t="n"/>
      <c r="F182" s="85" t="n"/>
      <c r="G182" s="85" t="n"/>
    </row>
    <row r="183">
      <c r="A183" s="84" t="n"/>
      <c r="B183" s="85" t="n"/>
      <c r="C183" s="84" t="n"/>
      <c r="D183" s="85" t="n"/>
      <c r="E183" s="84" t="n"/>
      <c r="F183" s="85" t="n"/>
      <c r="G183" s="85" t="n"/>
    </row>
    <row r="184">
      <c r="A184" s="84" t="n"/>
      <c r="B184" s="85" t="n"/>
      <c r="C184" s="84" t="n"/>
      <c r="D184" s="85" t="n"/>
      <c r="E184" s="84" t="n"/>
      <c r="F184" s="85" t="n"/>
      <c r="G184" s="85" t="n"/>
    </row>
    <row r="185">
      <c r="A185" s="84" t="n"/>
      <c r="B185" s="85" t="n"/>
      <c r="C185" s="84" t="n"/>
      <c r="D185" s="85" t="n"/>
      <c r="E185" s="84" t="n"/>
      <c r="F185" s="85" t="n"/>
      <c r="G185" s="85" t="n"/>
    </row>
    <row r="186">
      <c r="A186" s="84" t="n"/>
      <c r="B186" s="85" t="n"/>
      <c r="C186" s="84" t="n"/>
      <c r="D186" s="85" t="n"/>
      <c r="E186" s="84" t="n"/>
      <c r="F186" s="85" t="n"/>
      <c r="G186" s="85" t="n"/>
    </row>
    <row r="187">
      <c r="A187" s="84" t="n"/>
      <c r="B187" s="85" t="n"/>
      <c r="C187" s="84" t="n"/>
      <c r="D187" s="85" t="n"/>
      <c r="E187" s="84" t="n"/>
      <c r="F187" s="85" t="n"/>
      <c r="G187" s="85" t="n"/>
    </row>
    <row r="188">
      <c r="A188" s="84" t="n"/>
      <c r="B188" s="85" t="n"/>
      <c r="C188" s="84" t="n"/>
      <c r="D188" s="85" t="n"/>
      <c r="E188" s="84" t="n"/>
      <c r="F188" s="85" t="n"/>
      <c r="G188" s="85" t="n"/>
    </row>
    <row r="189">
      <c r="A189" s="84" t="n"/>
      <c r="B189" s="85" t="n"/>
      <c r="C189" s="84" t="n"/>
      <c r="D189" s="85" t="n"/>
      <c r="E189" s="84" t="n"/>
      <c r="F189" s="85" t="n"/>
      <c r="G189" s="85" t="n"/>
    </row>
    <row r="190">
      <c r="A190" s="84" t="n"/>
      <c r="B190" s="85" t="n"/>
      <c r="C190" s="84" t="n"/>
      <c r="D190" s="85" t="n"/>
      <c r="E190" s="84" t="n"/>
      <c r="F190" s="85" t="n"/>
      <c r="G190" s="85" t="n"/>
    </row>
    <row r="191">
      <c r="A191" s="84" t="n"/>
      <c r="B191" s="85" t="n"/>
      <c r="C191" s="84" t="n"/>
      <c r="D191" s="85" t="n"/>
      <c r="E191" s="84" t="n"/>
      <c r="F191" s="85" t="n"/>
      <c r="G191" s="85" t="n"/>
    </row>
    <row r="192">
      <c r="A192" s="84" t="n"/>
      <c r="B192" s="85" t="n"/>
      <c r="C192" s="84" t="n"/>
      <c r="D192" s="85" t="n"/>
      <c r="E192" s="84" t="n"/>
      <c r="F192" s="85" t="n"/>
      <c r="G192" s="85" t="n"/>
    </row>
    <row r="193">
      <c r="A193" s="84" t="n"/>
      <c r="B193" s="85" t="n"/>
      <c r="C193" s="84" t="n"/>
      <c r="D193" s="85" t="n"/>
      <c r="E193" s="84" t="n"/>
      <c r="F193" s="85" t="n"/>
      <c r="G193" s="85" t="n"/>
    </row>
    <row r="194">
      <c r="A194" s="84" t="n"/>
      <c r="B194" s="85" t="n"/>
      <c r="C194" s="84" t="n"/>
      <c r="D194" s="85" t="n"/>
      <c r="E194" s="84" t="n"/>
      <c r="F194" s="85" t="n"/>
      <c r="G194" s="85" t="n"/>
    </row>
    <row r="195">
      <c r="A195" s="84" t="n"/>
      <c r="B195" s="85" t="n"/>
      <c r="C195" s="84" t="n"/>
      <c r="D195" s="85" t="n"/>
      <c r="E195" s="84" t="n"/>
      <c r="F195" s="85" t="n"/>
      <c r="G195" s="85" t="n"/>
    </row>
  </sheetData>
  <mergeCells count="2">
    <mergeCell ref="B1:C1"/>
    <mergeCell ref="B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4.4"/>
  <cols>
    <col width="10.109375" customWidth="1" style="243" min="1" max="1"/>
    <col width="22" customWidth="1" style="243" min="2" max="2"/>
    <col width="43.6640625" customWidth="1" style="243" min="3" max="3"/>
    <col width="13.44140625" customWidth="1" style="243" min="4" max="4"/>
    <col width="11" customWidth="1" style="243" min="5" max="5"/>
    <col width="8.44140625" customWidth="1" style="243" min="6" max="6"/>
    <col width="16.109375" customWidth="1" style="243" min="7" max="7"/>
    <col width="9.33203125" customWidth="1" style="243" min="8" max="8"/>
    <col width="15" customWidth="1" style="243" min="9" max="9"/>
    <col width="19" customWidth="1" style="243" min="10" max="10"/>
  </cols>
  <sheetData>
    <row r="1">
      <c r="A1" s="70" t="inlineStr">
        <is>
          <t>Group:</t>
        </is>
      </c>
      <c r="B1" s="267" t="inlineStr">
        <is>
          <t>Vinod</t>
        </is>
      </c>
      <c r="C1" s="264" t="n"/>
    </row>
    <row r="2">
      <c r="A2" s="86" t="inlineStr">
        <is>
          <t>Details of:</t>
        </is>
      </c>
      <c r="B2" s="269" t="inlineStr">
        <is>
          <t>Pending Bills</t>
        </is>
      </c>
      <c r="C2" s="264" t="n"/>
      <c r="D2" s="87" t="inlineStr">
        <is>
          <t>Today Date:</t>
        </is>
      </c>
      <c r="E2" s="88">
        <f>TODAY()</f>
        <v/>
      </c>
    </row>
    <row r="3" ht="5.25" customHeight="1" s="243"/>
    <row r="4">
      <c r="A4" s="73" t="inlineStr">
        <is>
          <t>Date</t>
        </is>
      </c>
      <c r="B4" s="73" t="inlineStr">
        <is>
          <t>Ref. No.</t>
        </is>
      </c>
      <c r="C4" s="73" t="inlineStr">
        <is>
          <t>Party's Name</t>
        </is>
      </c>
      <c r="D4" s="73" t="inlineStr">
        <is>
          <t>Opening Amt</t>
        </is>
      </c>
      <c r="E4" s="73" t="inlineStr">
        <is>
          <t>Total Amt</t>
        </is>
      </c>
      <c r="F4" s="73" t="inlineStr">
        <is>
          <t>Due on</t>
        </is>
      </c>
      <c r="G4" s="76" t="inlineStr">
        <is>
          <t>Days Overdue</t>
        </is>
      </c>
      <c r="H4" s="89" t="inlineStr">
        <is>
          <t>Paid Amt</t>
        </is>
      </c>
      <c r="I4" s="89" t="inlineStr">
        <is>
          <t>Pending Amt</t>
        </is>
      </c>
      <c r="J4" s="89" t="inlineStr">
        <is>
          <t>Remark (5/20)</t>
        </is>
      </c>
      <c r="K4" s="108" t="inlineStr">
        <is>
          <t>Last Follow-up Notes</t>
        </is>
      </c>
      <c r="L4" s="90" t="n"/>
      <c r="M4" s="90" t="n"/>
      <c r="N4" s="90" t="n"/>
      <c r="O4" s="90" t="n"/>
      <c r="P4" s="90" t="n"/>
      <c r="Q4" s="90" t="n"/>
      <c r="R4" s="90" t="n"/>
      <c r="S4" s="90" t="n"/>
      <c r="T4" s="90" t="n"/>
    </row>
    <row r="5">
      <c r="A5" s="91" t="n"/>
      <c r="B5" s="92" t="n"/>
      <c r="C5" s="92" t="n"/>
      <c r="D5" s="92" t="n"/>
      <c r="E5" s="92" t="n"/>
      <c r="F5" s="92" t="n"/>
      <c r="G5" s="92" t="n"/>
      <c r="H5" s="93" t="n"/>
      <c r="I5" s="93" t="n"/>
      <c r="J5" s="94" t="inlineStr">
        <is>
          <t>Remark (5/20)</t>
        </is>
      </c>
      <c r="K5" s="95" t="inlineStr">
        <is>
          <t>Last Follow-up Notes</t>
        </is>
      </c>
      <c r="L5" s="95" t="n"/>
      <c r="M5" s="95" t="n"/>
      <c r="N5" s="95" t="n"/>
      <c r="O5" s="96" t="n"/>
      <c r="P5" s="96" t="n"/>
      <c r="Q5" s="96" t="n"/>
      <c r="R5" s="96" t="n"/>
      <c r="S5" s="96" t="n"/>
      <c r="T5" s="96" t="n"/>
    </row>
    <row r="6">
      <c r="A6" s="97" t="n"/>
      <c r="B6" s="98" t="n"/>
      <c r="C6" s="24" t="inlineStr">
        <is>
          <t>Apple Gift Gallery</t>
        </is>
      </c>
      <c r="D6" s="98" t="n"/>
      <c r="E6" s="98" t="n"/>
      <c r="F6" s="98" t="n"/>
      <c r="G6" s="98" t="n"/>
      <c r="H6" s="22" t="n"/>
      <c r="I6" s="22" t="n"/>
      <c r="J6" s="23" t="n"/>
      <c r="K6" s="99" t="n"/>
      <c r="L6" s="99" t="n"/>
      <c r="M6" s="99" t="n"/>
      <c r="N6" s="99" t="n"/>
      <c r="O6" s="90" t="n"/>
      <c r="P6" s="90" t="n"/>
      <c r="Q6" s="90" t="n"/>
      <c r="R6" s="90" t="n"/>
      <c r="S6" s="90" t="n"/>
      <c r="T6" s="90" t="n"/>
    </row>
    <row r="7">
      <c r="A7" s="25" t="n">
        <v>46125</v>
      </c>
      <c r="B7" s="26" t="inlineStr">
        <is>
          <t>C-SLG/0033/26-27</t>
        </is>
      </c>
      <c r="C7" s="98" t="n"/>
      <c r="D7" s="30" t="n">
        <v>5452</v>
      </c>
      <c r="E7" s="20" t="n">
        <v>5452</v>
      </c>
      <c r="F7" s="28" t="n">
        <v>46150</v>
      </c>
      <c r="G7" s="29">
        <f>$E$2-F7</f>
        <v/>
      </c>
      <c r="H7" s="22" t="n"/>
      <c r="I7" s="22" t="n"/>
      <c r="J7" s="23" t="n"/>
      <c r="K7" s="99" t="n"/>
      <c r="L7" s="99" t="n"/>
      <c r="M7" s="99" t="n"/>
      <c r="N7" s="99" t="n"/>
      <c r="O7" s="90" t="n"/>
      <c r="P7" s="90" t="n"/>
      <c r="Q7" s="90" t="n"/>
      <c r="R7" s="90" t="n"/>
      <c r="S7" s="90" t="n"/>
      <c r="T7" s="90" t="n"/>
    </row>
    <row r="8">
      <c r="A8" s="97" t="n"/>
      <c r="B8" s="98" t="n"/>
      <c r="C8" s="98" t="n"/>
      <c r="D8" s="30" t="n">
        <v>5452</v>
      </c>
      <c r="E8" s="20" t="n">
        <v>5452</v>
      </c>
      <c r="F8" s="98" t="n"/>
      <c r="G8" s="98" t="n"/>
      <c r="H8" s="22" t="n">
        <v>0</v>
      </c>
      <c r="I8" s="22">
        <f>E8-H8</f>
        <v/>
      </c>
      <c r="J8" s="23" t="n"/>
      <c r="K8" s="99" t="n"/>
      <c r="L8" s="99" t="n"/>
      <c r="M8" s="99" t="n"/>
      <c r="N8" s="99" t="n"/>
      <c r="O8" s="90" t="n"/>
      <c r="P8" s="90" t="n"/>
      <c r="Q8" s="90" t="n"/>
      <c r="R8" s="90" t="n"/>
      <c r="S8" s="90" t="n"/>
      <c r="T8" s="90" t="n"/>
    </row>
    <row r="9">
      <c r="A9" s="97" t="n"/>
      <c r="B9" s="98" t="n"/>
      <c r="C9" s="24" t="inlineStr">
        <is>
          <t>Ashtar Enteprises</t>
        </is>
      </c>
      <c r="D9" s="98" t="n"/>
      <c r="E9" s="98" t="n"/>
      <c r="F9" s="98" t="n"/>
      <c r="G9" s="98" t="n"/>
      <c r="H9" s="22" t="n"/>
      <c r="I9" s="22" t="n"/>
      <c r="J9" s="23" t="n"/>
      <c r="K9" s="99" t="n"/>
      <c r="L9" s="99" t="n"/>
      <c r="M9" s="99" t="n"/>
      <c r="N9" s="99" t="n"/>
      <c r="O9" s="90" t="n"/>
      <c r="P9" s="90" t="n"/>
      <c r="Q9" s="90" t="n"/>
      <c r="R9" s="90" t="n"/>
      <c r="S9" s="90" t="n"/>
      <c r="T9" s="90" t="n"/>
    </row>
    <row r="10">
      <c r="A10" s="25" t="n">
        <v>46133</v>
      </c>
      <c r="B10" s="26" t="inlineStr">
        <is>
          <t>C-SLG/0059/26-27</t>
        </is>
      </c>
      <c r="C10" s="98" t="n"/>
      <c r="D10" s="30" t="n">
        <v>13436</v>
      </c>
      <c r="E10" s="20" t="n">
        <v>13436</v>
      </c>
      <c r="F10" s="28" t="n">
        <v>46158</v>
      </c>
      <c r="G10" s="29">
        <f>$E$2-F10</f>
        <v/>
      </c>
      <c r="H10" s="22" t="n"/>
      <c r="I10" s="22" t="n"/>
      <c r="J10" s="23" t="n"/>
      <c r="K10" s="99" t="n"/>
      <c r="L10" s="99" t="n"/>
      <c r="M10" s="99" t="n"/>
      <c r="N10" s="99" t="n"/>
      <c r="O10" s="90" t="n"/>
      <c r="P10" s="90" t="n"/>
      <c r="Q10" s="90" t="n"/>
      <c r="R10" s="90" t="n"/>
      <c r="S10" s="90" t="n"/>
      <c r="T10" s="90" t="n"/>
    </row>
    <row r="11">
      <c r="A11" s="97" t="n"/>
      <c r="B11" s="98" t="n"/>
      <c r="C11" s="98" t="n"/>
      <c r="D11" s="30" t="n">
        <v>13436</v>
      </c>
      <c r="E11" s="20" t="n">
        <v>13436</v>
      </c>
      <c r="F11" s="98" t="n"/>
      <c r="G11" s="98" t="n"/>
      <c r="H11" s="22" t="n">
        <v>0</v>
      </c>
      <c r="I11" s="22">
        <f>E11-H11</f>
        <v/>
      </c>
      <c r="J11" s="23" t="n"/>
      <c r="K11" s="99" t="n"/>
      <c r="L11" s="99" t="n"/>
      <c r="M11" s="99" t="n"/>
      <c r="N11" s="99" t="n"/>
      <c r="O11" s="90" t="n"/>
      <c r="P11" s="90" t="n"/>
      <c r="Q11" s="90" t="n"/>
      <c r="R11" s="90" t="n"/>
      <c r="S11" s="90" t="n"/>
      <c r="T11" s="90" t="n"/>
    </row>
    <row r="12">
      <c r="A12" s="97" t="n"/>
      <c r="B12" s="98" t="n"/>
      <c r="C12" s="24" t="inlineStr">
        <is>
          <t>BSR EXIM</t>
        </is>
      </c>
      <c r="D12" s="98" t="n"/>
      <c r="E12" s="98" t="n"/>
      <c r="F12" s="98" t="n"/>
      <c r="G12" s="98" t="n"/>
      <c r="H12" s="22" t="n"/>
      <c r="I12" s="22" t="n"/>
      <c r="J12" s="23" t="n"/>
      <c r="K12" s="99" t="inlineStr">
        <is>
          <t>HE HIS IN OUT SATION HE WILL PAY | HE HIS OUT SATION HE WILL COME AFTER 22 | AFTER 10 DAYS HE WILL PAY</t>
        </is>
      </c>
      <c r="L12" s="99" t="n"/>
      <c r="M12" s="99" t="n"/>
      <c r="N12" s="99" t="n"/>
      <c r="O12" s="90" t="n"/>
      <c r="P12" s="90" t="n"/>
      <c r="Q12" s="90" t="n"/>
      <c r="R12" s="90" t="n"/>
      <c r="S12" s="90" t="n"/>
      <c r="T12" s="90" t="n"/>
    </row>
    <row r="13">
      <c r="A13" s="25" t="n">
        <v>46105</v>
      </c>
      <c r="B13" s="26" t="inlineStr">
        <is>
          <t>C-SLG/2435/25-26</t>
        </is>
      </c>
      <c r="C13" s="98" t="n"/>
      <c r="D13" s="30" t="n">
        <v>8720</v>
      </c>
      <c r="E13" s="20" t="n">
        <v>8720</v>
      </c>
      <c r="F13" s="28" t="n">
        <v>46130</v>
      </c>
      <c r="G13" s="29">
        <f>$E$2-F13</f>
        <v/>
      </c>
      <c r="H13" s="22" t="n"/>
      <c r="I13" s="22" t="n"/>
      <c r="J13" s="23" t="n"/>
      <c r="K13" s="99" t="n"/>
      <c r="L13" s="99" t="n"/>
      <c r="M13" s="99" t="n"/>
      <c r="N13" s="99" t="n"/>
      <c r="O13" s="90" t="n"/>
      <c r="P13" s="90" t="n"/>
      <c r="Q13" s="90" t="n"/>
      <c r="R13" s="90" t="n"/>
      <c r="S13" s="90" t="n"/>
      <c r="T13" s="90" t="n"/>
    </row>
    <row r="14">
      <c r="A14" s="97" t="n"/>
      <c r="B14" s="98" t="n"/>
      <c r="C14" s="98" t="n"/>
      <c r="D14" s="30" t="n">
        <v>8720</v>
      </c>
      <c r="E14" s="20" t="n">
        <v>8720</v>
      </c>
      <c r="F14" s="98" t="n"/>
      <c r="G14" s="98" t="n"/>
      <c r="H14" s="22" t="n"/>
      <c r="I14" s="22" t="n"/>
      <c r="J14" s="23" t="n"/>
      <c r="K14" s="99" t="n"/>
      <c r="L14" s="99" t="n"/>
      <c r="M14" s="99" t="n"/>
      <c r="N14" s="99" t="n"/>
      <c r="O14" s="90" t="n"/>
      <c r="P14" s="90" t="n"/>
      <c r="Q14" s="90" t="n"/>
      <c r="R14" s="90" t="n"/>
      <c r="S14" s="90" t="n"/>
      <c r="T14" s="90" t="n"/>
    </row>
    <row r="15">
      <c r="A15" s="97" t="n"/>
      <c r="B15" s="98" t="n"/>
      <c r="C15" s="24" t="inlineStr">
        <is>
          <t>Gayathri Book Centre</t>
        </is>
      </c>
      <c r="D15" s="98" t="n"/>
      <c r="E15" s="98" t="n"/>
      <c r="F15" s="98" t="n"/>
      <c r="G15" s="98" t="n"/>
      <c r="H15" s="22" t="n"/>
      <c r="I15" s="22" t="n"/>
      <c r="J15" s="23" t="n"/>
      <c r="K15" s="99" t="inlineStr">
        <is>
          <t>paid online</t>
        </is>
      </c>
      <c r="L15" s="99" t="n"/>
      <c r="M15" s="99" t="n"/>
      <c r="N15" s="99" t="n"/>
      <c r="O15" s="90" t="n"/>
      <c r="P15" s="90" t="n"/>
      <c r="Q15" s="90" t="n"/>
      <c r="R15" s="90" t="n"/>
      <c r="S15" s="90" t="n"/>
      <c r="T15" s="90" t="n"/>
    </row>
    <row r="16">
      <c r="A16" s="25" t="n">
        <v>46135</v>
      </c>
      <c r="B16" s="26" t="inlineStr">
        <is>
          <t>C-SLG/0064/26-27</t>
        </is>
      </c>
      <c r="C16" s="98" t="n"/>
      <c r="D16" s="30" t="n">
        <v>2156</v>
      </c>
      <c r="E16" s="30" t="n">
        <v>2156</v>
      </c>
      <c r="F16" s="28" t="n">
        <v>46160</v>
      </c>
      <c r="G16" s="29">
        <f>$E$2-F16</f>
        <v/>
      </c>
      <c r="H16" s="22">
        <f>H18</f>
        <v/>
      </c>
      <c r="I16" s="22">
        <f>E16-H16</f>
        <v/>
      </c>
      <c r="J16" s="23" t="inlineStr">
        <is>
          <t>Paid Online - Full Amount</t>
        </is>
      </c>
      <c r="K16" s="99" t="n"/>
      <c r="L16" s="99" t="n"/>
      <c r="M16" s="99" t="n"/>
      <c r="N16" s="99" t="n"/>
      <c r="O16" s="90" t="n"/>
      <c r="P16" s="90" t="n"/>
      <c r="Q16" s="90" t="n"/>
      <c r="R16" s="90" t="n"/>
      <c r="S16" s="90" t="n"/>
      <c r="T16" s="90" t="n"/>
    </row>
    <row r="17">
      <c r="A17" s="25" t="n">
        <v>46151</v>
      </c>
      <c r="B17" s="26" t="inlineStr">
        <is>
          <t>C-SLG/0109/26-27</t>
        </is>
      </c>
      <c r="C17" s="98" t="n"/>
      <c r="D17" s="30" t="n">
        <v>3708</v>
      </c>
      <c r="E17" s="30" t="n">
        <v>3708</v>
      </c>
      <c r="F17" s="28" t="n">
        <v>46176</v>
      </c>
      <c r="G17" s="98" t="n"/>
      <c r="H17" s="22" t="n"/>
      <c r="I17" s="22" t="n"/>
      <c r="J17" s="23" t="n"/>
      <c r="K17" s="99" t="n"/>
      <c r="L17" s="99" t="n"/>
      <c r="M17" s="99" t="n"/>
      <c r="N17" s="99" t="n"/>
      <c r="O17" s="90" t="n"/>
      <c r="P17" s="90" t="n"/>
      <c r="Q17" s="90" t="n"/>
      <c r="R17" s="90" t="n"/>
      <c r="S17" s="90" t="n"/>
      <c r="T17" s="90" t="n"/>
    </row>
    <row r="18">
      <c r="A18" s="97" t="n"/>
      <c r="B18" s="98" t="n"/>
      <c r="C18" s="98" t="n"/>
      <c r="D18" s="30" t="n">
        <v>5864</v>
      </c>
      <c r="E18" s="20" t="n">
        <v>5864</v>
      </c>
      <c r="F18" s="98" t="n"/>
      <c r="G18" s="98" t="n"/>
      <c r="H18" s="22">
        <f>2156</f>
        <v/>
      </c>
      <c r="I18" s="22">
        <f>E18-H18</f>
        <v/>
      </c>
      <c r="J18" s="23" t="n"/>
      <c r="K18" s="99" t="n"/>
      <c r="L18" s="99" t="n"/>
      <c r="M18" s="99" t="n"/>
      <c r="N18" s="99" t="n"/>
      <c r="O18" s="90" t="n"/>
      <c r="P18" s="90" t="n"/>
      <c r="Q18" s="90" t="n"/>
      <c r="R18" s="90" t="n"/>
      <c r="S18" s="90" t="n"/>
      <c r="T18" s="90" t="n"/>
    </row>
    <row r="19">
      <c r="A19" s="97" t="n"/>
      <c r="B19" s="98" t="n"/>
      <c r="C19" s="24" t="inlineStr">
        <is>
          <t>Himalaya Book Binding Works &amp; Stationery</t>
        </is>
      </c>
      <c r="D19" s="98" t="n"/>
      <c r="E19" s="98" t="n"/>
      <c r="F19" s="98" t="n"/>
      <c r="G19" s="98" t="n"/>
      <c r="H19" s="22" t="n"/>
      <c r="I19" s="22" t="n"/>
      <c r="J19" s="23" t="n"/>
      <c r="K19" s="99" t="inlineStr">
        <is>
          <t>RINGING NOT RESPONDING | RINGING NOT RESPONDING | RINGING NOT RESPONDING | RINGING NOT RESPONDING</t>
        </is>
      </c>
      <c r="L19" s="99" t="n"/>
      <c r="M19" s="99" t="n"/>
      <c r="N19" s="99" t="n"/>
      <c r="O19" s="90" t="n"/>
      <c r="P19" s="90" t="n"/>
      <c r="Q19" s="90" t="n"/>
      <c r="R19" s="90" t="n"/>
      <c r="S19" s="90" t="n"/>
      <c r="T19" s="90" t="n"/>
    </row>
    <row r="20">
      <c r="A20" s="25" t="n">
        <v>46109</v>
      </c>
      <c r="B20" s="26" t="inlineStr">
        <is>
          <t>C-SLG/2471/25-26</t>
        </is>
      </c>
      <c r="C20" s="98" t="n"/>
      <c r="D20" s="30" t="n">
        <v>10164</v>
      </c>
      <c r="E20" s="20" t="n">
        <v>10164</v>
      </c>
      <c r="F20" s="28" t="n">
        <v>46134</v>
      </c>
      <c r="G20" s="29">
        <f>$E$2-F20</f>
        <v/>
      </c>
      <c r="H20" s="22" t="n"/>
      <c r="I20" s="22" t="n"/>
      <c r="J20" s="23" t="inlineStr">
        <is>
          <t>Ringing Not Responding</t>
        </is>
      </c>
      <c r="K20" s="99" t="n"/>
      <c r="L20" s="99" t="n"/>
      <c r="M20" s="99" t="n"/>
      <c r="N20" s="99" t="n"/>
      <c r="O20" s="90" t="n"/>
      <c r="P20" s="90" t="n"/>
      <c r="Q20" s="90" t="n"/>
      <c r="R20" s="90" t="n"/>
      <c r="S20" s="90" t="n"/>
      <c r="T20" s="90" t="n"/>
    </row>
    <row r="21">
      <c r="A21" s="97" t="n"/>
      <c r="B21" s="98" t="n"/>
      <c r="C21" s="98" t="n"/>
      <c r="D21" s="30" t="n">
        <v>10164</v>
      </c>
      <c r="E21" s="20" t="n">
        <v>10164</v>
      </c>
      <c r="F21" s="98" t="n"/>
      <c r="G21" s="98" t="n"/>
      <c r="H21" s="22" t="n"/>
      <c r="I21" s="22" t="n"/>
      <c r="J21" s="23" t="n"/>
      <c r="K21" s="99" t="n"/>
      <c r="L21" s="99" t="n"/>
      <c r="M21" s="99" t="n"/>
      <c r="N21" s="99" t="n"/>
      <c r="O21" s="90" t="n"/>
      <c r="P21" s="90" t="n"/>
      <c r="Q21" s="90" t="n"/>
      <c r="R21" s="90" t="n"/>
      <c r="S21" s="90" t="n"/>
      <c r="T21" s="90" t="n"/>
    </row>
    <row r="22">
      <c r="A22" s="97" t="n"/>
      <c r="B22" s="98" t="n"/>
      <c r="C22" s="24" t="inlineStr">
        <is>
          <t>ISLAMIA BOOK DEPOT</t>
        </is>
      </c>
      <c r="D22" s="98" t="n"/>
      <c r="E22" s="98" t="n"/>
      <c r="F22" s="98" t="n"/>
      <c r="G22" s="98" t="n"/>
      <c r="H22" s="22" t="n"/>
      <c r="I22" s="22" t="n"/>
      <c r="J22" s="23" t="n"/>
      <c r="K22" s="99" t="inlineStr">
        <is>
          <t>ringing not responding | HE SAID THAT AFTER  SCHOOLS OPEN HE WILL PAY</t>
        </is>
      </c>
      <c r="L22" s="99" t="n"/>
      <c r="M22" s="99" t="n"/>
      <c r="N22" s="99" t="n"/>
      <c r="O22" s="90" t="n"/>
      <c r="P22" s="90" t="n"/>
      <c r="Q22" s="90" t="n"/>
      <c r="R22" s="90" t="n"/>
      <c r="S22" s="90" t="n"/>
      <c r="T22" s="90" t="n"/>
    </row>
    <row r="23">
      <c r="A23" s="25" t="n">
        <v>46051</v>
      </c>
      <c r="B23" s="26" t="inlineStr">
        <is>
          <t>C-SLG/2141/25-26</t>
        </is>
      </c>
      <c r="C23" s="98" t="n"/>
      <c r="D23" s="30" t="n">
        <v>8136</v>
      </c>
      <c r="E23" s="20" t="n">
        <v>8136</v>
      </c>
      <c r="F23" s="28" t="n">
        <v>46076</v>
      </c>
      <c r="G23" s="29">
        <f>$E$2-F23</f>
        <v/>
      </c>
      <c r="H23" s="22" t="n"/>
      <c r="I23" s="22" t="n"/>
      <c r="J23" s="23" t="inlineStr">
        <is>
          <t>Pay Late (Market Down)</t>
        </is>
      </c>
      <c r="K23" s="99" t="n"/>
      <c r="L23" s="99" t="n"/>
      <c r="M23" s="99" t="n"/>
      <c r="N23" s="99" t="n"/>
      <c r="O23" s="90" t="n"/>
      <c r="P23" s="90" t="n"/>
      <c r="Q23" s="90" t="n"/>
      <c r="R23" s="90" t="n"/>
      <c r="S23" s="90" t="n"/>
      <c r="T23" s="90" t="n"/>
    </row>
    <row r="24">
      <c r="A24" s="97" t="n"/>
      <c r="B24" s="98" t="n"/>
      <c r="C24" s="98" t="n"/>
      <c r="D24" s="30" t="n">
        <v>8136</v>
      </c>
      <c r="E24" s="20" t="n">
        <v>8136</v>
      </c>
      <c r="F24" s="98" t="n"/>
      <c r="G24" s="98" t="n"/>
      <c r="H24" s="22" t="n"/>
      <c r="I24" s="22" t="n"/>
      <c r="J24" s="23" t="n"/>
      <c r="K24" s="99" t="n"/>
      <c r="L24" s="99" t="n"/>
      <c r="M24" s="99" t="n"/>
      <c r="N24" s="99" t="n"/>
      <c r="O24" s="90" t="n"/>
      <c r="P24" s="90" t="n"/>
      <c r="Q24" s="90" t="n"/>
      <c r="R24" s="90" t="n"/>
      <c r="S24" s="90" t="n"/>
      <c r="T24" s="90" t="n"/>
    </row>
    <row r="25">
      <c r="A25" s="97" t="n"/>
      <c r="B25" s="98" t="n"/>
      <c r="C25" s="24" t="inlineStr">
        <is>
          <t>Jyothi Book Center</t>
        </is>
      </c>
      <c r="D25" s="98" t="n"/>
      <c r="E25" s="98" t="n"/>
      <c r="F25" s="98" t="n"/>
      <c r="G25" s="98" t="n"/>
      <c r="H25" s="22" t="n"/>
      <c r="I25" s="22" t="n"/>
      <c r="J25" s="23" t="n"/>
      <c r="K25" s="99" t="inlineStr">
        <is>
          <t>ringing not responding | ringing not responding | ringing not responding | ringing not responding | paid online 2600 / RINGING NOT RESPONDING</t>
        </is>
      </c>
      <c r="L25" s="99" t="n"/>
      <c r="M25" s="99" t="n"/>
      <c r="N25" s="99" t="n"/>
      <c r="O25" s="90" t="n"/>
      <c r="P25" s="90" t="n"/>
      <c r="Q25" s="90" t="n"/>
      <c r="R25" s="90" t="n"/>
      <c r="S25" s="90" t="n"/>
      <c r="T25" s="90" t="n"/>
    </row>
    <row r="26">
      <c r="A26" s="25" t="n">
        <v>46050</v>
      </c>
      <c r="B26" s="26" t="inlineStr">
        <is>
          <t>C-SLG/2123/25-26</t>
        </is>
      </c>
      <c r="C26" s="98" t="n"/>
      <c r="D26" s="30" t="n">
        <v>12200</v>
      </c>
      <c r="E26" s="20" t="n">
        <v>3000</v>
      </c>
      <c r="F26" s="28" t="n">
        <v>46075</v>
      </c>
      <c r="G26" s="29">
        <f>$E$2-F26</f>
        <v/>
      </c>
      <c r="H26" s="22" t="n">
        <v>2600</v>
      </c>
      <c r="I26" s="22">
        <f>E26-H26</f>
        <v/>
      </c>
      <c r="J26" s="23" t="inlineStr">
        <is>
          <t>Paid Online 2,600</t>
        </is>
      </c>
      <c r="K26" s="99" t="n"/>
      <c r="L26" s="99" t="n"/>
      <c r="M26" s="99" t="n"/>
      <c r="N26" s="99" t="n"/>
      <c r="O26" s="90" t="n"/>
      <c r="P26" s="90" t="n"/>
      <c r="Q26" s="90" t="n"/>
      <c r="R26" s="90" t="n"/>
      <c r="S26" s="90" t="n"/>
      <c r="T26" s="90" t="n"/>
    </row>
    <row r="27">
      <c r="A27" s="97" t="n"/>
      <c r="B27" s="98" t="n"/>
      <c r="C27" s="98" t="n"/>
      <c r="D27" s="30" t="n">
        <v>12200</v>
      </c>
      <c r="E27" s="20" t="n">
        <v>3000</v>
      </c>
      <c r="F27" s="98" t="n"/>
      <c r="G27" s="98" t="n"/>
      <c r="H27" s="22" t="n"/>
      <c r="I27" s="22" t="n"/>
      <c r="J27" s="23" t="n"/>
      <c r="K27" s="99" t="n"/>
      <c r="L27" s="99" t="n"/>
      <c r="M27" s="99" t="n"/>
      <c r="N27" s="99" t="n"/>
      <c r="O27" s="90" t="n"/>
      <c r="P27" s="90" t="n"/>
      <c r="Q27" s="90" t="n"/>
      <c r="R27" s="90" t="n"/>
      <c r="S27" s="90" t="n"/>
      <c r="T27" s="90" t="n"/>
    </row>
    <row r="28">
      <c r="A28" s="97" t="n"/>
      <c r="B28" s="98" t="n"/>
      <c r="C28" s="24" t="inlineStr">
        <is>
          <t>KAMAL WATCH COMPANY PRIVATE LIMITED</t>
        </is>
      </c>
      <c r="D28" s="98" t="n"/>
      <c r="E28" s="98" t="n"/>
      <c r="F28" s="98" t="n"/>
      <c r="G28" s="98" t="n"/>
      <c r="H28" s="22" t="n"/>
      <c r="I28" s="22" t="n"/>
      <c r="J28" s="23" t="n"/>
      <c r="K28" s="99" t="n"/>
      <c r="L28" s="99" t="n"/>
      <c r="M28" s="99" t="n"/>
      <c r="N28" s="99" t="n"/>
      <c r="O28" s="90" t="n"/>
      <c r="P28" s="90" t="n"/>
      <c r="Q28" s="90" t="n"/>
      <c r="R28" s="90" t="n"/>
      <c r="S28" s="90" t="n"/>
      <c r="T28" s="90" t="n"/>
    </row>
    <row r="29">
      <c r="A29" s="25" t="n">
        <v>46027</v>
      </c>
      <c r="B29" s="26" t="inlineStr">
        <is>
          <t>C-SLG/2034/25-26</t>
        </is>
      </c>
      <c r="C29" s="98" t="n"/>
      <c r="D29" s="30" t="n">
        <v>13733</v>
      </c>
      <c r="E29" s="20" t="n">
        <v>13733</v>
      </c>
      <c r="F29" s="28" t="n">
        <v>46027</v>
      </c>
      <c r="G29" s="29">
        <f>$E$2-F29</f>
        <v/>
      </c>
      <c r="H29" s="22" t="n"/>
      <c r="I29" s="22" t="n"/>
      <c r="J29" s="23" t="n"/>
      <c r="K29" s="99" t="n"/>
      <c r="L29" s="99" t="n"/>
      <c r="M29" s="99" t="n"/>
      <c r="N29" s="99" t="n"/>
      <c r="O29" s="90" t="n"/>
      <c r="P29" s="90" t="n"/>
      <c r="Q29" s="90" t="n"/>
      <c r="R29" s="90" t="n"/>
      <c r="S29" s="90" t="n"/>
      <c r="T29" s="90" t="n"/>
    </row>
    <row r="30">
      <c r="A30" s="25" t="n">
        <v>46027</v>
      </c>
      <c r="B30" s="26" t="inlineStr">
        <is>
          <t>C-SLG/2035/25-26</t>
        </is>
      </c>
      <c r="C30" s="98" t="n"/>
      <c r="D30" s="30" t="n">
        <v>13733</v>
      </c>
      <c r="E30" s="20" t="n">
        <v>13733</v>
      </c>
      <c r="F30" s="28" t="n">
        <v>46027</v>
      </c>
      <c r="G30" s="29">
        <f>$E$2-F30</f>
        <v/>
      </c>
      <c r="H30" s="22" t="n"/>
      <c r="I30" s="22" t="n"/>
      <c r="J30" s="23" t="n"/>
      <c r="K30" s="99" t="n"/>
      <c r="L30" s="99" t="n"/>
      <c r="M30" s="99" t="n"/>
      <c r="N30" s="99" t="n"/>
      <c r="O30" s="90" t="n"/>
      <c r="P30" s="90" t="n"/>
      <c r="Q30" s="90" t="n"/>
      <c r="R30" s="90" t="n"/>
      <c r="S30" s="90" t="n"/>
      <c r="T30" s="90" t="n"/>
    </row>
    <row r="31">
      <c r="A31" s="97" t="n"/>
      <c r="B31" s="98" t="n"/>
      <c r="C31" s="98" t="n"/>
      <c r="D31" s="30" t="n">
        <v>27466</v>
      </c>
      <c r="E31" s="20" t="n">
        <v>27466</v>
      </c>
      <c r="F31" s="98" t="n"/>
      <c r="G31" s="98" t="n"/>
      <c r="H31" s="22" t="n"/>
      <c r="I31" s="22" t="n"/>
      <c r="J31" s="23" t="inlineStr">
        <is>
          <t>Stock Returned</t>
        </is>
      </c>
      <c r="K31" s="99" t="n"/>
      <c r="L31" s="99" t="n"/>
      <c r="M31" s="99" t="n"/>
      <c r="N31" s="99" t="n"/>
      <c r="O31" s="90" t="n"/>
      <c r="P31" s="90" t="n"/>
      <c r="Q31" s="90" t="n"/>
      <c r="R31" s="90" t="n"/>
      <c r="S31" s="90" t="n"/>
      <c r="T31" s="90" t="n"/>
    </row>
    <row r="32">
      <c r="A32" s="97" t="n"/>
      <c r="B32" s="98" t="n"/>
      <c r="C32" s="24" t="inlineStr">
        <is>
          <t>KIRAN ENTERPRISES</t>
        </is>
      </c>
      <c r="D32" s="98" t="n"/>
      <c r="E32" s="98" t="n"/>
      <c r="F32" s="98" t="n"/>
      <c r="G32" s="98" t="n"/>
      <c r="H32" s="22" t="n"/>
      <c r="I32" s="22" t="n"/>
      <c r="J32" s="23" t="n"/>
      <c r="K32" s="99" t="n"/>
      <c r="L32" s="99" t="n"/>
      <c r="M32" s="99" t="n"/>
      <c r="N32" s="99" t="n"/>
      <c r="O32" s="90" t="n"/>
      <c r="P32" s="90" t="n"/>
      <c r="Q32" s="90" t="n"/>
      <c r="R32" s="90" t="n"/>
      <c r="S32" s="90" t="n"/>
      <c r="T32" s="90" t="n"/>
    </row>
    <row r="33">
      <c r="A33" s="25" t="n">
        <v>46107</v>
      </c>
      <c r="B33" s="26" t="inlineStr">
        <is>
          <t>C-SLG/2454/25-26</t>
        </is>
      </c>
      <c r="C33" s="98" t="n"/>
      <c r="D33" s="30" t="n">
        <v>100</v>
      </c>
      <c r="E33" s="20" t="n">
        <v>100</v>
      </c>
      <c r="F33" s="28" t="n">
        <v>46132</v>
      </c>
      <c r="G33" s="29">
        <f>$E$2-F33</f>
        <v/>
      </c>
      <c r="H33" s="22" t="n"/>
      <c r="I33" s="22" t="n"/>
      <c r="J33" s="23" t="inlineStr">
        <is>
          <t>Number Not Avilable</t>
        </is>
      </c>
      <c r="K33" s="99" t="n"/>
      <c r="L33" s="99" t="n"/>
      <c r="M33" s="99" t="n"/>
      <c r="N33" s="99" t="n"/>
      <c r="O33" s="90" t="n"/>
      <c r="P33" s="90" t="n"/>
      <c r="Q33" s="90" t="n"/>
      <c r="R33" s="90" t="n"/>
      <c r="S33" s="90" t="n"/>
      <c r="T33" s="90" t="n"/>
    </row>
    <row r="34">
      <c r="A34" s="97" t="n"/>
      <c r="B34" s="98" t="n"/>
      <c r="C34" s="98" t="n"/>
      <c r="D34" s="30" t="n">
        <v>100</v>
      </c>
      <c r="E34" s="20" t="n">
        <v>100</v>
      </c>
      <c r="F34" s="98" t="n"/>
      <c r="G34" s="98" t="n"/>
      <c r="H34" s="22" t="n"/>
      <c r="I34" s="22" t="n"/>
      <c r="J34" s="23" t="n"/>
      <c r="K34" s="99" t="n"/>
      <c r="L34" s="99" t="n"/>
      <c r="M34" s="99" t="n"/>
      <c r="N34" s="99" t="n"/>
      <c r="O34" s="90" t="n"/>
      <c r="P34" s="90" t="n"/>
      <c r="Q34" s="90" t="n"/>
      <c r="R34" s="90" t="n"/>
      <c r="S34" s="90" t="n"/>
      <c r="T34" s="90" t="n"/>
    </row>
    <row r="35">
      <c r="A35" s="97" t="n"/>
      <c r="B35" s="98" t="n"/>
      <c r="C35" s="24" t="inlineStr">
        <is>
          <t>Krishna Stationery ( LB Nagar)</t>
        </is>
      </c>
      <c r="D35" s="98" t="n"/>
      <c r="E35" s="98" t="n"/>
      <c r="F35" s="98" t="n"/>
      <c r="G35" s="98" t="n"/>
      <c r="H35" s="22" t="n"/>
      <c r="I35" s="22" t="n"/>
      <c r="J35" s="23" t="n"/>
      <c r="K35" s="99" t="n"/>
      <c r="L35" s="99" t="n"/>
      <c r="M35" s="99" t="n"/>
      <c r="N35" s="99" t="n"/>
      <c r="O35" s="90" t="n"/>
      <c r="P35" s="90" t="n"/>
      <c r="Q35" s="90" t="n"/>
      <c r="R35" s="90" t="n"/>
      <c r="S35" s="90" t="n"/>
      <c r="T35" s="90" t="n"/>
    </row>
    <row r="36">
      <c r="A36" s="25" t="n">
        <v>46136</v>
      </c>
      <c r="B36" s="26" t="inlineStr">
        <is>
          <t>C-SLG/0067/26-27</t>
        </is>
      </c>
      <c r="C36" s="98" t="n"/>
      <c r="D36" s="30" t="n">
        <v>2544</v>
      </c>
      <c r="E36" s="30" t="n">
        <v>2544</v>
      </c>
      <c r="F36" s="28" t="n">
        <v>46161</v>
      </c>
      <c r="G36" s="29">
        <f>$E$2-F36</f>
        <v/>
      </c>
      <c r="H36" s="22" t="n"/>
      <c r="I36" s="22" t="n"/>
      <c r="J36" s="23" t="n"/>
      <c r="K36" s="99" t="n"/>
      <c r="L36" s="99" t="n"/>
      <c r="M36" s="99" t="n"/>
      <c r="N36" s="99" t="n"/>
      <c r="O36" s="90" t="n"/>
      <c r="P36" s="90" t="n"/>
      <c r="Q36" s="90" t="n"/>
      <c r="R36" s="90" t="n"/>
      <c r="S36" s="90" t="n"/>
      <c r="T36" s="90" t="n"/>
    </row>
    <row r="37">
      <c r="A37" s="97" t="n"/>
      <c r="B37" s="98" t="n"/>
      <c r="C37" s="98" t="n"/>
      <c r="D37" s="30" t="n">
        <v>2544</v>
      </c>
      <c r="E37" s="20" t="n">
        <v>2544</v>
      </c>
      <c r="F37" s="98" t="n"/>
      <c r="G37" s="98" t="n"/>
      <c r="H37" s="22" t="n"/>
      <c r="I37" s="22" t="n"/>
      <c r="J37" s="23" t="n"/>
      <c r="K37" s="99" t="n"/>
      <c r="L37" s="99" t="n"/>
      <c r="M37" s="99" t="n"/>
      <c r="N37" s="99" t="n"/>
      <c r="O37" s="90" t="n"/>
      <c r="P37" s="90" t="n"/>
      <c r="Q37" s="90" t="n"/>
      <c r="R37" s="90" t="n"/>
      <c r="S37" s="90" t="n"/>
      <c r="T37" s="90" t="n"/>
    </row>
    <row r="38">
      <c r="A38" s="97" t="n"/>
      <c r="B38" s="98" t="n"/>
      <c r="C38" s="24" t="inlineStr">
        <is>
          <t>MEGHA S.V STATIONERY</t>
        </is>
      </c>
      <c r="D38" s="98" t="n"/>
      <c r="E38" s="98" t="n"/>
      <c r="F38" s="98" t="n"/>
      <c r="G38" s="98" t="n"/>
      <c r="H38" s="22" t="n"/>
      <c r="I38" s="22" t="n"/>
      <c r="J38" s="23" t="n"/>
      <c r="K38" s="99" t="inlineStr">
        <is>
          <t>ringing not responding | paid  given cheque | PAID</t>
        </is>
      </c>
      <c r="L38" s="99" t="n"/>
      <c r="M38" s="99" t="n"/>
      <c r="N38" s="99" t="n"/>
      <c r="O38" s="90" t="n"/>
      <c r="P38" s="90" t="n"/>
      <c r="Q38" s="90" t="n"/>
      <c r="R38" s="90" t="n"/>
      <c r="S38" s="90" t="n"/>
      <c r="T38" s="90" t="n"/>
    </row>
    <row r="39">
      <c r="A39" s="25" t="n">
        <v>46127</v>
      </c>
      <c r="B39" s="26" t="inlineStr">
        <is>
          <t>C-SLG/0043/26-27</t>
        </is>
      </c>
      <c r="C39" s="98" t="n"/>
      <c r="D39" s="30" t="n">
        <v>29883</v>
      </c>
      <c r="E39" s="20" t="n">
        <v>29883</v>
      </c>
      <c r="F39" s="28" t="n">
        <v>46152</v>
      </c>
      <c r="G39" s="29">
        <f>$E$2-F39</f>
        <v/>
      </c>
      <c r="H39" s="22" t="n"/>
      <c r="I39" s="22" t="n"/>
      <c r="J39" s="23" t="n"/>
      <c r="K39" s="99" t="n"/>
      <c r="L39" s="99" t="n"/>
      <c r="M39" s="99" t="n"/>
      <c r="N39" s="99" t="n"/>
      <c r="O39" s="90" t="n"/>
      <c r="P39" s="90" t="n"/>
      <c r="Q39" s="90" t="n"/>
      <c r="R39" s="90" t="n"/>
      <c r="S39" s="90" t="n"/>
      <c r="T39" s="90" t="n"/>
    </row>
    <row r="40">
      <c r="A40" s="97" t="n"/>
      <c r="B40" s="98" t="n"/>
      <c r="C40" s="98" t="n"/>
      <c r="D40" s="30" t="n">
        <v>29883</v>
      </c>
      <c r="E40" s="20" t="n">
        <v>29883</v>
      </c>
      <c r="F40" s="98" t="n"/>
      <c r="G40" s="98" t="n"/>
      <c r="H40" s="22" t="n"/>
      <c r="I40" s="22" t="n"/>
      <c r="J40" s="23" t="n"/>
      <c r="K40" s="99" t="n"/>
      <c r="L40" s="99" t="n"/>
      <c r="M40" s="99" t="n"/>
      <c r="N40" s="99" t="n"/>
      <c r="O40" s="90" t="n"/>
      <c r="P40" s="90" t="n"/>
      <c r="Q40" s="90" t="n"/>
      <c r="R40" s="90" t="n"/>
      <c r="S40" s="90" t="n"/>
      <c r="T40" s="90" t="n"/>
    </row>
    <row r="41">
      <c r="A41" s="97" t="n"/>
      <c r="B41" s="98" t="n"/>
      <c r="C41" s="24" t="inlineStr">
        <is>
          <t>M.M AGENCIES</t>
        </is>
      </c>
      <c r="D41" s="98" t="n"/>
      <c r="E41" s="98" t="n"/>
      <c r="F41" s="98" t="n"/>
      <c r="G41" s="98" t="n"/>
      <c r="H41" s="22" t="n"/>
      <c r="I41" s="22" t="n"/>
      <c r="J41" s="23" t="n"/>
      <c r="K41" s="99" t="inlineStr">
        <is>
          <t>HE SAID THAT HE WILL GIVE CHEQUE SEND THE PERSON | given cheque remaining apr pending</t>
        </is>
      </c>
      <c r="L41" s="99" t="n"/>
      <c r="M41" s="99" t="n"/>
      <c r="N41" s="99" t="n"/>
      <c r="O41" s="90" t="n"/>
      <c r="P41" s="90" t="n"/>
      <c r="Q41" s="90" t="n"/>
      <c r="R41" s="90" t="n"/>
      <c r="S41" s="90" t="n"/>
      <c r="T41" s="90" t="n"/>
    </row>
    <row r="42">
      <c r="A42" s="25" t="n">
        <v>45960</v>
      </c>
      <c r="B42" s="26" t="inlineStr">
        <is>
          <t>Bounce Charges-174</t>
        </is>
      </c>
      <c r="C42" s="98" t="n"/>
      <c r="D42" s="30" t="n">
        <v>500</v>
      </c>
      <c r="E42" s="20" t="n">
        <v>500</v>
      </c>
      <c r="F42" s="28" t="n">
        <v>45985</v>
      </c>
      <c r="G42" s="29">
        <f>$E$2-F42</f>
        <v/>
      </c>
      <c r="H42" s="22" t="n"/>
      <c r="I42" s="22" t="n"/>
      <c r="J42" s="23" t="n"/>
      <c r="K42" s="99" t="n"/>
      <c r="L42" s="99" t="n"/>
      <c r="M42" s="99" t="n"/>
      <c r="N42" s="99" t="n"/>
      <c r="O42" s="90" t="n"/>
      <c r="P42" s="90" t="n"/>
      <c r="Q42" s="90" t="n"/>
      <c r="R42" s="90" t="n"/>
      <c r="S42" s="90" t="n"/>
      <c r="T42" s="90" t="n"/>
    </row>
    <row r="43">
      <c r="A43" s="25" t="n">
        <v>46095</v>
      </c>
      <c r="B43" s="26" t="inlineStr">
        <is>
          <t>C-SLG/2382/25-26</t>
        </is>
      </c>
      <c r="C43" s="98" t="n"/>
      <c r="D43" s="30" t="n">
        <v>89388</v>
      </c>
      <c r="E43" s="20" t="n">
        <v>59388</v>
      </c>
      <c r="F43" s="28" t="n">
        <v>46120</v>
      </c>
      <c r="G43" s="29">
        <f>$E$2-F43</f>
        <v/>
      </c>
      <c r="H43" s="22" t="n"/>
      <c r="I43" s="22" t="n"/>
      <c r="J43" s="23" t="inlineStr">
        <is>
          <t>Cheque Collected</t>
        </is>
      </c>
      <c r="K43" s="99" t="n"/>
      <c r="L43" s="99" t="n"/>
      <c r="M43" s="99" t="n"/>
      <c r="N43" s="99" t="n"/>
      <c r="O43" s="90" t="n"/>
      <c r="P43" s="90" t="n"/>
      <c r="Q43" s="90" t="n"/>
      <c r="R43" s="90" t="n"/>
      <c r="S43" s="90" t="n"/>
      <c r="T43" s="90" t="n"/>
    </row>
    <row r="44">
      <c r="A44" s="25" t="n">
        <v>46141</v>
      </c>
      <c r="B44" s="26" t="inlineStr">
        <is>
          <t>C-SLG/0079/26-27</t>
        </is>
      </c>
      <c r="C44" s="98" t="n"/>
      <c r="D44" s="30" t="n">
        <v>2580</v>
      </c>
      <c r="E44" s="30" t="n">
        <v>2580</v>
      </c>
      <c r="F44" s="28" t="n">
        <v>46166</v>
      </c>
      <c r="G44" s="98" t="n"/>
      <c r="H44" s="22" t="n"/>
      <c r="I44" s="22" t="n"/>
      <c r="J44" s="23" t="n"/>
      <c r="K44" s="99" t="n"/>
      <c r="L44" s="99" t="n"/>
      <c r="M44" s="99" t="n"/>
      <c r="N44" s="99" t="n"/>
      <c r="O44" s="90" t="n"/>
      <c r="P44" s="90" t="n"/>
      <c r="Q44" s="90" t="n"/>
      <c r="R44" s="90" t="n"/>
      <c r="S44" s="90" t="n"/>
      <c r="T44" s="90" t="n"/>
    </row>
    <row r="45" ht="10.5" customHeight="1" s="243">
      <c r="A45" s="97" t="n"/>
      <c r="B45" s="98" t="n"/>
      <c r="C45" s="98" t="n"/>
      <c r="D45" s="30" t="n">
        <v>92468</v>
      </c>
      <c r="E45" s="20" t="n">
        <v>62468</v>
      </c>
      <c r="F45" s="98" t="n"/>
      <c r="G45" s="98" t="n"/>
      <c r="H45" s="22" t="n"/>
      <c r="I45" s="22" t="n"/>
      <c r="J45" s="23" t="n"/>
      <c r="K45" s="99" t="n"/>
      <c r="L45" s="99" t="n"/>
      <c r="M45" s="99" t="n"/>
      <c r="N45" s="99" t="n"/>
      <c r="O45" s="90" t="n"/>
      <c r="P45" s="90" t="n"/>
      <c r="Q45" s="90" t="n"/>
      <c r="R45" s="90" t="n"/>
      <c r="S45" s="90" t="n"/>
      <c r="T45" s="90" t="n"/>
    </row>
    <row r="46">
      <c r="A46" s="97" t="n"/>
      <c r="B46" s="98" t="n"/>
      <c r="C46" s="24" t="inlineStr">
        <is>
          <t>MONI ENTERPRISES</t>
        </is>
      </c>
      <c r="D46" s="98" t="n"/>
      <c r="E46" s="98" t="n"/>
      <c r="F46" s="98" t="n"/>
      <c r="G46" s="98" t="n"/>
      <c r="H46" s="22" t="n"/>
      <c r="I46" s="22" t="n"/>
      <c r="J46" s="23" t="n"/>
      <c r="K46" s="99" t="n"/>
      <c r="L46" s="99" t="n"/>
      <c r="M46" s="99" t="n"/>
      <c r="N46" s="99" t="n"/>
      <c r="O46" s="90" t="n"/>
      <c r="P46" s="90" t="n"/>
      <c r="Q46" s="90" t="n"/>
      <c r="R46" s="90" t="n"/>
      <c r="S46" s="90" t="n"/>
      <c r="T46" s="90" t="n"/>
    </row>
    <row r="47">
      <c r="A47" s="25" t="n">
        <v>46130</v>
      </c>
      <c r="B47" s="26" t="inlineStr">
        <is>
          <t>C-SLG/0053/26-27</t>
        </is>
      </c>
      <c r="C47" s="98" t="n"/>
      <c r="D47" s="30" t="n">
        <v>5960</v>
      </c>
      <c r="E47" s="20" t="n">
        <v>5960</v>
      </c>
      <c r="F47" s="28" t="n">
        <v>46155</v>
      </c>
      <c r="G47" s="29">
        <f>$E$2-F47</f>
        <v/>
      </c>
      <c r="H47" s="22" t="n"/>
      <c r="I47" s="22" t="n"/>
      <c r="J47" s="23" t="n"/>
      <c r="K47" s="99" t="n"/>
      <c r="L47" s="99" t="n"/>
      <c r="M47" s="99" t="n"/>
      <c r="N47" s="99" t="n"/>
      <c r="O47" s="90" t="n"/>
      <c r="P47" s="90" t="n"/>
      <c r="Q47" s="90" t="n"/>
      <c r="R47" s="90" t="n"/>
      <c r="S47" s="90" t="n"/>
      <c r="T47" s="90" t="n"/>
    </row>
    <row r="48">
      <c r="A48" s="25" t="n">
        <v>46148</v>
      </c>
      <c r="B48" s="26" t="inlineStr">
        <is>
          <t>C-SLG/0093/26-27</t>
        </is>
      </c>
      <c r="C48" s="98" t="n"/>
      <c r="D48" s="30" t="n">
        <v>916</v>
      </c>
      <c r="E48" s="30" t="n">
        <v>916</v>
      </c>
      <c r="F48" s="28" t="n">
        <v>46173</v>
      </c>
      <c r="G48" s="98" t="n"/>
      <c r="H48" s="22" t="n"/>
      <c r="I48" s="22" t="n"/>
      <c r="J48" s="23" t="n"/>
      <c r="K48" s="99" t="n"/>
      <c r="L48" s="99" t="n"/>
      <c r="M48" s="99" t="n"/>
      <c r="N48" s="99" t="n"/>
      <c r="O48" s="90" t="n"/>
      <c r="P48" s="90" t="n"/>
      <c r="Q48" s="90" t="n"/>
      <c r="R48" s="90" t="n"/>
      <c r="S48" s="90" t="n"/>
      <c r="T48" s="90" t="n"/>
    </row>
    <row r="49">
      <c r="A49" s="97" t="n"/>
      <c r="B49" s="98" t="n"/>
      <c r="C49" s="98" t="n"/>
      <c r="D49" s="30" t="n">
        <v>6876</v>
      </c>
      <c r="E49" s="20" t="n">
        <v>6876</v>
      </c>
      <c r="F49" s="98" t="n"/>
      <c r="G49" s="98" t="n"/>
      <c r="H49" s="22" t="n"/>
      <c r="I49" s="22" t="n"/>
      <c r="J49" s="23" t="n"/>
      <c r="K49" s="99" t="n"/>
      <c r="L49" s="99" t="n"/>
      <c r="M49" s="99" t="n"/>
      <c r="N49" s="99" t="n"/>
      <c r="O49" s="90" t="n"/>
      <c r="P49" s="90" t="n"/>
      <c r="Q49" s="90" t="n"/>
      <c r="R49" s="90" t="n"/>
      <c r="S49" s="90" t="n"/>
      <c r="T49" s="90" t="n"/>
    </row>
    <row r="50">
      <c r="A50" s="97" t="n"/>
      <c r="B50" s="98" t="n"/>
      <c r="C50" s="24" t="inlineStr">
        <is>
          <t>New Vidya Book Point (Saroor N)</t>
        </is>
      </c>
      <c r="D50" s="98" t="n"/>
      <c r="E50" s="98" t="n"/>
      <c r="F50" s="98" t="n"/>
      <c r="G50" s="98" t="n"/>
      <c r="H50" s="22" t="n"/>
      <c r="I50" s="22" t="n"/>
      <c r="J50" s="23" t="n"/>
      <c r="K50" s="99" t="inlineStr">
        <is>
          <t>ringing not resonding | HE SAID THAT  HE  WILL  PAY  IN 2 DAYS | ringing not resonding | MONDAY  HE WILL PAY ONLINE | ringing not resonding</t>
        </is>
      </c>
      <c r="L50" s="99" t="n"/>
      <c r="M50" s="99" t="n"/>
      <c r="N50" s="99" t="n"/>
      <c r="O50" s="90" t="n"/>
      <c r="P50" s="90" t="n"/>
      <c r="Q50" s="90" t="n"/>
      <c r="R50" s="90" t="n"/>
      <c r="S50" s="90" t="n"/>
      <c r="T50" s="90" t="n"/>
    </row>
    <row r="51">
      <c r="A51" s="25" t="n">
        <v>46101</v>
      </c>
      <c r="B51" s="26" t="inlineStr">
        <is>
          <t>C-SLG/2410/25-26</t>
        </is>
      </c>
      <c r="C51" s="98" t="n"/>
      <c r="D51" s="30" t="n">
        <v>2476</v>
      </c>
      <c r="E51" s="20" t="n">
        <v>2476</v>
      </c>
      <c r="F51" s="100" t="n">
        <v>46126</v>
      </c>
      <c r="G51" s="29">
        <f>$E$2-F51</f>
        <v/>
      </c>
      <c r="H51" s="22" t="n">
        <v>2476</v>
      </c>
      <c r="I51" s="22">
        <f>E52-H51</f>
        <v/>
      </c>
      <c r="J51" s="23" t="inlineStr">
        <is>
          <t>Paid Online - Full Amount</t>
        </is>
      </c>
      <c r="K51" s="99" t="n"/>
      <c r="L51" s="99" t="n"/>
      <c r="M51" s="99" t="n"/>
      <c r="N51" s="99" t="n"/>
      <c r="O51" s="90" t="n"/>
      <c r="P51" s="90" t="n"/>
      <c r="Q51" s="90" t="n"/>
      <c r="R51" s="90" t="n"/>
      <c r="S51" s="90" t="n"/>
      <c r="T51" s="90" t="n"/>
    </row>
    <row r="52">
      <c r="A52" s="97" t="n"/>
      <c r="B52" s="98" t="n"/>
      <c r="C52" s="98" t="n"/>
      <c r="D52" s="30" t="n">
        <v>2476</v>
      </c>
      <c r="E52" s="20" t="n">
        <v>2476</v>
      </c>
      <c r="F52" s="98" t="n"/>
      <c r="G52" s="98" t="n"/>
      <c r="H52" s="22" t="n"/>
      <c r="I52" s="22" t="n"/>
      <c r="J52" s="23" t="n"/>
      <c r="K52" s="99" t="n"/>
      <c r="L52" s="99" t="n"/>
      <c r="M52" s="99" t="n"/>
      <c r="N52" s="99" t="n"/>
      <c r="O52" s="90" t="n"/>
      <c r="P52" s="90" t="n"/>
      <c r="Q52" s="90" t="n"/>
      <c r="R52" s="90" t="n"/>
      <c r="S52" s="90" t="n"/>
      <c r="T52" s="90" t="n"/>
    </row>
    <row r="53">
      <c r="A53" s="97" t="n"/>
      <c r="B53" s="98" t="n"/>
      <c r="C53" s="24" t="inlineStr">
        <is>
          <t>PADMAVATHI PEN STORES</t>
        </is>
      </c>
      <c r="D53" s="98" t="n"/>
      <c r="E53" s="98" t="n"/>
      <c r="F53" s="98" t="n"/>
      <c r="G53" s="98" t="n"/>
      <c r="H53" s="22" t="n"/>
      <c r="I53" s="22" t="n"/>
      <c r="J53" s="23" t="n"/>
      <c r="K53" s="99" t="inlineStr">
        <is>
          <t>HE SAID THATHE WILL PAY NEED  SOMETIME | RINGING NOT RESPONDING</t>
        </is>
      </c>
      <c r="L53" s="99" t="n"/>
      <c r="M53" s="99" t="n"/>
      <c r="N53" s="99" t="n"/>
      <c r="O53" s="90" t="n"/>
      <c r="P53" s="90" t="n"/>
      <c r="Q53" s="90" t="n"/>
      <c r="R53" s="90" t="n"/>
      <c r="S53" s="90" t="n"/>
      <c r="T53" s="90" t="n"/>
    </row>
    <row r="54">
      <c r="A54" s="25" t="n">
        <v>46105</v>
      </c>
      <c r="B54" s="26" t="inlineStr">
        <is>
          <t>C-SLG/2433/25-26</t>
        </is>
      </c>
      <c r="C54" s="98" t="n"/>
      <c r="D54" s="30" t="n">
        <v>20549</v>
      </c>
      <c r="E54" s="20" t="n">
        <v>20549</v>
      </c>
      <c r="F54" s="100" t="n">
        <v>46130</v>
      </c>
      <c r="G54" s="29">
        <f>$E$2-F54</f>
        <v/>
      </c>
      <c r="H54" s="22" t="n"/>
      <c r="I54" s="22" t="n"/>
      <c r="J54" s="23" t="inlineStr">
        <is>
          <t>Ringing Not Responding</t>
        </is>
      </c>
      <c r="K54" s="99" t="n"/>
      <c r="L54" s="99" t="n"/>
      <c r="M54" s="99" t="n"/>
      <c r="N54" s="99" t="n"/>
      <c r="O54" s="90" t="n"/>
      <c r="P54" s="90" t="n"/>
      <c r="Q54" s="90" t="n"/>
      <c r="R54" s="90" t="n"/>
      <c r="S54" s="90" t="n"/>
      <c r="T54" s="90" t="n"/>
    </row>
    <row r="55">
      <c r="A55" s="25" t="n">
        <v>46112</v>
      </c>
      <c r="B55" s="26" t="inlineStr">
        <is>
          <t>C-SLG/2492/25-26</t>
        </is>
      </c>
      <c r="C55" s="98" t="n"/>
      <c r="D55" s="30" t="n">
        <v>12705</v>
      </c>
      <c r="E55" s="20" t="n">
        <v>12705</v>
      </c>
      <c r="F55" s="100" t="n">
        <v>46137</v>
      </c>
      <c r="G55" s="29">
        <f>$E$2-F55</f>
        <v/>
      </c>
      <c r="H55" s="22" t="n"/>
      <c r="I55" s="22" t="n"/>
      <c r="J55" s="23" t="inlineStr">
        <is>
          <t>Ringing Not Responding</t>
        </is>
      </c>
      <c r="K55" s="99" t="n"/>
      <c r="L55" s="99" t="n"/>
      <c r="M55" s="99" t="n"/>
      <c r="N55" s="99" t="n"/>
      <c r="O55" s="90" t="n"/>
      <c r="P55" s="90" t="n"/>
      <c r="Q55" s="90" t="n"/>
      <c r="R55" s="90" t="n"/>
      <c r="S55" s="90" t="n"/>
      <c r="T55" s="90" t="n"/>
    </row>
    <row r="56">
      <c r="A56" s="97" t="n"/>
      <c r="B56" s="98" t="n"/>
      <c r="C56" s="98" t="n"/>
      <c r="D56" s="30" t="n">
        <v>33254</v>
      </c>
      <c r="E56" s="20" t="n">
        <v>33254</v>
      </c>
      <c r="F56" s="98" t="n"/>
      <c r="G56" s="98" t="n"/>
      <c r="H56" s="22" t="n"/>
      <c r="I56" s="22" t="n"/>
      <c r="J56" s="23" t="n"/>
      <c r="K56" s="99" t="n"/>
      <c r="L56" s="99" t="n"/>
      <c r="M56" s="99" t="n"/>
      <c r="N56" s="99" t="n"/>
      <c r="O56" s="90" t="n"/>
      <c r="P56" s="90" t="n"/>
      <c r="Q56" s="90" t="n"/>
      <c r="R56" s="90" t="n"/>
      <c r="S56" s="90" t="n"/>
      <c r="T56" s="90" t="n"/>
    </row>
    <row r="57">
      <c r="A57" s="97" t="n"/>
      <c r="B57" s="98" t="n"/>
      <c r="C57" s="24" t="inlineStr">
        <is>
          <t>Raj Enterprises</t>
        </is>
      </c>
      <c r="D57" s="98" t="n"/>
      <c r="E57" s="98" t="n"/>
      <c r="F57" s="98" t="n"/>
      <c r="G57" s="98" t="n"/>
      <c r="H57" s="22" t="n"/>
      <c r="I57" s="22" t="n"/>
      <c r="J57" s="23" t="n"/>
      <c r="K57" s="99" t="inlineStr">
        <is>
          <t>HE HIS  BUSY  CALL BACK | HE WILLPAY IN 3DAYS | HE WILL NEXT MONTH FIRST WEEK</t>
        </is>
      </c>
      <c r="L57" s="99" t="n"/>
      <c r="M57" s="99" t="n"/>
      <c r="N57" s="99" t="n"/>
      <c r="O57" s="90" t="n"/>
      <c r="P57" s="90" t="n"/>
      <c r="Q57" s="90" t="n"/>
      <c r="R57" s="90" t="n"/>
      <c r="S57" s="90" t="n"/>
      <c r="T57" s="90" t="n"/>
    </row>
    <row r="58">
      <c r="A58" s="25" t="n">
        <v>46112</v>
      </c>
      <c r="B58" s="26" t="inlineStr">
        <is>
          <t>C-SLG/2486/25-26</t>
        </is>
      </c>
      <c r="C58" s="98" t="n"/>
      <c r="D58" s="30" t="n">
        <v>5520</v>
      </c>
      <c r="E58" s="20" t="n">
        <v>5520</v>
      </c>
      <c r="F58" s="100" t="n">
        <v>46137</v>
      </c>
      <c r="G58" s="29">
        <f>$E$2-F58</f>
        <v/>
      </c>
      <c r="H58" s="22" t="n"/>
      <c r="I58" s="22" t="n"/>
      <c r="J58" s="23" t="n"/>
      <c r="K58" s="99" t="n"/>
      <c r="L58" s="99" t="n"/>
      <c r="M58" s="99" t="n"/>
      <c r="N58" s="99" t="n"/>
      <c r="O58" s="90" t="n"/>
      <c r="P58" s="90" t="n"/>
      <c r="Q58" s="90" t="n"/>
      <c r="R58" s="90" t="n"/>
      <c r="S58" s="90" t="n"/>
      <c r="T58" s="90" t="n"/>
    </row>
    <row r="59">
      <c r="A59" s="97" t="n"/>
      <c r="B59" s="98" t="n"/>
      <c r="C59" s="98" t="n"/>
      <c r="D59" s="30" t="n">
        <v>5520</v>
      </c>
      <c r="E59" s="20" t="n">
        <v>5520</v>
      </c>
      <c r="F59" s="98" t="n"/>
      <c r="G59" s="98" t="n"/>
      <c r="H59" s="22" t="n"/>
      <c r="I59" s="22" t="n"/>
      <c r="J59" s="23" t="n"/>
      <c r="K59" s="99" t="n"/>
      <c r="L59" s="99" t="n"/>
      <c r="M59" s="99" t="n"/>
      <c r="N59" s="99" t="n"/>
      <c r="O59" s="90" t="n"/>
      <c r="P59" s="90" t="n"/>
      <c r="Q59" s="90" t="n"/>
      <c r="R59" s="90" t="n"/>
      <c r="S59" s="90" t="n"/>
      <c r="T59" s="90" t="n"/>
    </row>
    <row r="60">
      <c r="A60" s="97" t="n"/>
      <c r="B60" s="98" t="n"/>
      <c r="C60" s="101" t="inlineStr">
        <is>
          <t>Ramdev Stationery (K Puram)</t>
        </is>
      </c>
      <c r="D60" s="98" t="n"/>
      <c r="E60" s="98" t="n"/>
      <c r="F60" s="98" t="n"/>
      <c r="G60" s="98" t="n"/>
      <c r="H60" s="22" t="n"/>
      <c r="I60" s="22" t="n"/>
      <c r="J60" s="23" t="n"/>
      <c r="K60" s="99" t="n"/>
      <c r="L60" s="99" t="n"/>
      <c r="M60" s="99" t="n"/>
      <c r="N60" s="99" t="n"/>
      <c r="O60" s="90" t="n"/>
      <c r="P60" s="90" t="n"/>
      <c r="Q60" s="90" t="n"/>
      <c r="R60" s="90" t="n"/>
      <c r="S60" s="90" t="n"/>
      <c r="T60" s="90" t="n"/>
    </row>
    <row r="61">
      <c r="A61" s="25" t="n">
        <v>45470</v>
      </c>
      <c r="B61" s="26" t="inlineStr">
        <is>
          <t>C-SLG/471/24-25</t>
        </is>
      </c>
      <c r="C61" s="98" t="n"/>
      <c r="D61" s="30" t="n">
        <v>4947</v>
      </c>
      <c r="E61" s="20" t="n">
        <v>4947</v>
      </c>
      <c r="F61" s="100" t="n">
        <v>45495</v>
      </c>
      <c r="G61" s="29">
        <f>$E$2-F61</f>
        <v/>
      </c>
      <c r="H61" s="22" t="n"/>
      <c r="I61" s="22" t="n"/>
      <c r="J61" s="23" t="n"/>
      <c r="K61" s="99" t="n"/>
      <c r="L61" s="99" t="n"/>
      <c r="M61" s="99" t="n"/>
      <c r="N61" s="99" t="n"/>
      <c r="O61" s="90" t="n"/>
      <c r="P61" s="90" t="n"/>
      <c r="Q61" s="90" t="n"/>
      <c r="R61" s="90" t="n"/>
      <c r="S61" s="90" t="n"/>
      <c r="T61" s="90" t="n"/>
    </row>
    <row r="62">
      <c r="A62" s="25" t="n">
        <v>46126</v>
      </c>
      <c r="B62" s="26" t="inlineStr">
        <is>
          <t>C-SLG/0037/26-27</t>
        </is>
      </c>
      <c r="C62" s="98" t="n"/>
      <c r="D62" s="30" t="n">
        <v>13863</v>
      </c>
      <c r="E62" s="20" t="n">
        <v>13863</v>
      </c>
      <c r="F62" s="100" t="n">
        <v>46151</v>
      </c>
      <c r="G62" s="29">
        <f>$E$2-F62</f>
        <v/>
      </c>
      <c r="H62" s="22" t="n"/>
      <c r="I62" s="22" t="n"/>
      <c r="J62" s="23" t="n"/>
      <c r="K62" s="99" t="n"/>
      <c r="L62" s="99" t="n"/>
      <c r="M62" s="99" t="n"/>
      <c r="N62" s="99" t="n"/>
      <c r="O62" s="90" t="n"/>
      <c r="P62" s="90" t="n"/>
      <c r="Q62" s="90" t="n"/>
      <c r="R62" s="90" t="n"/>
      <c r="S62" s="90" t="n"/>
      <c r="T62" s="90" t="n"/>
    </row>
    <row r="63">
      <c r="A63" s="97" t="n"/>
      <c r="B63" s="98" t="n"/>
      <c r="C63" s="98" t="n"/>
      <c r="D63" s="30" t="n">
        <v>18810</v>
      </c>
      <c r="E63" s="20" t="n">
        <v>18810</v>
      </c>
      <c r="F63" s="98" t="n"/>
      <c r="G63" s="98" t="n"/>
      <c r="H63" s="22" t="n"/>
      <c r="I63" s="22" t="n"/>
      <c r="J63" s="23" t="n"/>
      <c r="K63" s="99" t="n"/>
      <c r="L63" s="99" t="n"/>
      <c r="M63" s="99" t="n"/>
      <c r="N63" s="99" t="n"/>
      <c r="O63" s="90" t="n"/>
      <c r="P63" s="90" t="n"/>
      <c r="Q63" s="90" t="n"/>
      <c r="R63" s="90" t="n"/>
      <c r="S63" s="90" t="n"/>
      <c r="T63" s="90" t="n"/>
    </row>
    <row r="64">
      <c r="A64" s="97" t="n"/>
      <c r="B64" s="98" t="n"/>
      <c r="C64" s="24" t="inlineStr">
        <is>
          <t>Sai Ram Book Center</t>
        </is>
      </c>
      <c r="D64" s="98" t="n"/>
      <c r="E64" s="98" t="n"/>
      <c r="F64" s="98" t="n"/>
      <c r="G64" s="98" t="n"/>
      <c r="H64" s="22" t="n"/>
      <c r="I64" s="22" t="n"/>
      <c r="J64" s="23" t="n"/>
      <c r="K64" s="99" t="inlineStr">
        <is>
          <t>expried</t>
        </is>
      </c>
      <c r="L64" s="99" t="n"/>
      <c r="M64" s="99" t="n"/>
      <c r="N64" s="99" t="n"/>
      <c r="O64" s="90" t="n"/>
      <c r="P64" s="90" t="n"/>
      <c r="Q64" s="90" t="n"/>
      <c r="R64" s="90" t="n"/>
      <c r="S64" s="90" t="n"/>
      <c r="T64" s="90" t="n"/>
    </row>
    <row r="65">
      <c r="A65" s="25" t="n">
        <v>45362</v>
      </c>
      <c r="B65" s="26" t="inlineStr">
        <is>
          <t>C-SLG/3153/23-24</t>
        </is>
      </c>
      <c r="C65" s="98" t="n"/>
      <c r="D65" s="30" t="n">
        <v>2733</v>
      </c>
      <c r="E65" s="20" t="n">
        <v>2733</v>
      </c>
      <c r="F65" s="100" t="n">
        <v>45362</v>
      </c>
      <c r="G65" s="29">
        <f>$E$2-F65</f>
        <v/>
      </c>
      <c r="H65" s="22" t="n"/>
      <c r="I65" s="22" t="n"/>
      <c r="J65" s="23" t="inlineStr">
        <is>
          <t>Customer Expired</t>
        </is>
      </c>
      <c r="K65" s="99" t="n"/>
      <c r="L65" s="99" t="n"/>
      <c r="M65" s="99" t="n"/>
      <c r="N65" s="99" t="n"/>
      <c r="O65" s="90" t="n"/>
      <c r="P65" s="90" t="n"/>
      <c r="Q65" s="90" t="n"/>
      <c r="R65" s="90" t="n"/>
      <c r="S65" s="90" t="n"/>
      <c r="T65" s="90" t="n"/>
    </row>
    <row r="66">
      <c r="A66" s="97" t="n"/>
      <c r="B66" s="98" t="n"/>
      <c r="C66" s="98" t="n"/>
      <c r="D66" s="30" t="n">
        <v>2733</v>
      </c>
      <c r="E66" s="20" t="n">
        <v>2733</v>
      </c>
      <c r="F66" s="98" t="n"/>
      <c r="G66" s="98" t="n"/>
      <c r="H66" s="22" t="n"/>
      <c r="I66" s="22" t="n"/>
      <c r="J66" s="23" t="n"/>
      <c r="K66" s="99" t="n"/>
      <c r="L66" s="99" t="n"/>
      <c r="M66" s="99" t="n"/>
      <c r="N66" s="99" t="n"/>
      <c r="O66" s="90" t="n"/>
      <c r="P66" s="90" t="n"/>
      <c r="Q66" s="90" t="n"/>
      <c r="R66" s="90" t="n"/>
      <c r="S66" s="90" t="n"/>
      <c r="T66" s="90" t="n"/>
    </row>
    <row r="67">
      <c r="A67" s="97" t="n"/>
      <c r="B67" s="98" t="n"/>
      <c r="C67" s="24" t="inlineStr">
        <is>
          <t>Sai Sujit Gifts &amp; Novelties</t>
        </is>
      </c>
      <c r="D67" s="98" t="n"/>
      <c r="E67" s="98" t="n"/>
      <c r="F67" s="98" t="n"/>
      <c r="G67" s="98" t="n"/>
      <c r="H67" s="22" t="n"/>
      <c r="I67" s="22" t="n"/>
      <c r="J67" s="23" t="n"/>
      <c r="K67" s="99" t="n"/>
      <c r="L67" s="99" t="n"/>
      <c r="M67" s="99" t="n"/>
      <c r="N67" s="99" t="n"/>
      <c r="O67" s="90" t="n"/>
      <c r="P67" s="90" t="n"/>
      <c r="Q67" s="90" t="n"/>
      <c r="R67" s="90" t="n"/>
      <c r="S67" s="90" t="n"/>
      <c r="T67" s="90" t="n"/>
    </row>
    <row r="68">
      <c r="A68" s="25" t="n">
        <v>46107</v>
      </c>
      <c r="B68" s="26" t="inlineStr">
        <is>
          <t>C-SLG/2449/25-26</t>
        </is>
      </c>
      <c r="C68" s="98" t="n"/>
      <c r="D68" s="30" t="n">
        <v>100</v>
      </c>
      <c r="E68" s="20" t="n">
        <v>100</v>
      </c>
      <c r="F68" s="100" t="n">
        <v>46132</v>
      </c>
      <c r="G68" s="29">
        <f>$E$2-F68</f>
        <v/>
      </c>
      <c r="H68" s="22" t="n"/>
      <c r="I68" s="22" t="n"/>
      <c r="J68" s="23" t="inlineStr">
        <is>
          <t>Number Not Avilable</t>
        </is>
      </c>
      <c r="K68" s="99" t="n"/>
      <c r="L68" s="99" t="n"/>
      <c r="M68" s="99" t="n"/>
      <c r="N68" s="99" t="n"/>
      <c r="O68" s="90" t="n"/>
      <c r="P68" s="90" t="n"/>
      <c r="Q68" s="90" t="n"/>
      <c r="R68" s="90" t="n"/>
      <c r="S68" s="90" t="n"/>
      <c r="T68" s="90" t="n"/>
    </row>
    <row r="69">
      <c r="A69" s="97" t="n"/>
      <c r="B69" s="98" t="n"/>
      <c r="C69" s="98" t="n"/>
      <c r="D69" s="30" t="n">
        <v>100</v>
      </c>
      <c r="E69" s="20" t="n">
        <v>100</v>
      </c>
      <c r="F69" s="98" t="n"/>
      <c r="G69" s="98" t="n"/>
      <c r="H69" s="22" t="n"/>
      <c r="I69" s="22" t="n"/>
      <c r="J69" s="23" t="n"/>
      <c r="K69" s="99" t="n"/>
      <c r="L69" s="99" t="n"/>
      <c r="M69" s="99" t="n"/>
      <c r="N69" s="99" t="n"/>
      <c r="O69" s="90" t="n"/>
      <c r="P69" s="90" t="n"/>
      <c r="Q69" s="90" t="n"/>
      <c r="R69" s="90" t="n"/>
      <c r="S69" s="90" t="n"/>
      <c r="T69" s="90" t="n"/>
    </row>
    <row r="70">
      <c r="A70" s="97" t="n"/>
      <c r="B70" s="98" t="n"/>
      <c r="C70" s="24" t="inlineStr">
        <is>
          <t>Shiva Sai Stationery</t>
        </is>
      </c>
      <c r="D70" s="98" t="n"/>
      <c r="E70" s="98" t="n"/>
      <c r="F70" s="98" t="n"/>
      <c r="G70" s="98" t="n"/>
      <c r="H70" s="22" t="n"/>
      <c r="I70" s="22" t="n"/>
      <c r="J70" s="23" t="n"/>
      <c r="K70" s="99" t="n"/>
      <c r="L70" s="99" t="n"/>
      <c r="M70" s="99" t="n"/>
      <c r="N70" s="99" t="n"/>
      <c r="O70" s="90" t="n"/>
      <c r="P70" s="90" t="n"/>
      <c r="Q70" s="90" t="n"/>
      <c r="R70" s="90" t="n"/>
      <c r="S70" s="90" t="n"/>
      <c r="T70" s="90" t="n"/>
    </row>
    <row r="71">
      <c r="A71" s="25" t="n">
        <v>46107</v>
      </c>
      <c r="B71" s="26" t="inlineStr">
        <is>
          <t>C-SLG/2450/25-26</t>
        </is>
      </c>
      <c r="C71" s="98" t="n"/>
      <c r="D71" s="30" t="n">
        <v>100</v>
      </c>
      <c r="E71" s="20" t="n">
        <v>100</v>
      </c>
      <c r="F71" s="100" t="n">
        <v>46132</v>
      </c>
      <c r="G71" s="29">
        <f>$E$2-F71</f>
        <v/>
      </c>
      <c r="H71" s="22" t="n"/>
      <c r="I71" s="22" t="n"/>
      <c r="J71" s="23" t="n"/>
      <c r="K71" s="99" t="n"/>
      <c r="L71" s="99" t="n"/>
      <c r="M71" s="99" t="n"/>
      <c r="N71" s="99" t="n"/>
      <c r="O71" s="90" t="n"/>
      <c r="P71" s="90" t="n"/>
      <c r="Q71" s="90" t="n"/>
      <c r="R71" s="90" t="n"/>
      <c r="S71" s="90" t="n"/>
      <c r="T71" s="90" t="n"/>
    </row>
    <row r="72">
      <c r="A72" s="97" t="n"/>
      <c r="B72" s="98" t="n"/>
      <c r="C72" s="98" t="n"/>
      <c r="D72" s="30" t="n">
        <v>100</v>
      </c>
      <c r="E72" s="20" t="n">
        <v>100</v>
      </c>
      <c r="F72" s="98" t="n"/>
      <c r="G72" s="98" t="n"/>
      <c r="H72" s="22" t="n"/>
      <c r="I72" s="22" t="n"/>
      <c r="J72" s="23" t="n"/>
      <c r="K72" s="99" t="n"/>
      <c r="L72" s="99" t="n"/>
      <c r="M72" s="99" t="n"/>
      <c r="N72" s="99" t="n"/>
      <c r="O72" s="90" t="n"/>
      <c r="P72" s="90" t="n"/>
      <c r="Q72" s="90" t="n"/>
      <c r="R72" s="90" t="n"/>
      <c r="S72" s="90" t="n"/>
      <c r="T72" s="90" t="n"/>
    </row>
    <row r="73">
      <c r="A73" s="97" t="n"/>
      <c r="B73" s="98" t="n"/>
      <c r="C73" s="24" t="inlineStr">
        <is>
          <t>S MART STATIONERY MEGA STORE</t>
        </is>
      </c>
      <c r="D73" s="98" t="n"/>
      <c r="E73" s="98" t="n"/>
      <c r="F73" s="98" t="n"/>
      <c r="G73" s="98" t="n"/>
      <c r="H73" s="22" t="n"/>
      <c r="I73" s="22" t="n"/>
      <c r="J73" s="23" t="n"/>
      <c r="K73" s="99" t="inlineStr">
        <is>
          <t>NUMBER BUSY | NUMBER BUSY | NUMBER BUSY | RINGING NOT RESPONDING</t>
        </is>
      </c>
      <c r="L73" s="99" t="n"/>
      <c r="M73" s="99" t="n"/>
      <c r="N73" s="99" t="n"/>
      <c r="O73" s="90" t="n"/>
      <c r="P73" s="90" t="n"/>
      <c r="Q73" s="90" t="n"/>
      <c r="R73" s="90" t="n"/>
      <c r="S73" s="90" t="n"/>
      <c r="T73" s="90" t="n"/>
    </row>
    <row r="74">
      <c r="A74" s="25" t="n">
        <v>46122</v>
      </c>
      <c r="B74" s="26" t="inlineStr">
        <is>
          <t>C-SLG/0024/26-27</t>
        </is>
      </c>
      <c r="C74" s="98" t="n"/>
      <c r="D74" s="30" t="n">
        <v>37104</v>
      </c>
      <c r="E74" s="20" t="n">
        <v>37104</v>
      </c>
      <c r="F74" s="100" t="n">
        <v>46147</v>
      </c>
      <c r="G74" s="29">
        <f>$E$2-F74</f>
        <v/>
      </c>
      <c r="H74" s="22" t="n"/>
      <c r="I74" s="22" t="n"/>
      <c r="J74" s="23" t="n"/>
      <c r="K74" s="99" t="n"/>
      <c r="L74" s="99" t="n"/>
      <c r="M74" s="99" t="n"/>
      <c r="N74" s="99" t="n"/>
      <c r="O74" s="90" t="n"/>
      <c r="P74" s="90" t="n"/>
      <c r="Q74" s="90" t="n"/>
      <c r="R74" s="90" t="n"/>
      <c r="S74" s="90" t="n"/>
      <c r="T74" s="90" t="n"/>
    </row>
    <row r="75">
      <c r="A75" s="97" t="n"/>
      <c r="B75" s="98" t="n"/>
      <c r="C75" s="98" t="n"/>
      <c r="D75" s="30" t="n">
        <v>37104</v>
      </c>
      <c r="E75" s="20" t="n">
        <v>37104</v>
      </c>
      <c r="F75" s="98" t="n"/>
      <c r="G75" s="98" t="n"/>
      <c r="H75" s="22" t="n"/>
      <c r="I75" s="22" t="n"/>
      <c r="J75" s="23" t="n"/>
      <c r="K75" s="99" t="n"/>
      <c r="L75" s="99" t="n"/>
      <c r="M75" s="99" t="n"/>
      <c r="N75" s="99" t="n"/>
      <c r="O75" s="90" t="n"/>
      <c r="P75" s="90" t="n"/>
      <c r="Q75" s="90" t="n"/>
      <c r="R75" s="90" t="n"/>
      <c r="S75" s="90" t="n"/>
      <c r="T75" s="90" t="n"/>
    </row>
    <row r="76">
      <c r="A76" s="97" t="n"/>
      <c r="B76" s="98" t="n"/>
      <c r="C76" s="24" t="inlineStr">
        <is>
          <t>Soujanya Stationary Book Stall</t>
        </is>
      </c>
      <c r="D76" s="98" t="n"/>
      <c r="E76" s="98" t="n"/>
      <c r="F76" s="98" t="n"/>
      <c r="G76" s="98" t="n"/>
      <c r="H76" s="22" t="n"/>
      <c r="I76" s="22" t="n"/>
      <c r="J76" s="23" t="n"/>
      <c r="K76" s="99" t="inlineStr">
        <is>
          <t>CALL DISCONNETED  THE CALL | RINGING NOT RESPONDING | MONDAY SEND VINOD HE WILL GIVE CHEQUE | RINGING NOT RESPONDING</t>
        </is>
      </c>
      <c r="L76" s="99" t="n"/>
      <c r="M76" s="99" t="n"/>
      <c r="N76" s="99" t="n"/>
      <c r="O76" s="90" t="n"/>
      <c r="P76" s="90" t="n"/>
      <c r="Q76" s="90" t="n"/>
      <c r="R76" s="90" t="n"/>
      <c r="S76" s="90" t="n"/>
      <c r="T76" s="90" t="n"/>
    </row>
    <row r="77">
      <c r="A77" s="25" t="n">
        <v>46112</v>
      </c>
      <c r="B77" s="26" t="inlineStr">
        <is>
          <t>C-SLG/2488/25-26</t>
        </is>
      </c>
      <c r="C77" s="98" t="n"/>
      <c r="D77" s="30" t="n">
        <v>15873</v>
      </c>
      <c r="E77" s="20" t="n">
        <v>15873</v>
      </c>
      <c r="F77" s="100" t="n">
        <v>46137</v>
      </c>
      <c r="G77" s="29">
        <f>$E$2-F77</f>
        <v/>
      </c>
      <c r="H77" s="22" t="n"/>
      <c r="I77" s="22" t="n"/>
      <c r="J77" s="23" t="inlineStr">
        <is>
          <t>Paid Cheque - Full Amount</t>
        </is>
      </c>
      <c r="K77" s="99" t="n"/>
      <c r="L77" s="99" t="n"/>
      <c r="M77" s="99" t="n"/>
      <c r="N77" s="99" t="n"/>
      <c r="O77" s="90" t="n"/>
      <c r="P77" s="90" t="n"/>
      <c r="Q77" s="90" t="n"/>
      <c r="R77" s="90" t="n"/>
      <c r="S77" s="90" t="n"/>
      <c r="T77" s="90" t="n"/>
    </row>
    <row r="78">
      <c r="A78" s="25" t="n">
        <v>46118</v>
      </c>
      <c r="B78" s="26" t="inlineStr">
        <is>
          <t>C-SLG/007/26-27</t>
        </is>
      </c>
      <c r="C78" s="98" t="n"/>
      <c r="D78" s="30" t="n">
        <v>7623</v>
      </c>
      <c r="E78" s="20" t="n">
        <v>7623</v>
      </c>
      <c r="F78" s="100" t="n">
        <v>46143</v>
      </c>
      <c r="G78" s="29">
        <f>$E$2-F78</f>
        <v/>
      </c>
      <c r="H78" s="22" t="n"/>
      <c r="I78" s="22" t="n"/>
      <c r="J78" s="23" t="inlineStr">
        <is>
          <t>Paid Cheque - Full Amount</t>
        </is>
      </c>
      <c r="K78" s="99" t="n"/>
      <c r="L78" s="99" t="n"/>
      <c r="M78" s="99" t="n"/>
      <c r="N78" s="99" t="n"/>
      <c r="O78" s="90" t="n"/>
      <c r="P78" s="90" t="n"/>
      <c r="Q78" s="90" t="n"/>
      <c r="R78" s="90" t="n"/>
      <c r="S78" s="90" t="n"/>
      <c r="T78" s="90" t="n"/>
    </row>
    <row r="79">
      <c r="A79" s="25" t="n">
        <v>46156</v>
      </c>
      <c r="B79" s="26" t="inlineStr">
        <is>
          <t>C-SLG/0130/26-27</t>
        </is>
      </c>
      <c r="C79" s="98" t="n"/>
      <c r="D79" s="30" t="n">
        <v>22152</v>
      </c>
      <c r="E79" s="30" t="n">
        <v>22152</v>
      </c>
      <c r="F79" s="100" t="n">
        <v>46181</v>
      </c>
      <c r="G79" s="98" t="n"/>
      <c r="H79" s="22" t="n"/>
      <c r="I79" s="22" t="n"/>
      <c r="J79" s="23" t="n"/>
      <c r="K79" s="99" t="n"/>
      <c r="L79" s="99" t="n"/>
      <c r="M79" s="99" t="n"/>
      <c r="N79" s="99" t="n"/>
      <c r="O79" s="90" t="n"/>
      <c r="P79" s="90" t="n"/>
      <c r="Q79" s="90" t="n"/>
      <c r="R79" s="90" t="n"/>
      <c r="S79" s="90" t="n"/>
      <c r="T79" s="90" t="n"/>
    </row>
    <row r="80">
      <c r="A80" s="97" t="n"/>
      <c r="B80" s="98" t="n"/>
      <c r="C80" s="98" t="n"/>
      <c r="D80" s="30" t="n">
        <v>45648</v>
      </c>
      <c r="E80" s="20" t="n">
        <v>45648</v>
      </c>
      <c r="F80" s="98" t="n"/>
      <c r="G80" s="98" t="n"/>
      <c r="H80" s="22" t="n"/>
      <c r="I80" s="22" t="n"/>
      <c r="J80" s="23" t="n"/>
      <c r="K80" s="99" t="n"/>
      <c r="L80" s="99" t="n"/>
      <c r="M80" s="99" t="n"/>
      <c r="N80" s="99" t="n"/>
      <c r="O80" s="90" t="n"/>
      <c r="P80" s="90" t="n"/>
      <c r="Q80" s="90" t="n"/>
      <c r="R80" s="90" t="n"/>
      <c r="S80" s="90" t="n"/>
      <c r="T80" s="90" t="n"/>
    </row>
    <row r="81">
      <c r="A81" s="97" t="n"/>
      <c r="B81" s="98" t="n"/>
      <c r="C81" s="101" t="inlineStr">
        <is>
          <t>Sri Chamunda Stationery</t>
        </is>
      </c>
      <c r="D81" s="98" t="n"/>
      <c r="E81" s="98" t="n"/>
      <c r="F81" s="98" t="n"/>
      <c r="G81" s="98" t="n"/>
      <c r="H81" s="22" t="n"/>
      <c r="I81" s="22" t="n"/>
      <c r="J81" s="23" t="n"/>
      <c r="K81" s="99" t="inlineStr">
        <is>
          <t>2 DAYS</t>
        </is>
      </c>
      <c r="L81" s="99" t="n"/>
      <c r="M81" s="99" t="n"/>
      <c r="N81" s="99" t="n"/>
      <c r="O81" s="90" t="n"/>
      <c r="P81" s="90" t="n"/>
      <c r="Q81" s="90" t="n"/>
      <c r="R81" s="90" t="n"/>
      <c r="S81" s="90" t="n"/>
      <c r="T81" s="90" t="n"/>
    </row>
    <row r="82">
      <c r="A82" s="25" t="n">
        <v>46062</v>
      </c>
      <c r="B82" s="26" t="inlineStr">
        <is>
          <t>C-SLG/2204/25-26</t>
        </is>
      </c>
      <c r="C82" s="98" t="n"/>
      <c r="D82" s="30" t="n">
        <v>6352</v>
      </c>
      <c r="E82" s="20" t="n">
        <v>2852</v>
      </c>
      <c r="F82" s="100" t="n">
        <v>46087</v>
      </c>
      <c r="G82" s="29">
        <f>$E$2-F82</f>
        <v/>
      </c>
      <c r="H82" s="22" t="n"/>
      <c r="I82" s="22" t="n"/>
      <c r="J82" s="23" t="inlineStr">
        <is>
          <t>DSO will Collect</t>
        </is>
      </c>
      <c r="K82" s="99" t="n"/>
      <c r="L82" s="99" t="n"/>
      <c r="M82" s="99" t="n"/>
      <c r="N82" s="99" t="n"/>
      <c r="O82" s="90" t="n"/>
      <c r="P82" s="90" t="n"/>
      <c r="Q82" s="90" t="n"/>
      <c r="R82" s="90" t="n"/>
      <c r="S82" s="90" t="n"/>
      <c r="T82" s="90" t="n"/>
    </row>
    <row r="83">
      <c r="A83" s="97" t="n"/>
      <c r="B83" s="98" t="n"/>
      <c r="C83" s="98" t="n"/>
      <c r="D83" s="30" t="n">
        <v>6352</v>
      </c>
      <c r="E83" s="20" t="n">
        <v>2852</v>
      </c>
      <c r="F83" s="98" t="n"/>
      <c r="G83" s="98" t="n"/>
      <c r="H83" s="22" t="n"/>
      <c r="I83" s="22" t="n"/>
      <c r="J83" s="23" t="n"/>
      <c r="K83" s="99" t="n"/>
      <c r="L83" s="99" t="n"/>
      <c r="M83" s="99" t="n"/>
      <c r="N83" s="99" t="n"/>
      <c r="O83" s="90" t="n"/>
      <c r="P83" s="90" t="n"/>
      <c r="Q83" s="90" t="n"/>
      <c r="R83" s="90" t="n"/>
      <c r="S83" s="90" t="n"/>
      <c r="T83" s="90" t="n"/>
    </row>
    <row r="84">
      <c r="A84" s="97" t="n"/>
      <c r="B84" s="98" t="n"/>
      <c r="C84" s="24" t="inlineStr">
        <is>
          <t>SRI DHANALAKSHMI ENTERPRISES</t>
        </is>
      </c>
      <c r="D84" s="98" t="n"/>
      <c r="E84" s="98" t="n"/>
      <c r="F84" s="98" t="n"/>
      <c r="G84" s="98" t="n"/>
      <c r="H84" s="22" t="n"/>
      <c r="I84" s="22" t="n"/>
      <c r="J84" s="23" t="n"/>
      <c r="K84" s="99" t="inlineStr">
        <is>
          <t>ringing not resonding | ringing not resonding | NUMBER  BUSY | HE HIS  IN OUTSATION  AFTER COMING WILL PAY | NUMBER BUSY</t>
        </is>
      </c>
      <c r="L84" s="99" t="n"/>
      <c r="M84" s="99" t="n"/>
      <c r="N84" s="99" t="n"/>
      <c r="O84" s="90" t="n"/>
      <c r="P84" s="90" t="n"/>
      <c r="Q84" s="90" t="n"/>
      <c r="R84" s="90" t="n"/>
      <c r="S84" s="90" t="n"/>
      <c r="T84" s="90" t="n"/>
    </row>
    <row r="85">
      <c r="A85" s="25" t="n">
        <v>46071</v>
      </c>
      <c r="B85" s="26" t="inlineStr">
        <is>
          <t>C-SLG/2255/25-26</t>
        </is>
      </c>
      <c r="C85" s="98" t="n"/>
      <c r="D85" s="30" t="n">
        <v>42121</v>
      </c>
      <c r="E85" s="20" t="n">
        <v>42121</v>
      </c>
      <c r="F85" s="100" t="n">
        <v>46096</v>
      </c>
      <c r="G85" s="29">
        <f>$E$2-F85</f>
        <v/>
      </c>
      <c r="H85" s="22" t="n"/>
      <c r="I85" s="22" t="n"/>
      <c r="J85" s="23" t="n"/>
      <c r="K85" s="99" t="n"/>
      <c r="L85" s="99" t="n"/>
      <c r="M85" s="99" t="n"/>
      <c r="N85" s="99" t="n"/>
      <c r="O85" s="90" t="n"/>
      <c r="P85" s="90" t="n"/>
      <c r="Q85" s="90" t="n"/>
      <c r="R85" s="90" t="n"/>
      <c r="S85" s="90" t="n"/>
      <c r="T85" s="90" t="n"/>
    </row>
    <row r="86">
      <c r="A86" s="97" t="n"/>
      <c r="B86" s="98" t="n"/>
      <c r="C86" s="98" t="n"/>
      <c r="D86" s="30" t="n">
        <v>42121</v>
      </c>
      <c r="E86" s="20" t="n">
        <v>42121</v>
      </c>
      <c r="F86" s="98" t="n"/>
      <c r="G86" s="98" t="n"/>
      <c r="H86" s="22" t="n"/>
      <c r="I86" s="22" t="n"/>
      <c r="J86" s="23" t="inlineStr">
        <is>
          <t>Customer is Out of Station</t>
        </is>
      </c>
      <c r="K86" s="99" t="n"/>
      <c r="L86" s="99" t="n"/>
      <c r="M86" s="99" t="n"/>
      <c r="N86" s="99" t="n"/>
      <c r="O86" s="90" t="n"/>
      <c r="P86" s="90" t="n"/>
      <c r="Q86" s="90" t="n"/>
      <c r="R86" s="90" t="n"/>
      <c r="S86" s="90" t="n"/>
      <c r="T86" s="90" t="n"/>
    </row>
    <row r="87">
      <c r="A87" s="97" t="n"/>
      <c r="B87" s="98" t="n"/>
      <c r="C87" s="24" t="inlineStr">
        <is>
          <t>Sri Hanu Subramanyam Book Center</t>
        </is>
      </c>
      <c r="D87" s="98" t="n"/>
      <c r="E87" s="98" t="n"/>
      <c r="F87" s="98" t="n"/>
      <c r="G87" s="98" t="n"/>
      <c r="H87" s="22" t="n"/>
      <c r="I87" s="22" t="n"/>
      <c r="J87" s="23" t="n"/>
      <c r="K87" s="99" t="inlineStr">
        <is>
          <t>NUMBER  BUSY | NUMBER  BUSY | NUMBER BUSY | NUMBER  BUSY</t>
        </is>
      </c>
      <c r="L87" s="99" t="n"/>
      <c r="M87" s="99" t="n"/>
      <c r="N87" s="99" t="n"/>
      <c r="O87" s="90" t="n"/>
      <c r="P87" s="90" t="n"/>
      <c r="Q87" s="90" t="n"/>
      <c r="R87" s="90" t="n"/>
      <c r="S87" s="90" t="n"/>
      <c r="T87" s="90" t="n"/>
    </row>
    <row r="88">
      <c r="A88" s="25" t="n">
        <v>46111</v>
      </c>
      <c r="B88" s="26" t="inlineStr">
        <is>
          <t>C-SLG/2479/25-26</t>
        </is>
      </c>
      <c r="C88" s="98" t="n"/>
      <c r="D88" s="30" t="n">
        <v>8190</v>
      </c>
      <c r="E88" s="20" t="n">
        <v>8190</v>
      </c>
      <c r="F88" s="100" t="n">
        <v>46136</v>
      </c>
      <c r="G88" s="29">
        <f>$E$2-F88</f>
        <v/>
      </c>
      <c r="H88" s="22" t="n"/>
      <c r="I88" s="22" t="n"/>
      <c r="J88" s="23" t="inlineStr">
        <is>
          <t>Ringing Not Responding</t>
        </is>
      </c>
      <c r="K88" s="99" t="n"/>
      <c r="L88" s="99" t="n"/>
      <c r="M88" s="99" t="n"/>
      <c r="N88" s="99" t="n"/>
      <c r="O88" s="90" t="n"/>
      <c r="P88" s="90" t="n"/>
      <c r="Q88" s="90" t="n"/>
      <c r="R88" s="90" t="n"/>
      <c r="S88" s="90" t="n"/>
      <c r="T88" s="90" t="n"/>
    </row>
    <row r="89">
      <c r="A89" s="97" t="n"/>
      <c r="B89" s="98" t="n"/>
      <c r="C89" s="98" t="n"/>
      <c r="D89" s="30" t="n">
        <v>8190</v>
      </c>
      <c r="E89" s="20" t="n">
        <v>8190</v>
      </c>
      <c r="F89" s="98" t="n"/>
      <c r="G89" s="98" t="n"/>
      <c r="H89" s="22" t="n"/>
      <c r="I89" s="22" t="n"/>
      <c r="J89" s="23" t="n"/>
      <c r="K89" s="99" t="n"/>
      <c r="L89" s="99" t="n"/>
      <c r="M89" s="99" t="n"/>
      <c r="N89" s="99" t="n"/>
      <c r="O89" s="90" t="n"/>
      <c r="P89" s="90" t="n"/>
      <c r="Q89" s="90" t="n"/>
      <c r="R89" s="90" t="n"/>
      <c r="S89" s="90" t="n"/>
      <c r="T89" s="90" t="n"/>
    </row>
    <row r="90">
      <c r="A90" s="97" t="n"/>
      <c r="B90" s="98" t="n"/>
      <c r="C90" s="24" t="inlineStr">
        <is>
          <t>Sri Laxmi Book Centre ( DSNR)</t>
        </is>
      </c>
      <c r="D90" s="98" t="n"/>
      <c r="E90" s="98" t="n"/>
      <c r="F90" s="98" t="n"/>
      <c r="G90" s="98" t="n"/>
      <c r="H90" s="22" t="n"/>
      <c r="I90" s="22" t="n"/>
      <c r="J90" s="23" t="n"/>
      <c r="K90" s="99" t="inlineStr">
        <is>
          <t>HEWILLPAY IN 2 DAYS | TOMMROW ONLINE | RINGING NOT RESPONDING | RINGING NOT RESPONDING</t>
        </is>
      </c>
      <c r="L90" s="99" t="n"/>
      <c r="M90" s="99" t="n"/>
      <c r="N90" s="99" t="n"/>
      <c r="O90" s="90" t="n"/>
      <c r="P90" s="90" t="n"/>
      <c r="Q90" s="90" t="n"/>
      <c r="R90" s="90" t="n"/>
      <c r="S90" s="90" t="n"/>
      <c r="T90" s="90" t="n"/>
    </row>
    <row r="91">
      <c r="A91" s="25" t="n">
        <v>45954</v>
      </c>
      <c r="B91" s="26" t="inlineStr">
        <is>
          <t>Bounce Charges-155</t>
        </is>
      </c>
      <c r="C91" s="98" t="n"/>
      <c r="D91" s="30" t="n">
        <v>500</v>
      </c>
      <c r="E91" s="20" t="n">
        <v>500</v>
      </c>
      <c r="F91" s="100" t="n">
        <v>45979</v>
      </c>
      <c r="G91" s="29">
        <f>$E$2-F91</f>
        <v/>
      </c>
      <c r="H91" s="22" t="n"/>
      <c r="I91" s="22" t="n"/>
      <c r="J91" s="23" t="inlineStr">
        <is>
          <t>Sent Scanner on Whatsapp</t>
        </is>
      </c>
      <c r="K91" s="99" t="n"/>
      <c r="L91" s="99" t="n"/>
      <c r="M91" s="99" t="n"/>
      <c r="N91" s="99" t="n"/>
      <c r="O91" s="90" t="n"/>
      <c r="P91" s="90" t="n"/>
      <c r="Q91" s="90" t="n"/>
      <c r="R91" s="90" t="n"/>
      <c r="S91" s="90" t="n"/>
      <c r="T91" s="90" t="n"/>
    </row>
    <row r="92">
      <c r="A92" s="25" t="n">
        <v>46118</v>
      </c>
      <c r="B92" s="26" t="inlineStr">
        <is>
          <t>C-SLG/0012/26-27</t>
        </is>
      </c>
      <c r="C92" s="98" t="n"/>
      <c r="D92" s="30" t="n">
        <v>6100</v>
      </c>
      <c r="E92" s="20" t="n">
        <v>6100</v>
      </c>
      <c r="F92" s="100" t="n">
        <v>46143</v>
      </c>
      <c r="G92" s="29">
        <f>$E$2-F92</f>
        <v/>
      </c>
      <c r="H92" s="22" t="n"/>
      <c r="I92" s="22" t="n"/>
      <c r="J92" s="23" t="inlineStr">
        <is>
          <t>Sent Scanner on Whatsapp</t>
        </is>
      </c>
      <c r="K92" s="99" t="n"/>
      <c r="L92" s="99" t="n"/>
      <c r="M92" s="99" t="n"/>
      <c r="N92" s="99" t="n"/>
      <c r="O92" s="90" t="n"/>
      <c r="P92" s="90" t="n"/>
      <c r="Q92" s="90" t="n"/>
      <c r="R92" s="90" t="n"/>
      <c r="S92" s="90" t="n"/>
      <c r="T92" s="90" t="n"/>
    </row>
    <row r="93">
      <c r="A93" s="97" t="n"/>
      <c r="B93" s="98" t="n"/>
      <c r="C93" s="98" t="n"/>
      <c r="D93" s="30" t="n">
        <v>6600</v>
      </c>
      <c r="E93" s="20" t="n">
        <v>6600</v>
      </c>
      <c r="F93" s="98" t="n"/>
      <c r="G93" s="98" t="n"/>
      <c r="H93" s="22" t="n"/>
      <c r="I93" s="22" t="n"/>
      <c r="J93" s="23" t="n"/>
      <c r="K93" s="99" t="n"/>
      <c r="L93" s="99" t="n"/>
      <c r="M93" s="99" t="n"/>
      <c r="N93" s="99" t="n"/>
      <c r="O93" s="90" t="n"/>
      <c r="P93" s="90" t="n"/>
      <c r="Q93" s="90" t="n"/>
      <c r="R93" s="90" t="n"/>
      <c r="S93" s="90" t="n"/>
      <c r="T93" s="90" t="n"/>
    </row>
    <row r="94">
      <c r="A94" s="97" t="n"/>
      <c r="B94" s="98" t="n"/>
      <c r="C94" s="24" t="inlineStr">
        <is>
          <t>Sri Mahalaxmi Stationary and General</t>
        </is>
      </c>
      <c r="D94" s="98" t="n"/>
      <c r="E94" s="98" t="n"/>
      <c r="F94" s="98" t="n"/>
      <c r="G94" s="98" t="n"/>
      <c r="H94" s="22" t="n"/>
      <c r="I94" s="22" t="n"/>
      <c r="J94" s="23" t="n"/>
      <c r="K94" s="99" t="inlineStr">
        <is>
          <t>NUMBER BUSY | NUMBER NOT CONNETED | HE SAID THAT HE WILL PAY WHEN VINOD COME | NUMBER BUSY</t>
        </is>
      </c>
      <c r="L94" s="99" t="n"/>
      <c r="M94" s="99" t="n"/>
      <c r="N94" s="99" t="n"/>
      <c r="O94" s="90" t="n"/>
      <c r="P94" s="90" t="n"/>
      <c r="Q94" s="90" t="n"/>
      <c r="R94" s="90" t="n"/>
      <c r="S94" s="90" t="n"/>
      <c r="T94" s="90" t="n"/>
    </row>
    <row r="95">
      <c r="A95" s="25" t="n">
        <v>46105</v>
      </c>
      <c r="B95" s="26" t="inlineStr">
        <is>
          <t>C-SLG/2431/25-26</t>
        </is>
      </c>
      <c r="C95" s="98" t="n"/>
      <c r="D95" s="30" t="n">
        <v>2287</v>
      </c>
      <c r="E95" s="20" t="n">
        <v>2287</v>
      </c>
      <c r="F95" s="100" t="n">
        <v>46130</v>
      </c>
      <c r="G95" s="29">
        <f>$E$2-F95</f>
        <v/>
      </c>
      <c r="H95" s="22" t="n"/>
      <c r="I95" s="22" t="n"/>
      <c r="J95" s="23" t="n"/>
      <c r="K95" s="99" t="n"/>
      <c r="L95" s="99" t="n"/>
      <c r="M95" s="99" t="n"/>
      <c r="N95" s="99" t="n"/>
      <c r="O95" s="90" t="n"/>
      <c r="P95" s="90" t="n"/>
      <c r="Q95" s="90" t="n"/>
      <c r="R95" s="90" t="n"/>
      <c r="S95" s="90" t="n"/>
      <c r="T95" s="90" t="n"/>
    </row>
    <row r="96">
      <c r="A96" s="97" t="n"/>
      <c r="B96" s="98" t="n"/>
      <c r="C96" s="98" t="n"/>
      <c r="D96" s="30" t="n">
        <v>2287</v>
      </c>
      <c r="E96" s="20" t="n">
        <v>2287</v>
      </c>
      <c r="F96" s="98" t="n"/>
      <c r="G96" s="98" t="n"/>
      <c r="H96" s="22" t="n"/>
      <c r="I96" s="22" t="n"/>
      <c r="J96" s="23" t="n"/>
      <c r="K96" s="99" t="n"/>
      <c r="L96" s="99" t="n"/>
      <c r="M96" s="99" t="n"/>
      <c r="N96" s="99" t="n"/>
      <c r="O96" s="90" t="n"/>
      <c r="P96" s="90" t="n"/>
      <c r="Q96" s="90" t="n"/>
      <c r="R96" s="90" t="n"/>
      <c r="S96" s="90" t="n"/>
      <c r="T96" s="90" t="n"/>
    </row>
    <row r="97">
      <c r="A97" s="97" t="n"/>
      <c r="B97" s="98" t="n"/>
      <c r="C97" s="24" t="inlineStr">
        <is>
          <t>Srinivasa Stationery &amp; Xerox</t>
        </is>
      </c>
      <c r="D97" s="98" t="n"/>
      <c r="E97" s="98" t="n"/>
      <c r="F97" s="98" t="n"/>
      <c r="G97" s="98" t="n"/>
      <c r="H97" s="22" t="n"/>
      <c r="I97" s="22" t="n"/>
      <c r="J97" s="23" t="n"/>
      <c r="K97" s="99" t="inlineStr">
        <is>
          <t>NUMBER NOT THIER | NUMBER NOT THIER</t>
        </is>
      </c>
      <c r="L97" s="99" t="n"/>
      <c r="M97" s="99" t="n"/>
      <c r="N97" s="99" t="n"/>
      <c r="O97" s="90" t="n"/>
      <c r="P97" s="90" t="n"/>
      <c r="Q97" s="90" t="n"/>
      <c r="R97" s="90" t="n"/>
      <c r="S97" s="90" t="n"/>
      <c r="T97" s="90" t="n"/>
    </row>
    <row r="98">
      <c r="A98" s="25" t="n">
        <v>46126</v>
      </c>
      <c r="B98" s="26" t="inlineStr">
        <is>
          <t>C-SLG/0040/26-27</t>
        </is>
      </c>
      <c r="C98" s="98" t="n"/>
      <c r="D98" s="30" t="n">
        <v>2795</v>
      </c>
      <c r="E98" s="20" t="n">
        <v>2795</v>
      </c>
      <c r="F98" s="100" t="n">
        <v>46126</v>
      </c>
      <c r="G98" s="29">
        <f>$E$2-F98</f>
        <v/>
      </c>
      <c r="H98" s="22" t="n"/>
      <c r="I98" s="22" t="n"/>
      <c r="J98" s="23" t="inlineStr">
        <is>
          <t>Number Not Avilable</t>
        </is>
      </c>
      <c r="K98" s="99" t="n"/>
      <c r="L98" s="99" t="n"/>
      <c r="M98" s="99" t="n"/>
      <c r="N98" s="99" t="n"/>
      <c r="O98" s="90" t="n"/>
      <c r="P98" s="90" t="n"/>
      <c r="Q98" s="90" t="n"/>
      <c r="R98" s="90" t="n"/>
      <c r="S98" s="90" t="n"/>
      <c r="T98" s="90" t="n"/>
    </row>
    <row r="99">
      <c r="A99" s="97" t="n"/>
      <c r="B99" s="98" t="n"/>
      <c r="C99" s="98" t="n"/>
      <c r="D99" s="30" t="n">
        <v>2795</v>
      </c>
      <c r="E99" s="20" t="n">
        <v>2795</v>
      </c>
      <c r="F99" s="98" t="n"/>
      <c r="G99" s="98" t="n"/>
      <c r="H99" s="22" t="n"/>
      <c r="I99" s="22" t="n"/>
      <c r="J99" s="23" t="n"/>
      <c r="K99" s="99" t="n"/>
      <c r="L99" s="99" t="n"/>
      <c r="M99" s="99" t="n"/>
      <c r="N99" s="99" t="n"/>
      <c r="O99" s="90" t="n"/>
      <c r="P99" s="90" t="n"/>
      <c r="Q99" s="90" t="n"/>
      <c r="R99" s="90" t="n"/>
      <c r="S99" s="90" t="n"/>
      <c r="T99" s="90" t="n"/>
    </row>
    <row r="100">
      <c r="A100" s="97" t="n"/>
      <c r="B100" s="98" t="n"/>
      <c r="C100" s="24" t="inlineStr">
        <is>
          <t>Sri Ram Plastic</t>
        </is>
      </c>
      <c r="D100" s="98" t="n"/>
      <c r="E100" s="98" t="n"/>
      <c r="F100" s="98" t="n"/>
      <c r="G100" s="98" t="n"/>
      <c r="H100" s="22" t="n"/>
      <c r="I100" s="22" t="n"/>
      <c r="J100" s="23" t="n"/>
      <c r="K100" s="99" t="inlineStr">
        <is>
          <t>NUMBER NOT CONNETED | HE WILL  PAY IN 1 WEEK  NO SEASON | RINGING  NOT RESPONDING | AFTER 10 DAYS HE WILL PAY</t>
        </is>
      </c>
      <c r="L100" s="99" t="n"/>
      <c r="M100" s="99" t="n"/>
      <c r="N100" s="99" t="n"/>
      <c r="O100" s="90" t="n"/>
      <c r="P100" s="90" t="n"/>
      <c r="Q100" s="90" t="n"/>
      <c r="R100" s="90" t="n"/>
      <c r="S100" s="90" t="n"/>
      <c r="T100" s="90" t="n"/>
    </row>
    <row r="101">
      <c r="A101" s="25" t="n">
        <v>46112</v>
      </c>
      <c r="B101" s="26" t="inlineStr">
        <is>
          <t>C-SLG/2495/25-26</t>
        </is>
      </c>
      <c r="C101" s="98" t="n"/>
      <c r="D101" s="30" t="n">
        <v>96214</v>
      </c>
      <c r="E101" s="20" t="n">
        <v>96214</v>
      </c>
      <c r="F101" s="100" t="n">
        <v>46137</v>
      </c>
      <c r="G101" s="29">
        <f>$E$2-F101</f>
        <v/>
      </c>
      <c r="H101" s="22" t="n"/>
      <c r="I101" s="22" t="n"/>
      <c r="J101" s="23" t="n"/>
      <c r="K101" s="99" t="n"/>
      <c r="L101" s="99" t="n"/>
      <c r="M101" s="99" t="n"/>
      <c r="N101" s="99" t="n"/>
      <c r="O101" s="90" t="n"/>
      <c r="P101" s="90" t="n"/>
      <c r="Q101" s="90" t="n"/>
      <c r="R101" s="90" t="n"/>
      <c r="S101" s="90" t="n"/>
      <c r="T101" s="90" t="n"/>
    </row>
    <row r="102">
      <c r="A102" s="97" t="n"/>
      <c r="B102" s="98" t="n"/>
      <c r="C102" s="98" t="n"/>
      <c r="D102" s="30" t="n">
        <v>96214</v>
      </c>
      <c r="E102" s="20" t="n">
        <v>96214</v>
      </c>
      <c r="F102" s="98" t="n"/>
      <c r="G102" s="98" t="n"/>
      <c r="H102" s="22" t="n"/>
      <c r="I102" s="22" t="n"/>
      <c r="J102" s="23" t="n"/>
      <c r="K102" s="99" t="n"/>
      <c r="L102" s="99" t="n"/>
      <c r="M102" s="99" t="n"/>
      <c r="N102" s="99" t="n"/>
      <c r="O102" s="90" t="n"/>
      <c r="P102" s="90" t="n"/>
      <c r="Q102" s="90" t="n"/>
      <c r="R102" s="90" t="n"/>
      <c r="S102" s="90" t="n"/>
      <c r="T102" s="90" t="n"/>
    </row>
    <row r="103">
      <c r="A103" s="97" t="n"/>
      <c r="B103" s="98" t="n"/>
      <c r="C103" s="24" t="inlineStr">
        <is>
          <t>Sri Sai Books &amp; Gifts (Chaithanyapuri)</t>
        </is>
      </c>
      <c r="D103" s="98" t="n"/>
      <c r="E103" s="98" t="n"/>
      <c r="F103" s="98" t="n"/>
      <c r="G103" s="98" t="n"/>
      <c r="H103" s="22" t="n"/>
      <c r="I103" s="22" t="n"/>
      <c r="J103" s="23" t="n"/>
      <c r="K103" s="99" t="inlineStr">
        <is>
          <t>number not their | HE WILL PAY ONSATURDAY | THEY WILL PAY</t>
        </is>
      </c>
      <c r="L103" s="99" t="n"/>
      <c r="M103" s="99" t="n"/>
      <c r="N103" s="99" t="n"/>
      <c r="O103" s="90" t="n"/>
      <c r="P103" s="90" t="n"/>
      <c r="Q103" s="90" t="n"/>
      <c r="R103" s="90" t="n"/>
      <c r="S103" s="90" t="n"/>
      <c r="T103" s="90" t="n"/>
    </row>
    <row r="104">
      <c r="A104" s="25" t="n">
        <v>46101</v>
      </c>
      <c r="B104" s="26" t="inlineStr">
        <is>
          <t>C-SLG/2413/25-26</t>
        </is>
      </c>
      <c r="C104" s="98" t="n"/>
      <c r="D104" s="30" t="n">
        <v>3580</v>
      </c>
      <c r="E104" s="20" t="n">
        <v>3580</v>
      </c>
      <c r="F104" s="100" t="n">
        <v>46126</v>
      </c>
      <c r="G104" s="29">
        <f>$E$2-F104</f>
        <v/>
      </c>
      <c r="H104" s="22" t="n"/>
      <c r="I104" s="22" t="n"/>
      <c r="J104" s="23" t="inlineStr">
        <is>
          <t>Sent Scanner on WhatsApp</t>
        </is>
      </c>
      <c r="K104" s="99" t="n"/>
      <c r="L104" s="99" t="n"/>
      <c r="M104" s="99" t="n"/>
      <c r="N104" s="99" t="n"/>
      <c r="O104" s="90" t="n"/>
      <c r="P104" s="90" t="n"/>
      <c r="Q104" s="90" t="n"/>
      <c r="R104" s="90" t="n"/>
      <c r="S104" s="90" t="n"/>
      <c r="T104" s="90" t="n"/>
    </row>
    <row r="105">
      <c r="A105" s="97" t="n"/>
      <c r="B105" s="98" t="n"/>
      <c r="C105" s="98" t="n"/>
      <c r="D105" s="30" t="n">
        <v>3580</v>
      </c>
      <c r="E105" s="20" t="n">
        <v>3580</v>
      </c>
      <c r="F105" s="98" t="n"/>
      <c r="G105" s="98" t="n"/>
      <c r="H105" s="22" t="n"/>
      <c r="I105" s="22" t="n"/>
      <c r="J105" s="23" t="n"/>
      <c r="K105" s="99" t="n"/>
      <c r="L105" s="99" t="n"/>
      <c r="M105" s="99" t="n"/>
      <c r="N105" s="99" t="n"/>
      <c r="O105" s="90" t="n"/>
      <c r="P105" s="90" t="n"/>
      <c r="Q105" s="90" t="n"/>
      <c r="R105" s="90" t="n"/>
      <c r="S105" s="90" t="n"/>
      <c r="T105" s="90" t="n"/>
    </row>
    <row r="106">
      <c r="A106" s="97" t="n"/>
      <c r="B106" s="98" t="n"/>
      <c r="C106" s="24" t="inlineStr">
        <is>
          <t>SRI SAI RAM STATIONERY(RK PURAM)</t>
        </is>
      </c>
      <c r="D106" s="98" t="n"/>
      <c r="E106" s="98" t="n"/>
      <c r="F106" s="98" t="n"/>
      <c r="G106" s="98" t="n"/>
      <c r="H106" s="22" t="n"/>
      <c r="I106" s="22" t="n"/>
      <c r="J106" s="23" t="n"/>
      <c r="K106" s="99" t="n"/>
      <c r="L106" s="99" t="n"/>
      <c r="M106" s="99" t="n"/>
      <c r="N106" s="99" t="n"/>
      <c r="O106" s="90" t="n"/>
      <c r="P106" s="90" t="n"/>
      <c r="Q106" s="90" t="n"/>
      <c r="R106" s="90" t="n"/>
      <c r="S106" s="90" t="n"/>
      <c r="T106" s="90" t="n"/>
    </row>
    <row r="107">
      <c r="A107" s="25" t="n">
        <v>46107</v>
      </c>
      <c r="B107" s="26" t="inlineStr">
        <is>
          <t>C-SLG/2452/25-26</t>
        </is>
      </c>
      <c r="C107" s="98" t="n"/>
      <c r="D107" s="30" t="n">
        <v>100</v>
      </c>
      <c r="E107" s="20" t="n">
        <v>100</v>
      </c>
      <c r="F107" s="100" t="n">
        <v>46132</v>
      </c>
      <c r="G107" s="29">
        <f>$E$2-F107</f>
        <v/>
      </c>
      <c r="H107" s="22" t="n"/>
      <c r="I107" s="22" t="n"/>
      <c r="J107" s="23" t="n"/>
      <c r="K107" s="99" t="n"/>
      <c r="L107" s="99" t="n"/>
      <c r="M107" s="99" t="n"/>
      <c r="N107" s="99" t="n"/>
      <c r="O107" s="90" t="n"/>
      <c r="P107" s="90" t="n"/>
      <c r="Q107" s="90" t="n"/>
      <c r="R107" s="90" t="n"/>
      <c r="S107" s="90" t="n"/>
      <c r="T107" s="90" t="n"/>
    </row>
    <row r="108">
      <c r="A108" s="97" t="n"/>
      <c r="B108" s="98" t="n"/>
      <c r="C108" s="98" t="n"/>
      <c r="D108" s="30" t="n">
        <v>100</v>
      </c>
      <c r="E108" s="20" t="n">
        <v>100</v>
      </c>
      <c r="F108" s="98" t="n"/>
      <c r="G108" s="98" t="n"/>
      <c r="H108" s="22" t="n"/>
      <c r="I108" s="22" t="n"/>
      <c r="J108" s="23" t="n"/>
      <c r="K108" s="99" t="n"/>
      <c r="L108" s="99" t="n"/>
      <c r="M108" s="99" t="n"/>
      <c r="N108" s="99" t="n"/>
      <c r="O108" s="90" t="n"/>
      <c r="P108" s="90" t="n"/>
      <c r="Q108" s="90" t="n"/>
      <c r="R108" s="90" t="n"/>
      <c r="S108" s="90" t="n"/>
      <c r="T108" s="90" t="n"/>
    </row>
    <row r="109">
      <c r="A109" s="97" t="n"/>
      <c r="B109" s="98" t="n"/>
      <c r="C109" s="24" t="inlineStr">
        <is>
          <t>SRI SAI SARASWATHI STATIONARY</t>
        </is>
      </c>
      <c r="D109" s="98" t="n"/>
      <c r="E109" s="98" t="n"/>
      <c r="F109" s="98" t="n"/>
      <c r="G109" s="98" t="n"/>
      <c r="H109" s="22" t="n"/>
      <c r="I109" s="22" t="n"/>
      <c r="J109" s="23" t="n"/>
      <c r="K109" s="99" t="inlineStr">
        <is>
          <t>number not their | number not their | paid online</t>
        </is>
      </c>
      <c r="L109" s="99" t="n"/>
      <c r="M109" s="99" t="n"/>
      <c r="N109" s="99" t="n"/>
      <c r="O109" s="90" t="n"/>
      <c r="P109" s="90" t="n"/>
      <c r="Q109" s="90" t="n"/>
      <c r="R109" s="90" t="n"/>
      <c r="S109" s="90" t="n"/>
      <c r="T109" s="90" t="n"/>
    </row>
    <row r="110">
      <c r="A110" s="25" t="n">
        <v>46098</v>
      </c>
      <c r="B110" s="26" t="inlineStr">
        <is>
          <t>C-SLG/2399/25-26</t>
        </is>
      </c>
      <c r="C110" s="98" t="n"/>
      <c r="D110" s="30" t="n">
        <v>886</v>
      </c>
      <c r="E110" s="20" t="n">
        <v>886</v>
      </c>
      <c r="F110" s="100" t="n">
        <v>46123</v>
      </c>
      <c r="G110" s="29">
        <f>$E$2-F110</f>
        <v/>
      </c>
      <c r="H110" s="22" t="n"/>
      <c r="I110" s="22" t="n"/>
      <c r="J110" s="23" t="n"/>
      <c r="K110" s="99" t="n"/>
      <c r="L110" s="99" t="n"/>
      <c r="M110" s="99" t="n"/>
      <c r="N110" s="99" t="n"/>
      <c r="O110" s="90" t="n"/>
      <c r="P110" s="90" t="n"/>
      <c r="Q110" s="90" t="n"/>
      <c r="R110" s="90" t="n"/>
      <c r="S110" s="90" t="n"/>
      <c r="T110" s="90" t="n"/>
    </row>
    <row r="111">
      <c r="A111" s="97" t="n"/>
      <c r="B111" s="98" t="n"/>
      <c r="C111" s="98" t="n"/>
      <c r="D111" s="30" t="n">
        <v>886</v>
      </c>
      <c r="E111" s="20" t="n">
        <v>886</v>
      </c>
      <c r="F111" s="98" t="n"/>
      <c r="G111" s="98" t="n"/>
      <c r="H111" s="22">
        <f>886</f>
        <v/>
      </c>
      <c r="I111" s="22">
        <f>E111-H111</f>
        <v/>
      </c>
      <c r="J111" s="23" t="inlineStr">
        <is>
          <t>Paid Online - Full Amount</t>
        </is>
      </c>
      <c r="K111" s="99" t="n"/>
      <c r="L111" s="99" t="n"/>
      <c r="M111" s="99" t="n"/>
      <c r="N111" s="99" t="n"/>
      <c r="O111" s="90" t="n"/>
      <c r="P111" s="90" t="n"/>
      <c r="Q111" s="90" t="n"/>
      <c r="R111" s="90" t="n"/>
      <c r="S111" s="90" t="n"/>
      <c r="T111" s="90" t="n"/>
    </row>
    <row r="112">
      <c r="A112" s="97" t="n"/>
      <c r="B112" s="98" t="n"/>
      <c r="C112" s="24" t="inlineStr">
        <is>
          <t>Sri Sai Tirumala Book &amp; Guides - Badangpet</t>
        </is>
      </c>
      <c r="D112" s="98" t="n"/>
      <c r="E112" s="98" t="n"/>
      <c r="F112" s="98" t="n"/>
      <c r="G112" s="98" t="n"/>
      <c r="H112" s="22" t="n"/>
      <c r="I112" s="22" t="n"/>
      <c r="J112" s="23" t="n"/>
      <c r="K112" s="99" t="inlineStr">
        <is>
          <t>he will pay in today eveng | ringing not resonding | ringing not resonding | ringing not resonding | ringing not resonding</t>
        </is>
      </c>
      <c r="L112" s="99" t="n"/>
      <c r="M112" s="99" t="n"/>
      <c r="N112" s="99" t="n"/>
      <c r="O112" s="90" t="n"/>
      <c r="P112" s="90" t="n"/>
      <c r="Q112" s="90" t="n"/>
      <c r="R112" s="90" t="n"/>
      <c r="S112" s="90" t="n"/>
      <c r="T112" s="90" t="n"/>
    </row>
    <row r="113">
      <c r="A113" s="25" t="n">
        <v>46013</v>
      </c>
      <c r="B113" s="26" t="inlineStr">
        <is>
          <t>C-SLG/1957/25-26</t>
        </is>
      </c>
      <c r="C113" s="98" t="n"/>
      <c r="D113" s="30" t="n">
        <v>13732</v>
      </c>
      <c r="E113" s="20" t="n">
        <v>2232</v>
      </c>
      <c r="F113" s="100" t="n">
        <v>46038</v>
      </c>
      <c r="G113" s="29">
        <f>$E$2-F113</f>
        <v/>
      </c>
      <c r="H113" s="22" t="n"/>
      <c r="I113" s="22" t="n"/>
      <c r="J113" s="23" t="n"/>
      <c r="K113" s="99" t="n"/>
      <c r="L113" s="99" t="n"/>
      <c r="M113" s="99" t="n"/>
      <c r="N113" s="99" t="n"/>
      <c r="O113" s="90" t="n"/>
      <c r="P113" s="90" t="n"/>
      <c r="Q113" s="90" t="n"/>
      <c r="R113" s="90" t="n"/>
      <c r="S113" s="90" t="n"/>
      <c r="T113" s="90" t="n"/>
    </row>
    <row r="114">
      <c r="A114" s="97" t="n"/>
      <c r="B114" s="98" t="n"/>
      <c r="C114" s="98" t="n"/>
      <c r="D114" s="30" t="n">
        <v>13732</v>
      </c>
      <c r="E114" s="20" t="n">
        <v>2232</v>
      </c>
      <c r="F114" s="98" t="n"/>
      <c r="G114" s="98" t="n"/>
      <c r="H114" s="22" t="n"/>
      <c r="I114" s="22" t="n"/>
      <c r="J114" s="23" t="inlineStr">
        <is>
          <t>Not Responding</t>
        </is>
      </c>
      <c r="K114" s="99" t="n"/>
      <c r="L114" s="99" t="n"/>
      <c r="M114" s="99" t="n"/>
      <c r="N114" s="99" t="n"/>
      <c r="O114" s="90" t="n"/>
      <c r="P114" s="90" t="n"/>
      <c r="Q114" s="90" t="n"/>
      <c r="R114" s="90" t="n"/>
      <c r="S114" s="90" t="n"/>
      <c r="T114" s="90" t="n"/>
    </row>
    <row r="115">
      <c r="A115" s="97" t="n"/>
      <c r="B115" s="98" t="n"/>
      <c r="C115" s="102" t="inlineStr">
        <is>
          <t>SRI SAI TIRUMALA BOOKS &amp; GUIDES (Santhosh Nagar)</t>
        </is>
      </c>
      <c r="D115" s="98" t="n"/>
      <c r="E115" s="98" t="n"/>
      <c r="F115" s="98" t="n"/>
      <c r="G115" s="98" t="n"/>
      <c r="H115" s="22" t="n"/>
      <c r="I115" s="22" t="n"/>
      <c r="J115" s="23" t="n"/>
      <c r="K115" s="99" t="n"/>
      <c r="L115" s="99" t="n"/>
      <c r="M115" s="99" t="n"/>
      <c r="N115" s="99" t="n"/>
      <c r="O115" s="90" t="n"/>
      <c r="P115" s="90" t="n"/>
      <c r="Q115" s="90" t="n"/>
      <c r="R115" s="90" t="n"/>
      <c r="S115" s="90" t="n"/>
      <c r="T115" s="90" t="n"/>
    </row>
    <row r="116">
      <c r="A116" s="25" t="n">
        <v>46129</v>
      </c>
      <c r="B116" s="26" t="inlineStr">
        <is>
          <t>C-SLG/0047/26-27</t>
        </is>
      </c>
      <c r="C116" s="98" t="n"/>
      <c r="D116" s="30" t="n">
        <v>4988</v>
      </c>
      <c r="E116" s="20" t="n">
        <v>4988</v>
      </c>
      <c r="F116" s="100" t="n">
        <v>46154</v>
      </c>
      <c r="G116" s="29">
        <f>$E$2-F116</f>
        <v/>
      </c>
      <c r="H116" s="22" t="n"/>
      <c r="I116" s="22" t="n"/>
      <c r="J116" s="23" t="n"/>
      <c r="K116" s="99" t="n"/>
      <c r="L116" s="99" t="n"/>
      <c r="M116" s="99" t="n"/>
      <c r="N116" s="99" t="n"/>
      <c r="O116" s="90" t="n"/>
      <c r="P116" s="90" t="n"/>
      <c r="Q116" s="90" t="n"/>
      <c r="R116" s="90" t="n"/>
      <c r="S116" s="90" t="n"/>
      <c r="T116" s="90" t="n"/>
    </row>
    <row r="117">
      <c r="A117" s="97" t="n"/>
      <c r="B117" s="98" t="n"/>
      <c r="C117" s="98" t="n"/>
      <c r="D117" s="30" t="n">
        <v>4988</v>
      </c>
      <c r="E117" s="20" t="n">
        <v>4988</v>
      </c>
      <c r="F117" s="98" t="n"/>
      <c r="G117" s="98" t="n"/>
      <c r="H117" s="22" t="n"/>
      <c r="I117" s="22" t="n"/>
      <c r="J117" s="23" t="n"/>
      <c r="K117" s="99" t="n"/>
      <c r="L117" s="99" t="n"/>
      <c r="M117" s="99" t="n"/>
      <c r="N117" s="99" t="n"/>
      <c r="O117" s="90" t="n"/>
      <c r="P117" s="90" t="n"/>
      <c r="Q117" s="90" t="n"/>
      <c r="R117" s="90" t="n"/>
      <c r="S117" s="90" t="n"/>
      <c r="T117" s="90" t="n"/>
    </row>
    <row r="118">
      <c r="A118" s="97" t="n"/>
      <c r="B118" s="98" t="n"/>
      <c r="C118" s="24" t="inlineStr">
        <is>
          <t>Sri Siddi Vinayaka Book Center</t>
        </is>
      </c>
      <c r="D118" s="98" t="n"/>
      <c r="E118" s="98" t="n"/>
      <c r="F118" s="98" t="n"/>
      <c r="G118" s="98" t="n"/>
      <c r="H118" s="22" t="n"/>
      <c r="I118" s="22" t="n"/>
      <c r="J118" s="23" t="n"/>
      <c r="K118" s="99" t="inlineStr">
        <is>
          <t>ringing not resonding | NUMBER BUSY | HEWILL PAYTODAY EOD | ringing not resonding | paid online</t>
        </is>
      </c>
      <c r="L118" s="99" t="n"/>
      <c r="M118" s="99" t="n"/>
      <c r="N118" s="99" t="n"/>
      <c r="O118" s="90" t="n"/>
      <c r="P118" s="90" t="n"/>
      <c r="Q118" s="90" t="n"/>
      <c r="R118" s="90" t="n"/>
      <c r="S118" s="90" t="n"/>
      <c r="T118" s="90" t="n"/>
    </row>
    <row r="119">
      <c r="A119" s="25" t="n">
        <v>46050</v>
      </c>
      <c r="B119" s="26" t="inlineStr">
        <is>
          <t>C-SLG/2124/25-26</t>
        </is>
      </c>
      <c r="C119" s="98" t="n"/>
      <c r="D119" s="30" t="n">
        <v>12200</v>
      </c>
      <c r="E119" s="20" t="n">
        <v>6200</v>
      </c>
      <c r="F119" s="100" t="n">
        <v>46075</v>
      </c>
      <c r="G119" s="29">
        <f>$E$2-F119</f>
        <v/>
      </c>
      <c r="H119" s="22" t="n"/>
      <c r="I119" s="22" t="n"/>
      <c r="J119" s="23" t="n"/>
      <c r="K119" s="99" t="n"/>
      <c r="L119" s="99" t="n"/>
      <c r="M119" s="99" t="n"/>
      <c r="N119" s="99" t="n"/>
      <c r="O119" s="90" t="n"/>
      <c r="P119" s="90" t="n"/>
      <c r="Q119" s="90" t="n"/>
      <c r="R119" s="90" t="n"/>
      <c r="S119" s="90" t="n"/>
      <c r="T119" s="90" t="n"/>
    </row>
    <row r="120">
      <c r="A120" s="97" t="n"/>
      <c r="B120" s="98" t="n"/>
      <c r="C120" s="98" t="n"/>
      <c r="D120" s="30" t="n">
        <v>12200</v>
      </c>
      <c r="E120" s="20" t="n">
        <v>6200</v>
      </c>
      <c r="F120" s="98" t="n"/>
      <c r="G120" s="98" t="n"/>
      <c r="H120" s="22">
        <f>6200</f>
        <v/>
      </c>
      <c r="I120" s="22">
        <f>E120-H120</f>
        <v/>
      </c>
      <c r="J120" s="23" t="inlineStr">
        <is>
          <t>Paid Online - Full Amount</t>
        </is>
      </c>
      <c r="K120" s="99" t="n"/>
      <c r="L120" s="99" t="n"/>
      <c r="M120" s="99" t="n"/>
      <c r="N120" s="99" t="n"/>
      <c r="O120" s="90" t="n"/>
      <c r="P120" s="90" t="n"/>
      <c r="Q120" s="90" t="n"/>
      <c r="R120" s="90" t="n"/>
      <c r="S120" s="90" t="n"/>
      <c r="T120" s="90" t="n"/>
    </row>
    <row r="121">
      <c r="A121" s="97" t="n"/>
      <c r="B121" s="98" t="n"/>
      <c r="C121" s="24" t="inlineStr">
        <is>
          <t>Sri Venkateshwara Book Centre.I S</t>
        </is>
      </c>
      <c r="D121" s="98" t="n"/>
      <c r="E121" s="98" t="n"/>
      <c r="F121" s="98" t="n"/>
      <c r="G121" s="98" t="n"/>
      <c r="H121" s="22" t="n"/>
      <c r="I121" s="22" t="n"/>
      <c r="J121" s="23" t="n"/>
      <c r="K121" s="99" t="n"/>
      <c r="L121" s="99" t="n"/>
      <c r="M121" s="99" t="n"/>
      <c r="N121" s="99" t="n"/>
      <c r="O121" s="90" t="n"/>
      <c r="P121" s="90" t="n"/>
      <c r="Q121" s="90" t="n"/>
      <c r="R121" s="90" t="n"/>
      <c r="S121" s="90" t="n"/>
      <c r="T121" s="90" t="n"/>
    </row>
    <row r="122">
      <c r="A122" s="25" t="n">
        <v>46129</v>
      </c>
      <c r="B122" s="26" t="inlineStr">
        <is>
          <t>C-SLG/0051/26-27</t>
        </is>
      </c>
      <c r="C122" s="98" t="n"/>
      <c r="D122" s="30" t="n">
        <v>2214</v>
      </c>
      <c r="E122" s="20" t="n">
        <v>2214</v>
      </c>
      <c r="F122" s="100" t="n">
        <v>46154</v>
      </c>
      <c r="G122" s="29">
        <f>$E$2-F122</f>
        <v/>
      </c>
      <c r="H122" s="22" t="n"/>
      <c r="I122" s="22" t="n"/>
      <c r="J122" s="23" t="n"/>
      <c r="K122" s="99" t="n"/>
      <c r="L122" s="99" t="n"/>
      <c r="M122" s="99" t="n"/>
      <c r="N122" s="99" t="n"/>
      <c r="O122" s="90" t="n"/>
      <c r="P122" s="90" t="n"/>
      <c r="Q122" s="90" t="n"/>
      <c r="R122" s="90" t="n"/>
      <c r="S122" s="90" t="n"/>
      <c r="T122" s="90" t="n"/>
    </row>
    <row r="123">
      <c r="A123" s="97" t="n"/>
      <c r="B123" s="98" t="n"/>
      <c r="C123" s="98" t="n"/>
      <c r="D123" s="30" t="n">
        <v>2214</v>
      </c>
      <c r="E123" s="20" t="n">
        <v>2214</v>
      </c>
      <c r="F123" s="98" t="n"/>
      <c r="G123" s="98" t="n"/>
      <c r="H123" s="22" t="n"/>
      <c r="I123" s="22" t="n"/>
      <c r="J123" s="23" t="n"/>
      <c r="K123" s="99" t="n"/>
      <c r="L123" s="99" t="n"/>
      <c r="M123" s="99" t="n"/>
      <c r="N123" s="99" t="n"/>
      <c r="O123" s="90" t="n"/>
      <c r="P123" s="90" t="n"/>
      <c r="Q123" s="90" t="n"/>
      <c r="R123" s="90" t="n"/>
      <c r="S123" s="90" t="n"/>
      <c r="T123" s="90" t="n"/>
    </row>
    <row r="124">
      <c r="A124" s="97" t="n"/>
      <c r="B124" s="98" t="n"/>
      <c r="C124" s="24" t="inlineStr">
        <is>
          <t>Sri Venkatheswara Book World</t>
        </is>
      </c>
      <c r="D124" s="98" t="n"/>
      <c r="E124" s="98" t="n"/>
      <c r="F124" s="98" t="n"/>
      <c r="G124" s="98" t="n"/>
      <c r="H124" s="22" t="n"/>
      <c r="I124" s="22" t="n"/>
      <c r="J124" s="23" t="n"/>
      <c r="K124" s="99" t="inlineStr">
        <is>
          <t>ringing not resonding | ringing not resonding | ringing not resonding | ringing not resonding | ringing not resonding</t>
        </is>
      </c>
      <c r="L124" s="99" t="n"/>
      <c r="M124" s="99" t="n"/>
      <c r="N124" s="99" t="n"/>
      <c r="O124" s="90" t="n"/>
      <c r="P124" s="90" t="n"/>
      <c r="Q124" s="90" t="n"/>
      <c r="R124" s="90" t="n"/>
      <c r="S124" s="90" t="n"/>
      <c r="T124" s="90" t="n"/>
    </row>
    <row r="125">
      <c r="A125" s="25" t="n">
        <v>46099</v>
      </c>
      <c r="B125" s="26" t="inlineStr">
        <is>
          <t>C-SLG/2406/25-26</t>
        </is>
      </c>
      <c r="C125" s="98" t="n"/>
      <c r="D125" s="30" t="n">
        <v>104942</v>
      </c>
      <c r="E125" s="20" t="n">
        <v>104942</v>
      </c>
      <c r="F125" s="100" t="n">
        <v>46124</v>
      </c>
      <c r="G125" s="29">
        <f>$E$2-F125</f>
        <v/>
      </c>
      <c r="H125" s="22" t="n"/>
      <c r="I125" s="22" t="n"/>
      <c r="J125" s="23" t="inlineStr">
        <is>
          <t>Not Responding - Send DSO</t>
        </is>
      </c>
      <c r="K125" s="99" t="n"/>
      <c r="L125" s="99" t="n"/>
      <c r="M125" s="99" t="n"/>
      <c r="N125" s="99" t="n"/>
      <c r="O125" s="90" t="n"/>
      <c r="P125" s="90" t="n"/>
      <c r="Q125" s="90" t="n"/>
      <c r="R125" s="90" t="n"/>
      <c r="S125" s="90" t="n"/>
      <c r="T125" s="90" t="n"/>
    </row>
    <row r="126">
      <c r="A126" s="97" t="n"/>
      <c r="B126" s="98" t="n"/>
      <c r="C126" s="98" t="n"/>
      <c r="D126" s="30" t="n">
        <v>104942</v>
      </c>
      <c r="E126" s="20" t="n">
        <v>104942</v>
      </c>
      <c r="F126" s="98" t="n"/>
      <c r="G126" s="98" t="n"/>
      <c r="H126" s="22" t="n"/>
      <c r="I126" s="22" t="n"/>
      <c r="J126" s="23" t="n"/>
      <c r="K126" s="99" t="n"/>
      <c r="L126" s="99" t="n"/>
      <c r="M126" s="99" t="n"/>
      <c r="N126" s="99" t="n"/>
      <c r="O126" s="90" t="n"/>
      <c r="P126" s="90" t="n"/>
      <c r="Q126" s="90" t="n"/>
      <c r="R126" s="90" t="n"/>
      <c r="S126" s="90" t="n"/>
      <c r="T126" s="90" t="n"/>
    </row>
    <row r="127">
      <c r="A127" s="97" t="n"/>
      <c r="B127" s="98" t="n"/>
      <c r="C127" s="24" t="inlineStr">
        <is>
          <t>SR VENKATESHWARA BOOK WORLD</t>
        </is>
      </c>
      <c r="D127" s="98" t="n"/>
      <c r="E127" s="98" t="n"/>
      <c r="F127" s="98" t="n"/>
      <c r="G127" s="98" t="n"/>
      <c r="H127" s="22" t="n"/>
      <c r="I127" s="22" t="n"/>
      <c r="J127" s="23" t="n"/>
      <c r="K127" s="99" t="inlineStr">
        <is>
          <t>ringing not resonding | ringing not resonding | ringing not resonding | ringing not resonding</t>
        </is>
      </c>
      <c r="L127" s="99" t="n"/>
      <c r="M127" s="99" t="n"/>
      <c r="N127" s="99" t="n"/>
      <c r="O127" s="90" t="n"/>
      <c r="P127" s="90" t="n"/>
      <c r="Q127" s="90" t="n"/>
      <c r="R127" s="90" t="n"/>
      <c r="S127" s="90" t="n"/>
      <c r="T127" s="90" t="n"/>
    </row>
    <row r="128">
      <c r="A128" s="25" t="n">
        <v>46092</v>
      </c>
      <c r="B128" s="30" t="inlineStr">
        <is>
          <t>C-SLG/2372/25-26</t>
        </is>
      </c>
      <c r="C128" s="98" t="n"/>
      <c r="D128" s="30" t="n">
        <v>11511</v>
      </c>
      <c r="E128" s="20" t="n">
        <v>11511</v>
      </c>
      <c r="F128" s="100" t="n">
        <v>46117</v>
      </c>
      <c r="G128" s="29">
        <f>$E$2-F128</f>
        <v/>
      </c>
      <c r="H128" s="22" t="n"/>
      <c r="I128" s="22" t="n"/>
      <c r="J128" s="23" t="inlineStr">
        <is>
          <t>Paid Online - Full Amount</t>
        </is>
      </c>
      <c r="K128" s="99" t="n"/>
      <c r="L128" s="99" t="n"/>
      <c r="M128" s="99" t="n"/>
      <c r="N128" s="99" t="n"/>
      <c r="O128" s="90" t="n"/>
      <c r="P128" s="90" t="n"/>
      <c r="Q128" s="90" t="n"/>
      <c r="R128" s="90" t="n"/>
      <c r="S128" s="90" t="n"/>
      <c r="T128" s="90" t="n"/>
    </row>
    <row r="129">
      <c r="A129" s="25" t="n">
        <v>46153</v>
      </c>
      <c r="B129" s="30" t="inlineStr">
        <is>
          <t>C-SLG/0114/26-27</t>
        </is>
      </c>
      <c r="C129" s="98" t="n"/>
      <c r="D129" s="30" t="n">
        <v>5201</v>
      </c>
      <c r="E129" s="30" t="n">
        <v>5201</v>
      </c>
      <c r="F129" s="100" t="n">
        <v>46178</v>
      </c>
      <c r="G129" s="98" t="n"/>
      <c r="H129" s="22" t="n"/>
      <c r="I129" s="22" t="n"/>
      <c r="J129" s="23" t="n"/>
      <c r="K129" s="99" t="n"/>
      <c r="L129" s="99" t="n"/>
      <c r="M129" s="99" t="n"/>
      <c r="N129" s="99" t="n"/>
      <c r="O129" s="90" t="n"/>
      <c r="P129" s="90" t="n"/>
      <c r="Q129" s="90" t="n"/>
      <c r="R129" s="90" t="n"/>
      <c r="S129" s="90" t="n"/>
      <c r="T129" s="90" t="n"/>
    </row>
    <row r="130">
      <c r="A130" s="97" t="n"/>
      <c r="B130" s="98" t="n"/>
      <c r="C130" s="98" t="n"/>
      <c r="D130" s="30" t="n">
        <v>16712</v>
      </c>
      <c r="E130" s="20" t="n">
        <v>16712</v>
      </c>
      <c r="F130" s="98" t="n"/>
      <c r="G130" s="98" t="n"/>
      <c r="H130" s="22" t="n"/>
      <c r="I130" s="22" t="n"/>
      <c r="J130" s="23" t="n"/>
      <c r="K130" s="99" t="n"/>
      <c r="L130" s="99" t="n"/>
      <c r="M130" s="99" t="n"/>
      <c r="N130" s="99" t="n"/>
      <c r="O130" s="90" t="n"/>
      <c r="P130" s="90" t="n"/>
      <c r="Q130" s="90" t="n"/>
      <c r="R130" s="90" t="n"/>
      <c r="S130" s="90" t="n"/>
      <c r="T130" s="90" t="n"/>
    </row>
    <row r="131">
      <c r="A131" s="97" t="n"/>
      <c r="B131" s="98" t="n"/>
      <c r="C131" s="24" t="inlineStr">
        <is>
          <t>Sun Electronics Times</t>
        </is>
      </c>
      <c r="D131" s="98" t="n"/>
      <c r="E131" s="98" t="n"/>
      <c r="F131" s="98" t="n"/>
      <c r="G131" s="98" t="n"/>
      <c r="H131" s="22" t="n"/>
      <c r="I131" s="22" t="n"/>
      <c r="J131" s="23" t="n"/>
      <c r="K131" s="99" t="inlineStr">
        <is>
          <t>ringing not resonding | ringing not resonding | HE GOT THE ACCIDENT HEWILL PAY 2DAYS | ringing not resonding</t>
        </is>
      </c>
      <c r="L131" s="99" t="n"/>
      <c r="M131" s="99" t="n"/>
      <c r="N131" s="99" t="n"/>
      <c r="O131" s="90" t="n"/>
      <c r="P131" s="90" t="n"/>
      <c r="Q131" s="90" t="n"/>
      <c r="R131" s="90" t="n"/>
      <c r="S131" s="90" t="n"/>
      <c r="T131" s="90" t="n"/>
    </row>
    <row r="132">
      <c r="A132" s="25" t="n">
        <v>46015</v>
      </c>
      <c r="B132" s="30" t="inlineStr">
        <is>
          <t>C-SLG/1969/25-26</t>
        </is>
      </c>
      <c r="C132" s="98" t="n"/>
      <c r="D132" s="30" t="n">
        <v>8682</v>
      </c>
      <c r="E132" s="20" t="n">
        <v>6182</v>
      </c>
      <c r="F132" s="100" t="n">
        <v>46040</v>
      </c>
      <c r="G132" s="29">
        <f>$E$2-F132</f>
        <v/>
      </c>
      <c r="H132" s="22" t="n"/>
      <c r="I132" s="22" t="n"/>
      <c r="J132" s="23" t="n"/>
      <c r="K132" s="99" t="n"/>
      <c r="L132" s="99" t="n"/>
      <c r="M132" s="99" t="n"/>
      <c r="N132" s="99" t="n"/>
      <c r="O132" s="90" t="n"/>
      <c r="P132" s="90" t="n"/>
      <c r="Q132" s="90" t="n"/>
      <c r="R132" s="90" t="n"/>
      <c r="S132" s="90" t="n"/>
      <c r="T132" s="90" t="n"/>
    </row>
    <row r="133">
      <c r="A133" s="97" t="n"/>
      <c r="B133" s="98" t="n"/>
      <c r="C133" s="98" t="n"/>
      <c r="D133" s="30" t="n">
        <v>8682</v>
      </c>
      <c r="E133" s="20" t="n">
        <v>6182</v>
      </c>
      <c r="F133" s="98" t="n"/>
      <c r="G133" s="98" t="n"/>
      <c r="H133" s="22" t="n"/>
      <c r="I133" s="22" t="n"/>
      <c r="J133" s="23" t="inlineStr">
        <is>
          <t>Not Responding</t>
        </is>
      </c>
      <c r="K133" s="99" t="n"/>
      <c r="L133" s="99" t="n"/>
      <c r="M133" s="99" t="n"/>
      <c r="N133" s="99" t="n"/>
      <c r="O133" s="90" t="n"/>
      <c r="P133" s="90" t="n"/>
      <c r="Q133" s="90" t="n"/>
      <c r="R133" s="90" t="n"/>
      <c r="S133" s="90" t="n"/>
      <c r="T133" s="90" t="n"/>
    </row>
    <row r="134">
      <c r="A134" s="97" t="n"/>
      <c r="B134" s="98" t="n"/>
      <c r="C134" s="24" t="inlineStr">
        <is>
          <t>S.V.TRADERS DSNR</t>
        </is>
      </c>
      <c r="D134" s="98" t="n"/>
      <c r="E134" s="98" t="n"/>
      <c r="F134" s="98" t="n"/>
      <c r="G134" s="98" t="n"/>
      <c r="H134" s="22" t="n"/>
      <c r="I134" s="22" t="n"/>
      <c r="J134" s="23" t="n"/>
      <c r="K134" s="99" t="inlineStr">
        <is>
          <t>NUMBER NOT CONNETED | RINGING NOT RESPONDING | NUMBER NOT CONNETED</t>
        </is>
      </c>
      <c r="L134" s="99" t="n"/>
      <c r="M134" s="99" t="n"/>
      <c r="N134" s="99" t="n"/>
      <c r="O134" s="90" t="n"/>
      <c r="P134" s="90" t="n"/>
      <c r="Q134" s="90" t="n"/>
      <c r="R134" s="90" t="n"/>
      <c r="S134" s="90" t="n"/>
      <c r="T134" s="90" t="n"/>
    </row>
    <row r="135">
      <c r="A135" s="25" t="n">
        <v>46121</v>
      </c>
      <c r="B135" s="30" t="inlineStr">
        <is>
          <t>C-SLG/009/26-27</t>
        </is>
      </c>
      <c r="C135" s="98" t="n"/>
      <c r="D135" s="30" t="n">
        <v>17710</v>
      </c>
      <c r="E135" s="20" t="n">
        <v>17710</v>
      </c>
      <c r="F135" s="100" t="n">
        <v>46146</v>
      </c>
      <c r="G135" s="29">
        <f>$E$2-F135</f>
        <v/>
      </c>
      <c r="H135" s="22" t="n"/>
      <c r="I135" s="22" t="n"/>
      <c r="J135" s="23" t="inlineStr">
        <is>
          <t>Paid by Cheque</t>
        </is>
      </c>
      <c r="K135" s="99" t="n"/>
      <c r="L135" s="99" t="n"/>
      <c r="M135" s="99" t="n"/>
      <c r="N135" s="99" t="n"/>
      <c r="O135" s="90" t="n"/>
      <c r="P135" s="90" t="n"/>
      <c r="Q135" s="90" t="n"/>
      <c r="R135" s="90" t="n"/>
      <c r="S135" s="90" t="n"/>
      <c r="T135" s="90" t="n"/>
    </row>
    <row r="136">
      <c r="A136" s="25" t="n">
        <v>46122</v>
      </c>
      <c r="B136" s="30" t="inlineStr">
        <is>
          <t>C-SLG/0026/26-27</t>
        </is>
      </c>
      <c r="C136" s="98" t="n"/>
      <c r="D136" s="30" t="n">
        <v>8855</v>
      </c>
      <c r="E136" s="20" t="n">
        <v>8855</v>
      </c>
      <c r="F136" s="100" t="n">
        <v>46147</v>
      </c>
      <c r="G136" s="29">
        <f>$E$2-F136</f>
        <v/>
      </c>
      <c r="H136" s="22" t="n"/>
      <c r="I136" s="22" t="n"/>
      <c r="J136" s="23" t="inlineStr">
        <is>
          <t>Paid by Cheque</t>
        </is>
      </c>
      <c r="K136" s="99" t="n"/>
      <c r="L136" s="99" t="n"/>
      <c r="M136" s="99" t="n"/>
      <c r="N136" s="99" t="n"/>
      <c r="O136" s="90" t="n"/>
      <c r="P136" s="90" t="n"/>
      <c r="Q136" s="90" t="n"/>
      <c r="R136" s="90" t="n"/>
      <c r="S136" s="90" t="n"/>
      <c r="T136" s="90" t="n"/>
    </row>
    <row r="137">
      <c r="A137" s="25" t="n">
        <v>46130</v>
      </c>
      <c r="B137" s="30" t="inlineStr">
        <is>
          <t>C-SLG/0054/26-27</t>
        </is>
      </c>
      <c r="C137" s="98" t="n"/>
      <c r="D137" s="30" t="n">
        <v>5572</v>
      </c>
      <c r="E137" s="20" t="n">
        <v>5572</v>
      </c>
      <c r="F137" s="100" t="n">
        <v>46155</v>
      </c>
      <c r="G137" s="29">
        <f>$E$2-F137</f>
        <v/>
      </c>
      <c r="H137" s="22" t="n"/>
      <c r="I137" s="22" t="n"/>
      <c r="J137" s="23" t="inlineStr">
        <is>
          <t>Paid by Cheque</t>
        </is>
      </c>
      <c r="K137" s="99" t="n"/>
      <c r="L137" s="99" t="n"/>
      <c r="M137" s="99" t="n"/>
      <c r="N137" s="99" t="n"/>
      <c r="O137" s="90" t="n"/>
      <c r="P137" s="90" t="n"/>
      <c r="Q137" s="90" t="n"/>
      <c r="R137" s="90" t="n"/>
      <c r="S137" s="90" t="n"/>
      <c r="T137" s="90" t="n"/>
    </row>
    <row r="138">
      <c r="A138" s="25" t="n">
        <v>46142</v>
      </c>
      <c r="B138" s="30" t="inlineStr">
        <is>
          <t>C-SLG/0083/26-27</t>
        </is>
      </c>
      <c r="C138" s="98" t="n"/>
      <c r="D138" s="30" t="n">
        <v>5144</v>
      </c>
      <c r="E138" s="30" t="n">
        <v>5144</v>
      </c>
      <c r="F138" s="100" t="n">
        <v>46167</v>
      </c>
      <c r="G138" s="98" t="n"/>
      <c r="H138" s="22" t="n"/>
      <c r="I138" s="22" t="n"/>
      <c r="J138" s="23" t="inlineStr">
        <is>
          <t>Paid by Cheque</t>
        </is>
      </c>
      <c r="K138" s="99" t="n"/>
      <c r="L138" s="99" t="n"/>
      <c r="M138" s="99" t="n"/>
      <c r="N138" s="99" t="n"/>
      <c r="O138" s="90" t="n"/>
      <c r="P138" s="90" t="n"/>
      <c r="Q138" s="90" t="n"/>
      <c r="R138" s="90" t="n"/>
      <c r="S138" s="90" t="n"/>
      <c r="T138" s="90" t="n"/>
    </row>
    <row r="139">
      <c r="A139" s="25" t="n">
        <v>46148</v>
      </c>
      <c r="B139" s="30" t="inlineStr">
        <is>
          <t>C-SLG/0094/26-27</t>
        </is>
      </c>
      <c r="C139" s="98" t="n"/>
      <c r="D139" s="30" t="n">
        <v>2291</v>
      </c>
      <c r="E139" s="30" t="n">
        <v>2291</v>
      </c>
      <c r="F139" s="100" t="n">
        <v>46173</v>
      </c>
      <c r="G139" s="98" t="n"/>
      <c r="H139" s="22" t="n"/>
      <c r="I139" s="22" t="n"/>
      <c r="J139" s="23" t="n"/>
      <c r="K139" s="99" t="n"/>
      <c r="L139" s="99" t="n"/>
      <c r="M139" s="99" t="n"/>
      <c r="N139" s="99" t="n"/>
      <c r="O139" s="90" t="n"/>
      <c r="P139" s="90" t="n"/>
      <c r="Q139" s="90" t="n"/>
      <c r="R139" s="90" t="n"/>
      <c r="S139" s="90" t="n"/>
      <c r="T139" s="90" t="n"/>
    </row>
    <row r="140">
      <c r="A140" s="25" t="n">
        <v>46150</v>
      </c>
      <c r="B140" s="30" t="inlineStr">
        <is>
          <t>C-SLG/0101/26-27</t>
        </is>
      </c>
      <c r="C140" s="98" t="n"/>
      <c r="D140" s="30" t="n">
        <v>21163</v>
      </c>
      <c r="E140" s="30" t="n">
        <v>21163</v>
      </c>
      <c r="F140" s="100" t="n">
        <v>46175</v>
      </c>
      <c r="G140" s="98" t="n"/>
      <c r="H140" s="22" t="n"/>
      <c r="I140" s="22" t="n"/>
      <c r="J140" s="23" t="n"/>
      <c r="K140" s="99" t="n"/>
      <c r="L140" s="99" t="n"/>
      <c r="M140" s="99" t="n"/>
      <c r="N140" s="99" t="n"/>
      <c r="O140" s="90" t="n"/>
      <c r="P140" s="90" t="n"/>
      <c r="Q140" s="90" t="n"/>
      <c r="R140" s="90" t="n"/>
      <c r="S140" s="90" t="n"/>
      <c r="T140" s="90" t="n"/>
    </row>
    <row r="141">
      <c r="A141" s="25" t="n">
        <v>46156</v>
      </c>
      <c r="B141" s="30" t="inlineStr">
        <is>
          <t>C-SLG/0132/26-27</t>
        </is>
      </c>
      <c r="C141" s="98" t="n"/>
      <c r="D141" s="30" t="n">
        <v>7384</v>
      </c>
      <c r="E141" s="30" t="n">
        <v>7384</v>
      </c>
      <c r="F141" s="100" t="n">
        <v>46181</v>
      </c>
      <c r="G141" s="98" t="n"/>
      <c r="H141" s="22" t="n"/>
      <c r="I141" s="22" t="n"/>
      <c r="J141" s="23" t="n"/>
      <c r="K141" s="99" t="n"/>
      <c r="L141" s="99" t="n"/>
      <c r="M141" s="99" t="n"/>
      <c r="N141" s="99" t="n"/>
      <c r="O141" s="90" t="n"/>
      <c r="P141" s="90" t="n"/>
      <c r="Q141" s="90" t="n"/>
      <c r="R141" s="90" t="n"/>
      <c r="S141" s="90" t="n"/>
      <c r="T141" s="90" t="n"/>
    </row>
    <row r="142">
      <c r="A142" s="97" t="n"/>
      <c r="B142" s="98" t="n"/>
      <c r="C142" s="98" t="n"/>
      <c r="D142" s="30" t="n">
        <v>68119</v>
      </c>
      <c r="E142" s="20" t="n">
        <v>68119</v>
      </c>
      <c r="F142" s="98" t="n"/>
      <c r="G142" s="98" t="n"/>
      <c r="H142" s="22" t="n"/>
      <c r="I142" s="22" t="n"/>
      <c r="J142" s="23" t="n"/>
      <c r="K142" s="99" t="n"/>
      <c r="L142" s="99" t="n"/>
      <c r="M142" s="99" t="n"/>
      <c r="N142" s="99" t="n"/>
      <c r="O142" s="90" t="n"/>
      <c r="P142" s="90" t="n"/>
      <c r="Q142" s="90" t="n"/>
      <c r="R142" s="90" t="n"/>
      <c r="S142" s="90" t="n"/>
      <c r="T142" s="90" t="n"/>
    </row>
    <row r="143">
      <c r="A143" s="97" t="n"/>
      <c r="B143" s="98" t="n"/>
      <c r="C143" s="24" t="inlineStr">
        <is>
          <t>VANI BOOKS &amp; STATIONERY</t>
        </is>
      </c>
      <c r="D143" s="98" t="n"/>
      <c r="E143" s="98" t="n"/>
      <c r="F143" s="98" t="n"/>
      <c r="G143" s="98" t="n"/>
      <c r="H143" s="22" t="n"/>
      <c r="I143" s="22" t="n"/>
      <c r="J143" s="23" t="n"/>
      <c r="K143" s="99" t="inlineStr">
        <is>
          <t>1% discount</t>
        </is>
      </c>
      <c r="L143" s="99" t="n"/>
      <c r="M143" s="99" t="n"/>
      <c r="N143" s="99" t="n"/>
      <c r="O143" s="90" t="n"/>
      <c r="P143" s="90" t="n"/>
      <c r="Q143" s="90" t="n"/>
      <c r="R143" s="90" t="n"/>
      <c r="S143" s="90" t="n"/>
      <c r="T143" s="90" t="n"/>
    </row>
    <row r="144">
      <c r="A144" s="25" t="n">
        <v>46115</v>
      </c>
      <c r="B144" s="30" t="inlineStr">
        <is>
          <t>C-SLG/005/26-27</t>
        </is>
      </c>
      <c r="C144" s="98" t="n"/>
      <c r="D144" s="30" t="n">
        <v>2191</v>
      </c>
      <c r="E144" s="20" t="n">
        <v>22</v>
      </c>
      <c r="F144" s="100" t="n">
        <v>46140</v>
      </c>
      <c r="G144" s="29">
        <f>$E$2-F144</f>
        <v/>
      </c>
      <c r="H144" s="22" t="n"/>
      <c r="I144" s="22" t="n"/>
      <c r="J144" s="23" t="n"/>
      <c r="K144" s="99" t="n"/>
      <c r="L144" s="99" t="n"/>
      <c r="M144" s="99" t="n"/>
      <c r="N144" s="99" t="n"/>
      <c r="O144" s="90" t="n"/>
      <c r="P144" s="90" t="n"/>
      <c r="Q144" s="90" t="n"/>
      <c r="R144" s="90" t="n"/>
      <c r="S144" s="90" t="n"/>
      <c r="T144" s="90" t="n"/>
    </row>
    <row r="145">
      <c r="A145" s="25" t="n">
        <v>46125</v>
      </c>
      <c r="B145" s="30" t="inlineStr">
        <is>
          <t>C-SLG/0032/26-27</t>
        </is>
      </c>
      <c r="C145" s="98" t="n"/>
      <c r="D145" s="30" t="n">
        <v>1548</v>
      </c>
      <c r="E145" s="20" t="n">
        <v>16</v>
      </c>
      <c r="F145" s="100" t="n">
        <v>46150</v>
      </c>
      <c r="G145" s="29">
        <f>$E$2-F145</f>
        <v/>
      </c>
      <c r="H145" s="22" t="n"/>
      <c r="I145" s="22" t="n"/>
      <c r="J145" s="23" t="n"/>
      <c r="K145" s="99" t="n"/>
      <c r="L145" s="99" t="n"/>
      <c r="M145" s="99" t="n"/>
      <c r="N145" s="99" t="n"/>
      <c r="O145" s="90" t="n"/>
      <c r="P145" s="90" t="n"/>
      <c r="Q145" s="90" t="n"/>
      <c r="R145" s="90" t="n"/>
      <c r="S145" s="90" t="n"/>
      <c r="T145" s="90" t="n"/>
    </row>
    <row r="146">
      <c r="A146" s="25" t="n">
        <v>46146</v>
      </c>
      <c r="B146" s="30" t="inlineStr">
        <is>
          <t>C-SLG/0087/26-27</t>
        </is>
      </c>
      <c r="C146" s="98" t="n"/>
      <c r="D146" s="30" t="n">
        <v>3660</v>
      </c>
      <c r="E146" s="30" t="n">
        <v>3660</v>
      </c>
      <c r="F146" s="100" t="n">
        <v>46171</v>
      </c>
      <c r="G146" s="98" t="n"/>
      <c r="H146" s="22" t="n"/>
      <c r="I146" s="22" t="n"/>
      <c r="J146" s="23" t="n"/>
      <c r="K146" s="99" t="n"/>
      <c r="L146" s="99" t="n"/>
      <c r="M146" s="99" t="n"/>
      <c r="N146" s="99" t="n"/>
      <c r="O146" s="90" t="n"/>
      <c r="P146" s="90" t="n"/>
      <c r="Q146" s="90" t="n"/>
      <c r="R146" s="90" t="n"/>
      <c r="S146" s="90" t="n"/>
      <c r="T146" s="90" t="n"/>
    </row>
    <row r="147">
      <c r="A147" s="97" t="n"/>
      <c r="B147" s="98" t="n"/>
      <c r="C147" s="98" t="n"/>
      <c r="D147" s="30" t="n">
        <v>7399</v>
      </c>
      <c r="E147" s="20" t="n">
        <v>3698</v>
      </c>
      <c r="F147" s="98" t="n"/>
      <c r="G147" s="98" t="n"/>
      <c r="H147" s="22" t="n"/>
      <c r="I147" s="22" t="n"/>
      <c r="J147" s="23" t="inlineStr">
        <is>
          <t>Credit Note</t>
        </is>
      </c>
      <c r="K147" s="99" t="n"/>
      <c r="L147" s="99" t="n"/>
      <c r="M147" s="99" t="n"/>
      <c r="N147" s="99" t="n"/>
      <c r="O147" s="90" t="n"/>
      <c r="P147" s="90" t="n"/>
      <c r="Q147" s="90" t="n"/>
      <c r="R147" s="90" t="n"/>
      <c r="S147" s="90" t="n"/>
      <c r="T147" s="90" t="n"/>
    </row>
    <row r="148">
      <c r="A148" s="97" t="n"/>
      <c r="B148" s="98" t="n"/>
      <c r="C148" s="24" t="inlineStr">
        <is>
          <t>Venkateswara Book Bank</t>
        </is>
      </c>
      <c r="D148" s="98" t="n"/>
      <c r="E148" s="98" t="n"/>
      <c r="F148" s="98" t="n"/>
      <c r="G148" s="98" t="n"/>
      <c r="H148" s="22" t="n"/>
      <c r="I148" s="22" t="n"/>
      <c r="J148" s="23" t="n"/>
      <c r="K148" s="99" t="inlineStr">
        <is>
          <t>PAY ONLINEremaing one bill  arp bill pending | paid online</t>
        </is>
      </c>
      <c r="L148" s="99" t="n"/>
      <c r="M148" s="99" t="n"/>
      <c r="N148" s="99" t="n"/>
      <c r="O148" s="90" t="n"/>
      <c r="P148" s="90" t="n"/>
      <c r="Q148" s="90" t="n"/>
      <c r="R148" s="90" t="n"/>
      <c r="S148" s="90" t="n"/>
      <c r="T148" s="90" t="n"/>
    </row>
    <row r="149">
      <c r="A149" s="25" t="n">
        <v>46111</v>
      </c>
      <c r="B149" s="30" t="inlineStr">
        <is>
          <t>C-SLG/2475/25-26</t>
        </is>
      </c>
      <c r="C149" s="98" t="n"/>
      <c r="D149" s="30" t="n">
        <v>1655</v>
      </c>
      <c r="E149" s="20" t="n">
        <v>1655</v>
      </c>
      <c r="F149" s="100" t="n">
        <v>46136</v>
      </c>
      <c r="G149" s="29">
        <f>$E$2-F149</f>
        <v/>
      </c>
      <c r="H149" s="22" t="n"/>
      <c r="I149" s="22" t="n"/>
      <c r="J149" s="23" t="n"/>
      <c r="K149" s="99" t="n"/>
      <c r="L149" s="99" t="n"/>
      <c r="M149" s="99" t="n"/>
      <c r="N149" s="99" t="n"/>
      <c r="O149" s="90" t="n"/>
      <c r="P149" s="90" t="n"/>
      <c r="Q149" s="90" t="n"/>
      <c r="R149" s="90" t="n"/>
      <c r="S149" s="90" t="n"/>
      <c r="T149" s="90" t="n"/>
    </row>
    <row r="150">
      <c r="A150" s="25" t="n">
        <v>46121</v>
      </c>
      <c r="B150" s="30" t="inlineStr">
        <is>
          <t>C-SLG/0019/26-27</t>
        </is>
      </c>
      <c r="C150" s="98" t="n"/>
      <c r="D150" s="30" t="n">
        <v>1906</v>
      </c>
      <c r="E150" s="20" t="n">
        <v>251</v>
      </c>
      <c r="F150" s="100" t="n">
        <v>46146</v>
      </c>
      <c r="G150" s="29">
        <f>$E$2-F150</f>
        <v/>
      </c>
      <c r="H150" s="22" t="n"/>
      <c r="I150" s="22" t="n"/>
      <c r="J150" s="23" t="n"/>
      <c r="K150" s="99" t="n"/>
      <c r="L150" s="99" t="n"/>
      <c r="M150" s="99" t="n"/>
      <c r="N150" s="99" t="n"/>
      <c r="O150" s="90" t="n"/>
      <c r="P150" s="90" t="n"/>
      <c r="Q150" s="90" t="n"/>
      <c r="R150" s="90" t="n"/>
      <c r="S150" s="90" t="n"/>
      <c r="T150" s="90" t="n"/>
    </row>
    <row r="151">
      <c r="A151" s="97" t="n"/>
      <c r="B151" s="98" t="n"/>
      <c r="C151" s="98" t="n"/>
      <c r="D151" s="30" t="n">
        <v>3561</v>
      </c>
      <c r="E151" s="20" t="n">
        <v>1906</v>
      </c>
      <c r="F151" s="98" t="n"/>
      <c r="G151" s="98" t="n"/>
      <c r="H151" s="22" t="n">
        <v>1906</v>
      </c>
      <c r="I151" s="22">
        <f>E151-H151</f>
        <v/>
      </c>
      <c r="J151" s="23" t="inlineStr">
        <is>
          <t>Paid Online - Full Amount</t>
        </is>
      </c>
      <c r="K151" s="99" t="n"/>
      <c r="L151" s="99" t="n"/>
      <c r="M151" s="99" t="n"/>
      <c r="N151" s="99" t="n"/>
      <c r="O151" s="90" t="n"/>
      <c r="P151" s="90" t="n"/>
      <c r="Q151" s="90" t="n"/>
      <c r="R151" s="90" t="n"/>
      <c r="S151" s="90" t="n"/>
      <c r="T151" s="90" t="n"/>
    </row>
    <row r="152">
      <c r="C152" t="inlineStr">
        <is>
          <t>CENTRAL BOOKS AND STATIONERY</t>
        </is>
      </c>
    </row>
    <row r="153">
      <c r="A153" t="inlineStr">
        <is>
          <t>2026-05-14</t>
        </is>
      </c>
      <c r="B153" t="inlineStr">
        <is>
          <t>C-SLG/0123/26-27</t>
        </is>
      </c>
      <c r="D153" t="n">
        <v>2614</v>
      </c>
      <c r="E153" t="n">
        <v>2614</v>
      </c>
      <c r="F153" t="inlineStr">
        <is>
          <t>2026-06-08</t>
        </is>
      </c>
    </row>
    <row r="154">
      <c r="C154" t="inlineStr">
        <is>
          <t>Central Book Seller &amp; Stationery</t>
        </is>
      </c>
    </row>
    <row r="155">
      <c r="A155" t="inlineStr">
        <is>
          <t>2026-05-14</t>
        </is>
      </c>
      <c r="B155" t="inlineStr">
        <is>
          <t>C-SLG/0126/26-27</t>
        </is>
      </c>
      <c r="D155" t="n">
        <v>1328</v>
      </c>
      <c r="E155" t="n">
        <v>1328</v>
      </c>
      <c r="F155" t="inlineStr">
        <is>
          <t>2026-06-08</t>
        </is>
      </c>
    </row>
    <row r="156">
      <c r="C156" t="inlineStr">
        <is>
          <t>Jyothi Book Center (Himayathnagar)</t>
        </is>
      </c>
    </row>
    <row r="157">
      <c r="A157" t="inlineStr">
        <is>
          <t>2026-05-13</t>
        </is>
      </c>
      <c r="B157" t="inlineStr">
        <is>
          <t>C-SLG/0118/26-27</t>
        </is>
      </c>
      <c r="D157" t="n">
        <v>4243</v>
      </c>
      <c r="E157" t="n">
        <v>4243</v>
      </c>
      <c r="F157" t="inlineStr">
        <is>
          <t>2026-06-07</t>
        </is>
      </c>
    </row>
    <row r="158">
      <c r="C158" t="inlineStr">
        <is>
          <t>Kavitha Stationery &amp; Xerox</t>
        </is>
      </c>
    </row>
    <row r="159">
      <c r="A159" t="inlineStr">
        <is>
          <t>2026-05-14</t>
        </is>
      </c>
      <c r="B159" t="inlineStr">
        <is>
          <t>C-SLG/0124/26-27</t>
        </is>
      </c>
      <c r="D159" t="n">
        <v>1328</v>
      </c>
      <c r="E159" t="n">
        <v>1328</v>
      </c>
      <c r="F159" t="inlineStr">
        <is>
          <t>2026-06-08</t>
        </is>
      </c>
    </row>
    <row r="160">
      <c r="C160" t="inlineStr">
        <is>
          <t>Knowledge Park Book Bank</t>
        </is>
      </c>
    </row>
    <row r="161">
      <c r="A161" t="inlineStr">
        <is>
          <t>2026-05-19</t>
        </is>
      </c>
      <c r="B161" t="inlineStr">
        <is>
          <t>C-SLG/0153/26-27</t>
        </is>
      </c>
      <c r="D161" t="n">
        <v>2472</v>
      </c>
      <c r="E161" t="n">
        <v>2472</v>
      </c>
      <c r="F161" t="inlineStr">
        <is>
          <t>2026-06-13</t>
        </is>
      </c>
    </row>
    <row r="162">
      <c r="C162" t="inlineStr">
        <is>
          <t>Mv Rao Book Center</t>
        </is>
      </c>
    </row>
    <row r="163">
      <c r="A163" t="inlineStr">
        <is>
          <t>2026-05-06</t>
        </is>
      </c>
      <c r="B163" t="inlineStr">
        <is>
          <t>C-SLG/0090/26-27</t>
        </is>
      </c>
      <c r="D163" t="n">
        <v>1143</v>
      </c>
      <c r="E163" t="n">
        <v>1143</v>
      </c>
      <c r="F163" t="inlineStr">
        <is>
          <t>2026-05-31</t>
        </is>
      </c>
    </row>
    <row r="164">
      <c r="C164" t="inlineStr">
        <is>
          <t>Om Sri Sai Ram Book Point</t>
        </is>
      </c>
    </row>
    <row r="165">
      <c r="A165" t="inlineStr">
        <is>
          <t>2026-05-16</t>
        </is>
      </c>
      <c r="B165" t="inlineStr">
        <is>
          <t>C-SLG/0140/26-27</t>
        </is>
      </c>
      <c r="D165" t="n">
        <v>1648</v>
      </c>
      <c r="E165" t="n">
        <v>1648</v>
      </c>
      <c r="F165" t="inlineStr">
        <is>
          <t>2026-06-10</t>
        </is>
      </c>
    </row>
    <row r="166">
      <c r="C166" t="inlineStr">
        <is>
          <t>PRAKASH STATIONERS (HIMAYATH NAGAR)</t>
        </is>
      </c>
    </row>
    <row r="167">
      <c r="A167" t="inlineStr">
        <is>
          <t>2026-05-23</t>
        </is>
      </c>
      <c r="B167" t="inlineStr">
        <is>
          <t>C-SLG/0163/26-27</t>
        </is>
      </c>
      <c r="D167" t="n">
        <v>8239</v>
      </c>
      <c r="E167" t="n">
        <v>8239</v>
      </c>
      <c r="F167" t="inlineStr">
        <is>
          <t>2026-06-17</t>
        </is>
      </c>
    </row>
    <row r="168">
      <c r="C168" t="inlineStr">
        <is>
          <t>PUSHPA BOOK CENTER</t>
        </is>
      </c>
    </row>
    <row r="169">
      <c r="A169" t="inlineStr">
        <is>
          <t>2026-05-19</t>
        </is>
      </c>
      <c r="B169" t="inlineStr">
        <is>
          <t>228</t>
        </is>
      </c>
      <c r="D169" t="n">
        <v>-70</v>
      </c>
      <c r="E169" t="n">
        <v>-70</v>
      </c>
      <c r="F169" t="inlineStr">
        <is>
          <t>2026-06-13</t>
        </is>
      </c>
    </row>
    <row r="170">
      <c r="C170" t="inlineStr">
        <is>
          <t>R.B Stationery</t>
        </is>
      </c>
    </row>
    <row r="171">
      <c r="A171" t="inlineStr">
        <is>
          <t>2026-05-07</t>
        </is>
      </c>
      <c r="B171" t="inlineStr">
        <is>
          <t>C-SLG/0098/26-27</t>
        </is>
      </c>
      <c r="D171" t="n">
        <v>2187</v>
      </c>
      <c r="E171" t="n">
        <v>2187</v>
      </c>
      <c r="F171" t="inlineStr">
        <is>
          <t>2026-06-01</t>
        </is>
      </c>
    </row>
    <row r="172">
      <c r="C172" t="inlineStr">
        <is>
          <t>Renuka Book Depot and Stationery</t>
        </is>
      </c>
    </row>
    <row r="173">
      <c r="A173" t="inlineStr">
        <is>
          <t>2026-05-19</t>
        </is>
      </c>
      <c r="B173" t="inlineStr">
        <is>
          <t>C-SLG/0148/26-27</t>
        </is>
      </c>
      <c r="D173" t="n">
        <v>2414</v>
      </c>
      <c r="E173" t="n">
        <v>2414</v>
      </c>
      <c r="F173" t="inlineStr">
        <is>
          <t>2026-06-13</t>
        </is>
      </c>
    </row>
    <row r="174">
      <c r="C174" t="inlineStr">
        <is>
          <t>Sahitya Nilam Books Exibition</t>
        </is>
      </c>
    </row>
    <row r="175">
      <c r="A175" t="inlineStr">
        <is>
          <t>2026-05-06</t>
        </is>
      </c>
      <c r="B175" t="inlineStr">
        <is>
          <t>C-SLG/0092/26-27</t>
        </is>
      </c>
      <c r="D175" t="n">
        <v>916</v>
      </c>
      <c r="E175" t="n">
        <v>916</v>
      </c>
      <c r="F175" t="inlineStr">
        <is>
          <t>2026-05-31</t>
        </is>
      </c>
    </row>
    <row r="176">
      <c r="A176" t="inlineStr">
        <is>
          <t>2026-05-23</t>
        </is>
      </c>
      <c r="B176" t="inlineStr">
        <is>
          <t>C-SLG/0164/26-27</t>
        </is>
      </c>
      <c r="D176" t="n">
        <v>886</v>
      </c>
      <c r="E176" t="n">
        <v>886</v>
      </c>
      <c r="F176" t="inlineStr">
        <is>
          <t>2026-06-17</t>
        </is>
      </c>
    </row>
    <row r="177">
      <c r="C177" t="inlineStr">
        <is>
          <t>SAI BALAJI BOOK CENTER</t>
        </is>
      </c>
    </row>
    <row r="178">
      <c r="A178" t="inlineStr">
        <is>
          <t>2026-05-09</t>
        </is>
      </c>
      <c r="B178" t="inlineStr">
        <is>
          <t>C-SLG/0106/26-27</t>
        </is>
      </c>
      <c r="D178" t="n">
        <v>1459</v>
      </c>
      <c r="E178" t="n">
        <v>1459</v>
      </c>
      <c r="F178" t="inlineStr">
        <is>
          <t>2026-06-03</t>
        </is>
      </c>
    </row>
    <row r="179">
      <c r="A179" t="inlineStr">
        <is>
          <t>2026-05-19</t>
        </is>
      </c>
      <c r="B179" t="inlineStr">
        <is>
          <t>C-SLG/0146/26-27</t>
        </is>
      </c>
      <c r="D179" t="n">
        <v>1652</v>
      </c>
      <c r="E179" t="n">
        <v>1652</v>
      </c>
      <c r="F179" t="inlineStr">
        <is>
          <t>2026-06-13</t>
        </is>
      </c>
    </row>
    <row r="180">
      <c r="C180" t="inlineStr">
        <is>
          <t>Sai Jyothi Stationery &amp; Xerox</t>
        </is>
      </c>
    </row>
    <row r="181">
      <c r="A181" t="inlineStr">
        <is>
          <t>2026-05-07</t>
        </is>
      </c>
      <c r="B181" t="inlineStr">
        <is>
          <t>Excess-166</t>
        </is>
      </c>
      <c r="D181" t="n">
        <v>-8</v>
      </c>
      <c r="E181" t="n">
        <v>-8</v>
      </c>
      <c r="F181" t="inlineStr">
        <is>
          <t>2026-06-01</t>
        </is>
      </c>
    </row>
    <row r="182">
      <c r="C182" t="inlineStr">
        <is>
          <t>Sai Ram Stationery &amp; Xerox</t>
        </is>
      </c>
    </row>
    <row r="183">
      <c r="A183" t="inlineStr">
        <is>
          <t>2026-05-14</t>
        </is>
      </c>
      <c r="B183" t="inlineStr">
        <is>
          <t>C-SLG/0122/26-27</t>
        </is>
      </c>
      <c r="D183" t="n">
        <v>1663</v>
      </c>
      <c r="E183" t="n">
        <v>1663</v>
      </c>
      <c r="F183" t="inlineStr">
        <is>
          <t>2026-06-08</t>
        </is>
      </c>
    </row>
    <row r="184">
      <c r="C184" t="inlineStr">
        <is>
          <t>Shafi Book Depot</t>
        </is>
      </c>
    </row>
    <row r="185">
      <c r="A185" t="inlineStr">
        <is>
          <t>2026-05-23</t>
        </is>
      </c>
      <c r="B185" t="inlineStr">
        <is>
          <t>C-SLG/0162/26-27</t>
        </is>
      </c>
      <c r="D185" t="n">
        <v>5871</v>
      </c>
      <c r="E185" t="n">
        <v>5871</v>
      </c>
      <c r="F185" t="inlineStr">
        <is>
          <t>2026-06-17</t>
        </is>
      </c>
    </row>
    <row r="186">
      <c r="C186" t="inlineStr">
        <is>
          <t>Spice Internet Stationery</t>
        </is>
      </c>
    </row>
    <row r="187">
      <c r="A187" t="inlineStr">
        <is>
          <t>2026-05-21</t>
        </is>
      </c>
      <c r="B187" t="inlineStr">
        <is>
          <t>C-SLG/0160/26-27</t>
        </is>
      </c>
      <c r="D187" t="n">
        <v>3426</v>
      </c>
      <c r="E187" t="n">
        <v>3426</v>
      </c>
      <c r="F187" t="inlineStr">
        <is>
          <t>2026-06-15</t>
        </is>
      </c>
    </row>
    <row r="188">
      <c r="C188" t="inlineStr">
        <is>
          <t>SREE LAXMI ENTERPRISES</t>
        </is>
      </c>
    </row>
    <row r="189">
      <c r="A189" t="inlineStr">
        <is>
          <t>2026-05-07</t>
        </is>
      </c>
      <c r="B189" t="inlineStr">
        <is>
          <t>C-SLG/0100/26-27</t>
        </is>
      </c>
      <c r="D189" t="n">
        <v>916</v>
      </c>
      <c r="E189" t="n">
        <v>916</v>
      </c>
      <c r="F189" t="inlineStr">
        <is>
          <t>2026-06-01</t>
        </is>
      </c>
    </row>
    <row r="190">
      <c r="C190" t="inlineStr">
        <is>
          <t>Sri Balaji Stationary- L B Nagar</t>
        </is>
      </c>
    </row>
    <row r="191">
      <c r="A191" t="inlineStr">
        <is>
          <t>2026-05-08</t>
        </is>
      </c>
      <c r="B191" t="inlineStr">
        <is>
          <t>C-SLG/0104/26-27</t>
        </is>
      </c>
      <c r="D191" t="n">
        <v>46188</v>
      </c>
      <c r="E191" t="n">
        <v>46188</v>
      </c>
      <c r="F191" t="inlineStr">
        <is>
          <t>2026-06-02</t>
        </is>
      </c>
    </row>
    <row r="192">
      <c r="C192" t="inlineStr">
        <is>
          <t>SRI BALAJI STATIONERY</t>
        </is>
      </c>
    </row>
    <row r="193">
      <c r="A193" t="inlineStr">
        <is>
          <t>2026-04-23</t>
        </is>
      </c>
      <c r="B193" t="inlineStr">
        <is>
          <t>C-SLG/0065/26-27</t>
        </is>
      </c>
      <c r="D193" t="n">
        <v>19580</v>
      </c>
      <c r="E193" t="n">
        <v>19580</v>
      </c>
      <c r="F193" t="inlineStr">
        <is>
          <t>2026-05-18</t>
        </is>
      </c>
    </row>
    <row r="194">
      <c r="C194" t="inlineStr">
        <is>
          <t>Sri Balaji Stationery (Abdullamet)</t>
        </is>
      </c>
    </row>
    <row r="195">
      <c r="A195" t="inlineStr">
        <is>
          <t>2026-05-15</t>
        </is>
      </c>
      <c r="B195" t="inlineStr">
        <is>
          <t>C-SLG/0137/26-27</t>
        </is>
      </c>
      <c r="D195" t="n">
        <v>12951</v>
      </c>
      <c r="E195" t="n">
        <v>12951</v>
      </c>
      <c r="F195" t="inlineStr">
        <is>
          <t>2026-06-09</t>
        </is>
      </c>
    </row>
    <row r="196">
      <c r="C196" t="inlineStr">
        <is>
          <t>Sri Indu Stationeery</t>
        </is>
      </c>
    </row>
    <row r="197">
      <c r="A197" t="inlineStr">
        <is>
          <t>2026-05-07</t>
        </is>
      </c>
      <c r="B197" t="inlineStr">
        <is>
          <t>C-SLG/0097/26-27</t>
        </is>
      </c>
      <c r="D197" t="n">
        <v>916</v>
      </c>
      <c r="E197" t="n">
        <v>916</v>
      </c>
      <c r="F197" t="inlineStr">
        <is>
          <t>2026-06-01</t>
        </is>
      </c>
    </row>
    <row r="198">
      <c r="C198" t="inlineStr">
        <is>
          <t>Sri Sai Baba Book Center</t>
        </is>
      </c>
    </row>
    <row r="199">
      <c r="A199" t="inlineStr">
        <is>
          <t>2026-05-15</t>
        </is>
      </c>
      <c r="B199" t="inlineStr">
        <is>
          <t>C-SLG/0135/26-27</t>
        </is>
      </c>
      <c r="D199" t="n">
        <v>1143</v>
      </c>
      <c r="E199" t="n">
        <v>1143</v>
      </c>
      <c r="F199" t="inlineStr">
        <is>
          <t>2026-06-09</t>
        </is>
      </c>
    </row>
    <row r="200">
      <c r="C200" t="inlineStr">
        <is>
          <t>Sri Sai Santosh Stationery Xerox</t>
        </is>
      </c>
    </row>
    <row r="201">
      <c r="A201" t="inlineStr">
        <is>
          <t>2026-05-16</t>
        </is>
      </c>
      <c r="B201" t="inlineStr">
        <is>
          <t>C-SLG/0138/26-27</t>
        </is>
      </c>
      <c r="D201" t="n">
        <v>1632</v>
      </c>
      <c r="E201" t="n">
        <v>1632</v>
      </c>
      <c r="F201" t="inlineStr">
        <is>
          <t>2026-06-10</t>
        </is>
      </c>
    </row>
    <row r="202">
      <c r="C202" t="inlineStr">
        <is>
          <t>Sri Sai Stationary and Book Depot</t>
        </is>
      </c>
    </row>
    <row r="203">
      <c r="A203" t="inlineStr">
        <is>
          <t>2026-05-08</t>
        </is>
      </c>
      <c r="B203" t="inlineStr">
        <is>
          <t>C-SLG/0102/26-27</t>
        </is>
      </c>
      <c r="D203" t="n">
        <v>3942</v>
      </c>
      <c r="E203" t="n">
        <v>3942</v>
      </c>
      <c r="F203" t="inlineStr">
        <is>
          <t>2026-06-02</t>
        </is>
      </c>
    </row>
    <row r="204">
      <c r="C204" t="inlineStr">
        <is>
          <t>SRI SATYANARAYANA SWAMY STATIONERY&amp;XEROX</t>
        </is>
      </c>
    </row>
    <row r="205">
      <c r="A205" t="inlineStr">
        <is>
          <t>2026-05-07</t>
        </is>
      </c>
      <c r="B205" t="inlineStr">
        <is>
          <t>C-SLG/0095/26-27</t>
        </is>
      </c>
      <c r="D205" t="n">
        <v>916</v>
      </c>
      <c r="E205" t="n">
        <v>916</v>
      </c>
      <c r="F205" t="inlineStr">
        <is>
          <t>2026-06-01</t>
        </is>
      </c>
    </row>
    <row r="206">
      <c r="C206" t="inlineStr">
        <is>
          <t>SRI VAGDEVI- RK Puram</t>
        </is>
      </c>
    </row>
    <row r="207">
      <c r="A207" t="inlineStr">
        <is>
          <t>2026-05-08</t>
        </is>
      </c>
      <c r="B207" t="inlineStr">
        <is>
          <t>C-SLG/0103/26-27</t>
        </is>
      </c>
      <c r="D207" t="n">
        <v>6945</v>
      </c>
      <c r="E207" t="n">
        <v>6945</v>
      </c>
      <c r="F207" t="inlineStr">
        <is>
          <t>2026-06-02</t>
        </is>
      </c>
    </row>
    <row r="208">
      <c r="C208" t="inlineStr">
        <is>
          <t>Tirumala Book Depot</t>
        </is>
      </c>
    </row>
    <row r="209">
      <c r="A209" t="inlineStr">
        <is>
          <t>2026-05-06</t>
        </is>
      </c>
      <c r="B209" t="inlineStr">
        <is>
          <t>C-SLG/0089/26-27</t>
        </is>
      </c>
      <c r="D209" t="n">
        <v>7604</v>
      </c>
      <c r="E209" t="n">
        <v>7604</v>
      </c>
      <c r="F209" t="inlineStr">
        <is>
          <t>2026-05-31</t>
        </is>
      </c>
    </row>
    <row r="210">
      <c r="A210" t="inlineStr">
        <is>
          <t>2026-05-19</t>
        </is>
      </c>
      <c r="B210" t="inlineStr">
        <is>
          <t>C-SLG/0150/26-27</t>
        </is>
      </c>
      <c r="D210" t="n">
        <v>7471</v>
      </c>
      <c r="E210" t="n">
        <v>7471</v>
      </c>
      <c r="F210" t="inlineStr">
        <is>
          <t>2026-06-13</t>
        </is>
      </c>
    </row>
    <row r="211">
      <c r="A211" t="inlineStr">
        <is>
          <t>2026-05-19</t>
        </is>
      </c>
      <c r="B211" t="inlineStr">
        <is>
          <t>C-SLG/0151/26-27</t>
        </is>
      </c>
      <c r="D211" t="n">
        <v>3811</v>
      </c>
      <c r="E211" t="n">
        <v>3811</v>
      </c>
      <c r="F211" t="inlineStr">
        <is>
          <t>2026-06-13</t>
        </is>
      </c>
    </row>
    <row r="212">
      <c r="A212" t="inlineStr">
        <is>
          <t>2026-05-23</t>
        </is>
      </c>
      <c r="B212" t="inlineStr">
        <is>
          <t>C-SLG/0165/26-27</t>
        </is>
      </c>
      <c r="D212" t="n">
        <v>90483</v>
      </c>
      <c r="E212" t="n">
        <v>90483</v>
      </c>
      <c r="F212" t="inlineStr">
        <is>
          <t>2026-06-17</t>
        </is>
      </c>
    </row>
    <row r="213">
      <c r="A213" t="inlineStr">
        <is>
          <t>2026-05-21</t>
        </is>
      </c>
      <c r="B213" t="inlineStr">
        <is>
          <t>C-SLG/0155/26-27</t>
        </is>
      </c>
      <c r="D213" t="n">
        <v>3176</v>
      </c>
      <c r="E213" t="n">
        <v>3176</v>
      </c>
      <c r="F213" t="inlineStr">
        <is>
          <t>2026-06-15</t>
        </is>
      </c>
    </row>
    <row r="214">
      <c r="A214" t="inlineStr">
        <is>
          <t>2026-05-21</t>
        </is>
      </c>
      <c r="B214" t="inlineStr">
        <is>
          <t>C-SLG/0161/26-27</t>
        </is>
      </c>
      <c r="D214" t="n">
        <v>5902</v>
      </c>
      <c r="E214" t="n">
        <v>5902</v>
      </c>
      <c r="F214" t="inlineStr">
        <is>
          <t>2026-06-15</t>
        </is>
      </c>
    </row>
    <row r="215"/>
    <row r="216">
      <c r="B216" t="inlineStr">
        <is>
          <t>Vinod</t>
        </is>
      </c>
      <c r="D216" t="n">
        <v>0</v>
      </c>
      <c r="E216" t="n">
        <v>0</v>
      </c>
    </row>
    <row r="217"/>
    <row r="218">
      <c r="B218" t="inlineStr">
        <is>
          <t>Pending Bills</t>
        </is>
      </c>
      <c r="D218" t="n">
        <v>0</v>
      </c>
      <c r="E218" t="n">
        <v>0</v>
      </c>
    </row>
    <row r="219">
      <c r="A219" s="97" t="n"/>
      <c r="B219" s="98" t="n"/>
      <c r="C219" s="32" t="inlineStr">
        <is>
          <t>TOTAL AMOUNT</t>
        </is>
      </c>
      <c r="D219" s="30" t="n">
        <v>905251</v>
      </c>
      <c r="E219" s="20" t="n">
        <v>837195</v>
      </c>
      <c r="F219" s="98" t="n"/>
      <c r="G219" s="98" t="n"/>
      <c r="H219" s="22" t="n"/>
      <c r="I219" s="22" t="n"/>
      <c r="J219" s="23" t="n"/>
      <c r="K219" s="99" t="n"/>
      <c r="L219" s="99" t="n"/>
      <c r="M219" s="99" t="n"/>
      <c r="N219" s="99" t="n"/>
      <c r="O219" s="90" t="n"/>
      <c r="P219" s="90" t="n"/>
      <c r="Q219" s="90" t="n"/>
      <c r="R219" s="90" t="n"/>
      <c r="S219" s="90" t="n"/>
      <c r="T219" s="90" t="n"/>
    </row>
    <row r="220">
      <c r="H220" s="103" t="n"/>
      <c r="I220" s="103" t="n"/>
      <c r="J220" s="104" t="n"/>
      <c r="K220" s="104" t="n"/>
      <c r="L220" s="104" t="n"/>
      <c r="M220" s="104" t="n"/>
      <c r="N220" s="104" t="n"/>
    </row>
    <row r="221">
      <c r="H221" s="103" t="n"/>
      <c r="I221" s="103" t="n"/>
      <c r="J221" s="104" t="n"/>
      <c r="K221" s="104" t="n"/>
      <c r="L221" s="104" t="n"/>
      <c r="M221" s="104" t="n"/>
      <c r="N221" s="104" t="n"/>
    </row>
    <row r="222">
      <c r="H222" s="103" t="n"/>
      <c r="I222" s="103" t="n"/>
      <c r="J222" s="104" t="n"/>
      <c r="K222" s="104" t="n"/>
      <c r="L222" s="104" t="n"/>
      <c r="M222" s="104" t="n"/>
      <c r="N222" s="104" t="n"/>
    </row>
    <row r="223">
      <c r="H223" s="103" t="n"/>
      <c r="I223" s="103" t="n"/>
      <c r="J223" s="104" t="n"/>
      <c r="K223" s="104" t="n"/>
      <c r="L223" s="104" t="n"/>
      <c r="M223" s="104" t="n"/>
      <c r="N223" s="104" t="n"/>
    </row>
    <row r="224">
      <c r="H224" s="103" t="n"/>
      <c r="I224" s="103" t="n"/>
      <c r="J224" s="104" t="n"/>
      <c r="K224" s="104" t="n"/>
      <c r="L224" s="104" t="n"/>
      <c r="M224" s="104" t="n"/>
      <c r="N224" s="104" t="n"/>
    </row>
    <row r="225">
      <c r="H225" s="103" t="n"/>
      <c r="I225" s="103" t="n"/>
      <c r="J225" s="104" t="n"/>
      <c r="K225" s="104" t="n"/>
      <c r="L225" s="104" t="n"/>
      <c r="M225" s="104" t="n"/>
      <c r="N225" s="104" t="n"/>
    </row>
    <row r="226">
      <c r="H226" s="103" t="n"/>
      <c r="I226" s="103" t="n"/>
      <c r="J226" s="104" t="n"/>
      <c r="K226" s="104" t="n"/>
      <c r="L226" s="104" t="n"/>
      <c r="M226" s="104" t="n"/>
      <c r="N226" s="104" t="n"/>
    </row>
    <row r="227">
      <c r="H227" s="103" t="n"/>
      <c r="I227" s="103" t="n"/>
      <c r="J227" s="104" t="n"/>
      <c r="K227" s="104" t="n"/>
      <c r="L227" s="104" t="n"/>
      <c r="M227" s="104" t="n"/>
      <c r="N227" s="104" t="n"/>
    </row>
    <row r="228">
      <c r="H228" s="103" t="n"/>
      <c r="I228" s="103" t="n"/>
      <c r="J228" s="104" t="n"/>
      <c r="K228" s="104" t="n"/>
      <c r="L228" s="104" t="n"/>
      <c r="M228" s="104" t="n"/>
      <c r="N228" s="104" t="n"/>
    </row>
    <row r="229">
      <c r="H229" s="103" t="n"/>
      <c r="I229" s="103" t="n"/>
      <c r="J229" s="104" t="n"/>
      <c r="K229" s="104" t="n"/>
      <c r="L229" s="104" t="n"/>
      <c r="M229" s="104" t="n"/>
      <c r="N229" s="104" t="n"/>
    </row>
    <row r="230">
      <c r="H230" s="103" t="n"/>
      <c r="I230" s="103" t="n"/>
      <c r="J230" s="104" t="n"/>
      <c r="K230" s="104" t="n"/>
      <c r="L230" s="104" t="n"/>
      <c r="M230" s="104" t="n"/>
      <c r="N230" s="104" t="n"/>
    </row>
    <row r="231">
      <c r="H231" s="103" t="n"/>
      <c r="I231" s="103" t="n"/>
      <c r="J231" s="104" t="n"/>
      <c r="K231" s="104" t="n"/>
      <c r="L231" s="104" t="n"/>
      <c r="M231" s="104" t="n"/>
      <c r="N231" s="104" t="n"/>
    </row>
    <row r="232">
      <c r="H232" s="103" t="n"/>
      <c r="I232" s="103" t="n"/>
      <c r="J232" s="104" t="n"/>
      <c r="K232" s="104" t="n"/>
      <c r="L232" s="104" t="n"/>
      <c r="M232" s="104" t="n"/>
      <c r="N232" s="104" t="n"/>
    </row>
    <row r="233">
      <c r="H233" s="103" t="n"/>
      <c r="I233" s="103" t="n"/>
      <c r="J233" s="104" t="n"/>
      <c r="K233" s="104" t="n"/>
      <c r="L233" s="104" t="n"/>
      <c r="M233" s="104" t="n"/>
      <c r="N233" s="104" t="n"/>
    </row>
    <row r="234">
      <c r="H234" s="103" t="n"/>
      <c r="I234" s="103" t="n"/>
      <c r="J234" s="104" t="n"/>
      <c r="K234" s="104" t="n"/>
      <c r="L234" s="104" t="n"/>
      <c r="M234" s="104" t="n"/>
      <c r="N234" s="104" t="n"/>
    </row>
    <row r="235">
      <c r="H235" s="103" t="n"/>
      <c r="I235" s="103" t="n"/>
      <c r="J235" s="104" t="n"/>
      <c r="K235" s="104" t="n"/>
      <c r="L235" s="104" t="n"/>
      <c r="M235" s="104" t="n"/>
      <c r="N235" s="104" t="n"/>
    </row>
    <row r="236">
      <c r="H236" s="103" t="n"/>
      <c r="I236" s="103" t="n"/>
      <c r="J236" s="104" t="n"/>
      <c r="K236" s="104" t="n"/>
      <c r="L236" s="104" t="n"/>
      <c r="M236" s="104" t="n"/>
      <c r="N236" s="104" t="n"/>
    </row>
    <row r="237">
      <c r="H237" s="103" t="n"/>
      <c r="I237" s="103" t="n"/>
      <c r="J237" s="104" t="n"/>
      <c r="K237" s="104" t="n"/>
      <c r="L237" s="104" t="n"/>
      <c r="M237" s="104" t="n"/>
      <c r="N237" s="104" t="n"/>
    </row>
    <row r="238">
      <c r="H238" s="103" t="n"/>
      <c r="I238" s="103" t="n"/>
      <c r="J238" s="104" t="n"/>
      <c r="K238" s="104" t="n"/>
      <c r="L238" s="104" t="n"/>
      <c r="M238" s="104" t="n"/>
      <c r="N238" s="104" t="n"/>
    </row>
    <row r="239">
      <c r="H239" s="103" t="n"/>
      <c r="I239" s="103" t="n"/>
      <c r="J239" s="104" t="n"/>
      <c r="K239" s="104" t="n"/>
      <c r="L239" s="104" t="n"/>
      <c r="M239" s="104" t="n"/>
      <c r="N239" s="104" t="n"/>
    </row>
    <row r="240">
      <c r="H240" s="103" t="n"/>
      <c r="I240" s="103" t="n"/>
      <c r="J240" s="104" t="n"/>
      <c r="K240" s="104" t="n"/>
      <c r="L240" s="104" t="n"/>
      <c r="M240" s="104" t="n"/>
      <c r="N240" s="104" t="n"/>
    </row>
    <row r="241">
      <c r="H241" s="103" t="n"/>
      <c r="I241" s="103" t="n"/>
      <c r="J241" s="104" t="n"/>
      <c r="K241" s="104" t="n"/>
      <c r="L241" s="104" t="n"/>
      <c r="M241" s="104" t="n"/>
      <c r="N241" s="104" t="n"/>
    </row>
    <row r="242">
      <c r="H242" s="103" t="n"/>
      <c r="I242" s="103" t="n"/>
      <c r="J242" s="104" t="n"/>
      <c r="K242" s="104" t="n"/>
      <c r="L242" s="104" t="n"/>
      <c r="M242" s="104" t="n"/>
      <c r="N242" s="104" t="n"/>
    </row>
    <row r="243">
      <c r="H243" s="103" t="n"/>
      <c r="I243" s="103" t="n"/>
      <c r="J243" s="104" t="n"/>
      <c r="K243" s="104" t="n"/>
      <c r="L243" s="104" t="n"/>
      <c r="M243" s="104" t="n"/>
      <c r="N243" s="104" t="n"/>
    </row>
    <row r="244">
      <c r="H244" s="103" t="n"/>
      <c r="I244" s="103" t="n"/>
      <c r="J244" s="104" t="n"/>
      <c r="K244" s="104" t="n"/>
      <c r="L244" s="104" t="n"/>
      <c r="M244" s="104" t="n"/>
      <c r="N244" s="104" t="n"/>
    </row>
    <row r="245">
      <c r="H245" s="103" t="n"/>
      <c r="I245" s="103" t="n"/>
      <c r="J245" s="104" t="n"/>
      <c r="K245" s="104" t="n"/>
      <c r="L245" s="104" t="n"/>
      <c r="M245" s="104" t="n"/>
      <c r="N245" s="104" t="n"/>
    </row>
    <row r="246">
      <c r="H246" s="103" t="n"/>
      <c r="I246" s="103" t="n"/>
      <c r="J246" s="104" t="n"/>
      <c r="K246" s="104" t="n"/>
      <c r="L246" s="104" t="n"/>
      <c r="M246" s="104" t="n"/>
      <c r="N246" s="104" t="n"/>
    </row>
    <row r="247">
      <c r="H247" s="103" t="n"/>
      <c r="I247" s="103" t="n"/>
      <c r="J247" s="104" t="n"/>
      <c r="K247" s="104" t="n"/>
      <c r="L247" s="104" t="n"/>
      <c r="M247" s="104" t="n"/>
      <c r="N247" s="104" t="n"/>
    </row>
    <row r="248">
      <c r="H248" s="103" t="n"/>
      <c r="I248" s="103" t="n"/>
      <c r="J248" s="104" t="n"/>
      <c r="K248" s="104" t="n"/>
      <c r="L248" s="104" t="n"/>
      <c r="M248" s="104" t="n"/>
      <c r="N248" s="104" t="n"/>
    </row>
    <row r="249">
      <c r="H249" s="103" t="n"/>
      <c r="I249" s="103" t="n"/>
      <c r="J249" s="104" t="n"/>
      <c r="K249" s="104" t="n"/>
      <c r="L249" s="104" t="n"/>
      <c r="M249" s="104" t="n"/>
      <c r="N249" s="104" t="n"/>
    </row>
    <row r="250">
      <c r="H250" s="103" t="n"/>
      <c r="I250" s="103" t="n"/>
      <c r="J250" s="104" t="n"/>
      <c r="K250" s="104" t="n"/>
      <c r="L250" s="104" t="n"/>
      <c r="M250" s="104" t="n"/>
      <c r="N250" s="104" t="n"/>
    </row>
    <row r="251">
      <c r="H251" s="103" t="n"/>
      <c r="I251" s="103" t="n"/>
      <c r="J251" s="104" t="n"/>
      <c r="K251" s="104" t="n"/>
      <c r="L251" s="104" t="n"/>
      <c r="M251" s="104" t="n"/>
      <c r="N251" s="104" t="n"/>
    </row>
    <row r="252">
      <c r="H252" s="103" t="n"/>
      <c r="I252" s="103" t="n"/>
      <c r="J252" s="104" t="n"/>
      <c r="K252" s="104" t="n"/>
      <c r="L252" s="104" t="n"/>
      <c r="M252" s="104" t="n"/>
      <c r="N252" s="104" t="n"/>
    </row>
    <row r="253">
      <c r="H253" s="103" t="n"/>
      <c r="I253" s="103" t="n"/>
      <c r="J253" s="104" t="n"/>
      <c r="K253" s="104" t="n"/>
      <c r="L253" s="104" t="n"/>
      <c r="M253" s="104" t="n"/>
      <c r="N253" s="104" t="n"/>
    </row>
    <row r="254">
      <c r="H254" s="103" t="n"/>
      <c r="I254" s="103" t="n"/>
      <c r="J254" s="104" t="n"/>
      <c r="K254" s="104" t="n"/>
      <c r="L254" s="104" t="n"/>
      <c r="M254" s="104" t="n"/>
      <c r="N254" s="104" t="n"/>
    </row>
    <row r="255">
      <c r="H255" s="103" t="n"/>
      <c r="I255" s="103" t="n"/>
      <c r="J255" s="104" t="n"/>
      <c r="K255" s="104" t="n"/>
      <c r="L255" s="104" t="n"/>
      <c r="M255" s="104" t="n"/>
      <c r="N255" s="104" t="n"/>
    </row>
    <row r="256">
      <c r="H256" s="103" t="n"/>
      <c r="I256" s="103" t="n"/>
      <c r="J256" s="104" t="n"/>
      <c r="K256" s="104" t="n"/>
      <c r="L256" s="104" t="n"/>
      <c r="M256" s="104" t="n"/>
      <c r="N256" s="104" t="n"/>
    </row>
    <row r="257">
      <c r="H257" s="103" t="n"/>
      <c r="I257" s="103" t="n"/>
      <c r="J257" s="104" t="n"/>
      <c r="K257" s="104" t="n"/>
      <c r="L257" s="104" t="n"/>
      <c r="M257" s="104" t="n"/>
      <c r="N257" s="104" t="n"/>
    </row>
    <row r="258">
      <c r="H258" s="103" t="n"/>
      <c r="I258" s="103" t="n"/>
      <c r="J258" s="104" t="n"/>
      <c r="K258" s="104" t="n"/>
      <c r="L258" s="104" t="n"/>
      <c r="M258" s="104" t="n"/>
      <c r="N258" s="104" t="n"/>
    </row>
    <row r="259">
      <c r="H259" s="103" t="n"/>
      <c r="I259" s="103" t="n"/>
      <c r="J259" s="104" t="n"/>
      <c r="K259" s="104" t="n"/>
      <c r="L259" s="104" t="n"/>
      <c r="M259" s="104" t="n"/>
      <c r="N259" s="104" t="n"/>
    </row>
    <row r="260">
      <c r="H260" s="103" t="n"/>
      <c r="I260" s="103" t="n"/>
      <c r="J260" s="104" t="n"/>
      <c r="K260" s="104" t="n"/>
      <c r="L260" s="104" t="n"/>
      <c r="M260" s="104" t="n"/>
      <c r="N260" s="104" t="n"/>
    </row>
    <row r="261">
      <c r="H261" s="103" t="n"/>
      <c r="I261" s="103" t="n"/>
      <c r="J261" s="104" t="n"/>
      <c r="K261" s="104" t="n"/>
      <c r="L261" s="104" t="n"/>
      <c r="M261" s="104" t="n"/>
      <c r="N261" s="104" t="n"/>
    </row>
    <row r="262">
      <c r="H262" s="103" t="n"/>
      <c r="I262" s="103" t="n"/>
      <c r="J262" s="104" t="n"/>
      <c r="K262" s="104" t="n"/>
      <c r="L262" s="104" t="n"/>
      <c r="M262" s="104" t="n"/>
      <c r="N262" s="104" t="n"/>
    </row>
    <row r="263">
      <c r="H263" s="103" t="n"/>
      <c r="I263" s="103" t="n"/>
      <c r="J263" s="104" t="n"/>
      <c r="K263" s="104" t="n"/>
      <c r="L263" s="104" t="n"/>
      <c r="M263" s="104" t="n"/>
      <c r="N263" s="104" t="n"/>
    </row>
    <row r="264">
      <c r="H264" s="103" t="n"/>
      <c r="I264" s="103" t="n"/>
      <c r="J264" s="104" t="n"/>
      <c r="K264" s="104" t="n"/>
      <c r="L264" s="104" t="n"/>
      <c r="M264" s="104" t="n"/>
      <c r="N264" s="104" t="n"/>
    </row>
    <row r="265">
      <c r="H265" s="103" t="n"/>
      <c r="I265" s="103" t="n"/>
      <c r="J265" s="104" t="n"/>
      <c r="K265" s="104" t="n"/>
      <c r="L265" s="104" t="n"/>
      <c r="M265" s="104" t="n"/>
      <c r="N265" s="104" t="n"/>
    </row>
  </sheetData>
  <mergeCells count="2">
    <mergeCell ref="B1:C1"/>
    <mergeCell ref="B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I7" sqref="I7"/>
    </sheetView>
  </sheetViews>
  <sheetFormatPr baseColWidth="8" defaultRowHeight="14.4"/>
  <cols>
    <col width="12" customWidth="1" style="243" min="1" max="1"/>
    <col width="15" customWidth="1" style="243" min="2" max="2"/>
    <col width="38" customWidth="1" style="243" min="3" max="3"/>
    <col width="15" customWidth="1" style="243" min="4" max="4"/>
    <col width="19" customWidth="1" style="243" min="5" max="5"/>
    <col width="12" customWidth="1" style="243" min="6" max="6"/>
    <col width="13" customWidth="1" style="243" min="7" max="7"/>
    <col width="15" customWidth="1" style="243" min="8" max="8"/>
    <col width="48" customWidth="1" style="243" min="9" max="9"/>
    <col width="34" customWidth="1" style="243" min="10" max="10"/>
  </cols>
  <sheetData>
    <row r="1">
      <c r="A1" s="110" t="inlineStr">
        <is>
          <t>S.No</t>
        </is>
      </c>
      <c r="B1" s="110" t="inlineStr">
        <is>
          <t>Source Sheet</t>
        </is>
      </c>
      <c r="C1" s="110" t="inlineStr">
        <is>
          <t>Party Name</t>
        </is>
      </c>
      <c r="D1" s="110" t="inlineStr">
        <is>
          <t>Invoice Date</t>
        </is>
      </c>
      <c r="E1" s="110" t="inlineStr">
        <is>
          <t>Ref No</t>
        </is>
      </c>
      <c r="F1" s="110" t="inlineStr">
        <is>
          <t>Amount</t>
        </is>
      </c>
      <c r="G1" s="110" t="inlineStr">
        <is>
          <t>Due Date</t>
        </is>
      </c>
      <c r="H1" s="110" t="inlineStr">
        <is>
          <t>Days Overdue</t>
        </is>
      </c>
      <c r="I1" s="110" t="inlineStr">
        <is>
          <t>Remark/Follow-up</t>
        </is>
      </c>
      <c r="J1" s="110" t="inlineStr">
        <is>
          <t>Reason</t>
        </is>
      </c>
    </row>
    <row r="2">
      <c r="A2" t="n">
        <v>1</v>
      </c>
      <c r="B2" t="inlineStr">
        <is>
          <t>Mujahid</t>
        </is>
      </c>
      <c r="C2" t="inlineStr">
        <is>
          <t>BANNU ENTERPRISES</t>
        </is>
      </c>
      <c r="D2" t="inlineStr">
        <is>
          <t>2026-03-26</t>
        </is>
      </c>
      <c r="E2" t="inlineStr">
        <is>
          <t>C-SLG/2438/25-26</t>
        </is>
      </c>
      <c r="F2" t="n">
        <v>67462</v>
      </c>
      <c r="G2" t="inlineStr">
        <is>
          <t>2026-03-26</t>
        </is>
      </c>
      <c r="I2" t="inlineStr">
        <is>
          <t>DSO will Collect</t>
        </is>
      </c>
      <c r="J2" t="inlineStr">
        <is>
          <t>Dso Will Collect</t>
        </is>
      </c>
    </row>
    <row r="3">
      <c r="A3" t="n">
        <v>2</v>
      </c>
      <c r="B3" t="inlineStr">
        <is>
          <t>Mujahid</t>
        </is>
      </c>
      <c r="C3" t="inlineStr">
        <is>
          <t>Dynamic Computer &amp; Stationery</t>
        </is>
      </c>
      <c r="D3" t="inlineStr">
        <is>
          <t>2025-12-17</t>
        </is>
      </c>
      <c r="E3" t="inlineStr">
        <is>
          <t>C-SLG/1915/25-26</t>
        </is>
      </c>
      <c r="F3" t="n">
        <v>101670</v>
      </c>
      <c r="G3" t="inlineStr">
        <is>
          <t>2026-01-11</t>
        </is>
      </c>
      <c r="I3" t="inlineStr">
        <is>
          <t>DSO will Collect</t>
        </is>
      </c>
      <c r="J3" t="inlineStr">
        <is>
          <t>Dso Will Collect</t>
        </is>
      </c>
    </row>
    <row r="4">
      <c r="A4" t="n">
        <v>3</v>
      </c>
      <c r="B4" t="inlineStr">
        <is>
          <t>Mujahid</t>
        </is>
      </c>
      <c r="C4" t="inlineStr">
        <is>
          <t>Dynamic Computer &amp; Stationery</t>
        </is>
      </c>
      <c r="D4" t="inlineStr">
        <is>
          <t>2025-12-18</t>
        </is>
      </c>
      <c r="E4" t="inlineStr">
        <is>
          <t>C-SLG/1933/25-26</t>
        </is>
      </c>
      <c r="F4" t="n">
        <v>45784</v>
      </c>
      <c r="G4" t="inlineStr">
        <is>
          <t>2026-01-12</t>
        </is>
      </c>
      <c r="I4" t="inlineStr">
        <is>
          <t>DSO will Collect</t>
        </is>
      </c>
      <c r="J4" t="inlineStr">
        <is>
          <t>Dso Will Collect</t>
        </is>
      </c>
    </row>
    <row r="5">
      <c r="A5" t="n">
        <v>4</v>
      </c>
      <c r="B5" t="inlineStr">
        <is>
          <t>Mujahid</t>
        </is>
      </c>
      <c r="C5" t="inlineStr">
        <is>
          <t>Dynamic Computer &amp; Stationery</t>
        </is>
      </c>
      <c r="D5" t="inlineStr">
        <is>
          <t>2025-12-20</t>
        </is>
      </c>
      <c r="E5" t="inlineStr">
        <is>
          <t>C-SLG/1938/25-26</t>
        </is>
      </c>
      <c r="F5" t="n">
        <v>217599</v>
      </c>
      <c r="G5" t="inlineStr">
        <is>
          <t>2026-01-14</t>
        </is>
      </c>
      <c r="I5" t="inlineStr">
        <is>
          <t>DSO will Collect</t>
        </is>
      </c>
      <c r="J5" t="inlineStr">
        <is>
          <t>Dso Will Collect</t>
        </is>
      </c>
    </row>
    <row r="6">
      <c r="A6" t="n">
        <v>5</v>
      </c>
      <c r="B6" t="inlineStr">
        <is>
          <t>Mujahid</t>
        </is>
      </c>
      <c r="C6" t="inlineStr">
        <is>
          <t>Dynamic Computer &amp; Stationery</t>
        </is>
      </c>
      <c r="D6" t="inlineStr">
        <is>
          <t>2026-03-13</t>
        </is>
      </c>
      <c r="E6" t="inlineStr">
        <is>
          <t>C-SLG/2380/25-26</t>
        </is>
      </c>
      <c r="F6" t="n">
        <v>134125</v>
      </c>
      <c r="G6" t="inlineStr">
        <is>
          <t>2026-04-07</t>
        </is>
      </c>
      <c r="I6" t="inlineStr">
        <is>
          <t>DSO will Collect</t>
        </is>
      </c>
      <c r="J6" t="inlineStr">
        <is>
          <t>Dso Will Collect</t>
        </is>
      </c>
    </row>
    <row r="7">
      <c r="A7" t="n">
        <v>6</v>
      </c>
      <c r="B7" t="inlineStr">
        <is>
          <t>Mujahid</t>
        </is>
      </c>
      <c r="C7" t="inlineStr">
        <is>
          <t>Dynamic Computer &amp; Stationery</t>
        </is>
      </c>
      <c r="D7" t="inlineStr">
        <is>
          <t>2026-03-27</t>
        </is>
      </c>
      <c r="E7" t="inlineStr">
        <is>
          <t>C-SLG/2461/25-26</t>
        </is>
      </c>
      <c r="F7" t="n">
        <v>97809</v>
      </c>
      <c r="G7" t="inlineStr">
        <is>
          <t>2026-04-21</t>
        </is>
      </c>
      <c r="I7" t="inlineStr">
        <is>
          <t>DSO will Collect</t>
        </is>
      </c>
      <c r="J7" t="inlineStr">
        <is>
          <t>Dso Will Collect</t>
        </is>
      </c>
    </row>
    <row r="8">
      <c r="A8" t="n">
        <v>7</v>
      </c>
      <c r="B8" t="inlineStr">
        <is>
          <t>Mujahid</t>
        </is>
      </c>
      <c r="C8" t="inlineStr">
        <is>
          <t>Dynamic Computer &amp; Stationery</t>
        </is>
      </c>
      <c r="D8" t="inlineStr">
        <is>
          <t>2026-04-15</t>
        </is>
      </c>
      <c r="E8" t="inlineStr">
        <is>
          <t>C-SLG/0042/26-27</t>
        </is>
      </c>
      <c r="F8" t="n">
        <v>47335</v>
      </c>
      <c r="G8" t="inlineStr">
        <is>
          <t>2026-05-10</t>
        </is>
      </c>
      <c r="I8" t="inlineStr">
        <is>
          <t>DSO will Collect</t>
        </is>
      </c>
      <c r="J8" t="inlineStr">
        <is>
          <t>Dso Will Collect</t>
        </is>
      </c>
    </row>
    <row r="9">
      <c r="A9" t="n">
        <v>8</v>
      </c>
      <c r="B9" t="inlineStr">
        <is>
          <t>Mujahid</t>
        </is>
      </c>
      <c r="C9" t="inlineStr">
        <is>
          <t>RAJKAMAL AGENCIES</t>
        </is>
      </c>
      <c r="D9" t="inlineStr">
        <is>
          <t>2026-03-17</t>
        </is>
      </c>
      <c r="E9" t="inlineStr">
        <is>
          <t>C-SLG/2395/25-26</t>
        </is>
      </c>
      <c r="F9" t="n">
        <v>75814</v>
      </c>
      <c r="G9" t="inlineStr">
        <is>
          <t>2026-04-11</t>
        </is>
      </c>
      <c r="I9" t="inlineStr">
        <is>
          <t>Send DSO on Monday for Cheque Collection</t>
        </is>
      </c>
      <c r="J9" t="inlineStr">
        <is>
          <t>Send Dso</t>
        </is>
      </c>
    </row>
    <row r="10">
      <c r="A10" t="n">
        <v>9</v>
      </c>
      <c r="B10" t="inlineStr">
        <is>
          <t>Mujahid</t>
        </is>
      </c>
      <c r="C10" t="inlineStr">
        <is>
          <t>RAJ MARKETING</t>
        </is>
      </c>
      <c r="D10" t="inlineStr">
        <is>
          <t>2026-03-03</t>
        </is>
      </c>
      <c r="E10" t="inlineStr">
        <is>
          <t>C-SLG/2306/25-26</t>
        </is>
      </c>
      <c r="F10" t="n">
        <v>26307</v>
      </c>
      <c r="G10" t="inlineStr">
        <is>
          <t>2026-03-28</t>
        </is>
      </c>
      <c r="I10" t="inlineStr">
        <is>
          <t>Credit Note</t>
        </is>
      </c>
      <c r="J10" t="inlineStr">
        <is>
          <t>Credit Note</t>
        </is>
      </c>
    </row>
    <row r="11">
      <c r="A11" t="n">
        <v>10</v>
      </c>
      <c r="B11" t="inlineStr">
        <is>
          <t>Praveen</t>
        </is>
      </c>
      <c r="C11" t="inlineStr">
        <is>
          <t>Dachapally Book Centre</t>
        </is>
      </c>
      <c r="D11" t="inlineStr">
        <is>
          <t>2026-03-24</t>
        </is>
      </c>
      <c r="E11" t="inlineStr">
        <is>
          <t>C-SLG/2427/25-26</t>
        </is>
      </c>
      <c r="F11" t="n">
        <v>5152</v>
      </c>
      <c r="G11" t="inlineStr">
        <is>
          <t>2026-04-18</t>
        </is>
      </c>
      <c r="I11" t="inlineStr">
        <is>
          <t>No Number available - Send DSO</t>
        </is>
      </c>
      <c r="J11" t="inlineStr">
        <is>
          <t>Send Dso</t>
        </is>
      </c>
    </row>
    <row r="12">
      <c r="A12" t="n">
        <v>11</v>
      </c>
      <c r="B12" t="inlineStr">
        <is>
          <t>Praveen</t>
        </is>
      </c>
      <c r="C12" t="inlineStr">
        <is>
          <t>Deccan Book Depot and Stationery</t>
        </is>
      </c>
      <c r="D12" t="inlineStr">
        <is>
          <t>2026-02-16</t>
        </is>
      </c>
      <c r="E12" t="inlineStr">
        <is>
          <t>C-SLG/2235/25-26</t>
        </is>
      </c>
      <c r="F12" t="n">
        <v>2044</v>
      </c>
      <c r="G12" t="inlineStr">
        <is>
          <t>2026-03-13</t>
        </is>
      </c>
      <c r="I12" t="inlineStr">
        <is>
          <t>Send DSO with Sign Copies</t>
        </is>
      </c>
      <c r="J12" t="inlineStr">
        <is>
          <t>Send Dso</t>
        </is>
      </c>
    </row>
    <row r="13">
      <c r="A13" t="n">
        <v>12</v>
      </c>
      <c r="B13" t="inlineStr">
        <is>
          <t>Praveen</t>
        </is>
      </c>
      <c r="C13" t="inlineStr">
        <is>
          <t>Dilip Super Market (Manikonda)</t>
        </is>
      </c>
      <c r="D13" t="inlineStr">
        <is>
          <t>2026-03-07</t>
        </is>
      </c>
      <c r="E13" t="inlineStr">
        <is>
          <t>C-SLG/2344/25-26</t>
        </is>
      </c>
      <c r="F13" t="n">
        <v>2472</v>
      </c>
      <c r="G13" t="inlineStr">
        <is>
          <t>2026-04-01</t>
        </is>
      </c>
      <c r="I13" t="inlineStr">
        <is>
          <t>He will inform to his Sir | Next month send DSO for Cash - Customer Out of Stati</t>
        </is>
      </c>
      <c r="J13" t="inlineStr">
        <is>
          <t>Send Dso, Dso For</t>
        </is>
      </c>
    </row>
    <row r="14">
      <c r="A14" t="n">
        <v>13</v>
      </c>
      <c r="B14" t="inlineStr">
        <is>
          <t>Praveen</t>
        </is>
      </c>
      <c r="C14" t="inlineStr">
        <is>
          <t>Kaanuka Collection</t>
        </is>
      </c>
      <c r="D14" t="inlineStr">
        <is>
          <t>2025-09-15</t>
        </is>
      </c>
      <c r="E14" t="inlineStr">
        <is>
          <t>C-SLG/1203/25-26</t>
        </is>
      </c>
      <c r="F14" t="n">
        <v>1771</v>
      </c>
      <c r="G14" t="inlineStr">
        <is>
          <t>2025-10-10</t>
        </is>
      </c>
      <c r="I14" t="inlineStr">
        <is>
          <t>Credit Note</t>
        </is>
      </c>
      <c r="J14" t="inlineStr">
        <is>
          <t>Credit Note</t>
        </is>
      </c>
    </row>
    <row r="15">
      <c r="A15" t="n">
        <v>14</v>
      </c>
      <c r="B15" t="inlineStr">
        <is>
          <t>Praveen</t>
        </is>
      </c>
      <c r="C15" t="inlineStr">
        <is>
          <t>MARUTHI ENTERPRISES</t>
        </is>
      </c>
      <c r="D15" t="inlineStr">
        <is>
          <t>2026-03-26</t>
        </is>
      </c>
      <c r="E15" t="inlineStr">
        <is>
          <t>C-SLG/2440/25-26</t>
        </is>
      </c>
      <c r="F15" t="n">
        <v>8855</v>
      </c>
      <c r="G15" t="inlineStr">
        <is>
          <t>2026-04-20</t>
        </is>
      </c>
      <c r="I15" t="inlineStr">
        <is>
          <t>This Saturday - Send DSO for cheque collection | Send DSO on Saturday for Paymen</t>
        </is>
      </c>
      <c r="J15" t="inlineStr">
        <is>
          <t>Send Dso, Dso For</t>
        </is>
      </c>
    </row>
    <row r="16">
      <c r="A16" t="n">
        <v>15</v>
      </c>
      <c r="B16" t="inlineStr">
        <is>
          <t>Praveen</t>
        </is>
      </c>
      <c r="C16" t="inlineStr">
        <is>
          <t>Nagesh Stationery &amp; Xerox</t>
        </is>
      </c>
      <c r="D16" t="inlineStr">
        <is>
          <t>2025-11-07</t>
        </is>
      </c>
      <c r="E16" t="inlineStr">
        <is>
          <t>C-SLG/1619/25-26</t>
        </is>
      </c>
      <c r="F16" t="n">
        <v>1680</v>
      </c>
      <c r="G16" t="inlineStr">
        <is>
          <t>2025-12-02</t>
        </is>
      </c>
      <c r="I16" t="inlineStr">
        <is>
          <t>Customer Out of Station | Friday/Saturday - Stock Return</t>
        </is>
      </c>
      <c r="J16" t="inlineStr">
        <is>
          <t>Stock Return</t>
        </is>
      </c>
    </row>
    <row r="17">
      <c r="A17" t="n">
        <v>16</v>
      </c>
      <c r="B17" t="inlineStr">
        <is>
          <t>Praveen</t>
        </is>
      </c>
      <c r="C17" t="inlineStr">
        <is>
          <t>NavDurga Stationery</t>
        </is>
      </c>
      <c r="D17" t="inlineStr">
        <is>
          <t>2026-03-16</t>
        </is>
      </c>
      <c r="E17" t="inlineStr">
        <is>
          <t>C-SLG/2389/25-26</t>
        </is>
      </c>
      <c r="F17" t="n">
        <v>6289</v>
      </c>
      <c r="G17" t="inlineStr">
        <is>
          <t>2026-04-10</t>
        </is>
      </c>
      <c r="I17" t="inlineStr">
        <is>
          <t>Customer is saying NO outstanding - Send DSO</t>
        </is>
      </c>
      <c r="J17" t="inlineStr">
        <is>
          <t>Send Dso</t>
        </is>
      </c>
    </row>
    <row r="18">
      <c r="A18" t="n">
        <v>17</v>
      </c>
      <c r="B18" t="inlineStr">
        <is>
          <t>Praveen</t>
        </is>
      </c>
      <c r="C18" t="inlineStr">
        <is>
          <t>Popular Book House</t>
        </is>
      </c>
      <c r="D18" t="inlineStr">
        <is>
          <t>2026-03-07</t>
        </is>
      </c>
      <c r="E18" t="inlineStr">
        <is>
          <t>C-SLG/2348/25-26</t>
        </is>
      </c>
      <c r="F18" t="n">
        <v>15106</v>
      </c>
      <c r="G18" t="inlineStr">
        <is>
          <t>2026-04-01</t>
        </is>
      </c>
      <c r="I18" t="inlineStr">
        <is>
          <t>Send DSO with Signed Copies</t>
        </is>
      </c>
      <c r="J18" t="inlineStr">
        <is>
          <t>Send Dso</t>
        </is>
      </c>
    </row>
    <row r="19">
      <c r="A19" t="n">
        <v>18</v>
      </c>
      <c r="B19" t="inlineStr">
        <is>
          <t>Praveen</t>
        </is>
      </c>
      <c r="C19" t="inlineStr">
        <is>
          <t>RR HOSIPATALITY SERVICES</t>
        </is>
      </c>
      <c r="D19" t="inlineStr">
        <is>
          <t>2026-01-24</t>
        </is>
      </c>
      <c r="E19" t="inlineStr">
        <is>
          <t>C-SLG/2102/25-26</t>
        </is>
      </c>
      <c r="F19" t="n">
        <v>49017</v>
      </c>
      <c r="G19" t="inlineStr">
        <is>
          <t>2026-02-18</t>
        </is>
      </c>
      <c r="I19" t="inlineStr">
        <is>
          <t>Stock Returned to Nujeed</t>
        </is>
      </c>
      <c r="J19" t="inlineStr">
        <is>
          <t>Stock Return</t>
        </is>
      </c>
    </row>
    <row r="20">
      <c r="A20" t="n">
        <v>19</v>
      </c>
      <c r="B20" t="inlineStr">
        <is>
          <t>Praveen</t>
        </is>
      </c>
      <c r="C20" t="inlineStr">
        <is>
          <t>Shiva Book Stall</t>
        </is>
      </c>
      <c r="D20" t="inlineStr">
        <is>
          <t>2026-02-23</t>
        </is>
      </c>
      <c r="E20" t="inlineStr">
        <is>
          <t>C-SLG/2269/25-26</t>
        </is>
      </c>
      <c r="F20" t="n">
        <v>9399</v>
      </c>
      <c r="G20" t="inlineStr">
        <is>
          <t>2026-03-20</t>
        </is>
      </c>
      <c r="I20" t="inlineStr">
        <is>
          <t>Some Issue - Send DSO | Stock Return</t>
        </is>
      </c>
      <c r="J20" t="inlineStr">
        <is>
          <t>Stock Return, Send Dso</t>
        </is>
      </c>
    </row>
    <row r="21">
      <c r="A21" t="n">
        <v>20</v>
      </c>
      <c r="B21" t="inlineStr">
        <is>
          <t>Praveen</t>
        </is>
      </c>
      <c r="C21" t="inlineStr">
        <is>
          <t>SRI RAKHI BOOK CENTER</t>
        </is>
      </c>
      <c r="D21" t="inlineStr">
        <is>
          <t>2026-01-30</t>
        </is>
      </c>
      <c r="E21" t="inlineStr">
        <is>
          <t>C-SLG/2148/25-26</t>
        </is>
      </c>
      <c r="F21" t="n">
        <v>25760</v>
      </c>
      <c r="G21" t="inlineStr">
        <is>
          <t>2026-02-24</t>
        </is>
      </c>
      <c r="I21" t="inlineStr">
        <is>
          <t>Send DSO for Stock Return Collection</t>
        </is>
      </c>
      <c r="J21" t="inlineStr">
        <is>
          <t>Stock Return, Send Dso, Dso For</t>
        </is>
      </c>
    </row>
    <row r="22">
      <c r="A22" t="n">
        <v>21</v>
      </c>
      <c r="B22" t="inlineStr">
        <is>
          <t>Praveen</t>
        </is>
      </c>
      <c r="C22" t="inlineStr">
        <is>
          <t>TRIBHUVAN BOOKS &amp; STATIONERY</t>
        </is>
      </c>
      <c r="D22" t="inlineStr">
        <is>
          <t>2026-03-26</t>
        </is>
      </c>
      <c r="E22" t="inlineStr">
        <is>
          <t>C-SLG/2445/25-26</t>
        </is>
      </c>
      <c r="F22" t="n">
        <v>28248</v>
      </c>
      <c r="G22" t="inlineStr">
        <is>
          <t>2026-04-20</t>
        </is>
      </c>
      <c r="I22" t="inlineStr">
        <is>
          <t>Send DSO with Bill</t>
        </is>
      </c>
      <c r="J22" t="inlineStr">
        <is>
          <t>Send Dso</t>
        </is>
      </c>
    </row>
    <row r="23">
      <c r="A23" t="n">
        <v>22</v>
      </c>
      <c r="B23" t="inlineStr">
        <is>
          <t>Praveen</t>
        </is>
      </c>
      <c r="C23" t="inlineStr">
        <is>
          <t>Vidya Book Point(Vijaynagar Colony)</t>
        </is>
      </c>
      <c r="D23" t="inlineStr">
        <is>
          <t>2026-02-06</t>
        </is>
      </c>
      <c r="E23" t="inlineStr">
        <is>
          <t>C-SLG/2187/25-26</t>
        </is>
      </c>
      <c r="F23" t="n">
        <v>9634</v>
      </c>
      <c r="G23" t="inlineStr">
        <is>
          <t>2026-03-03</t>
        </is>
      </c>
      <c r="I23" t="inlineStr">
        <is>
          <t>Send DSO with Bills</t>
        </is>
      </c>
      <c r="J23" t="inlineStr">
        <is>
          <t>Send Dso</t>
        </is>
      </c>
    </row>
    <row r="24">
      <c r="A24" t="n">
        <v>23</v>
      </c>
      <c r="B24" t="inlineStr">
        <is>
          <t>Praveen</t>
        </is>
      </c>
      <c r="C24" t="inlineStr">
        <is>
          <t>Vidya Book Point(Vijaynagar Colony)</t>
        </is>
      </c>
      <c r="D24" t="inlineStr">
        <is>
          <t>2026-03-07</t>
        </is>
      </c>
      <c r="E24" t="inlineStr">
        <is>
          <t>C-SLG/2345/25-26</t>
        </is>
      </c>
      <c r="F24" t="n">
        <v>4466</v>
      </c>
      <c r="G24" t="inlineStr">
        <is>
          <t>2026-04-01</t>
        </is>
      </c>
      <c r="I24" t="inlineStr">
        <is>
          <t>Send DSO with Bills</t>
        </is>
      </c>
      <c r="J24" t="inlineStr">
        <is>
          <t>Send Dso</t>
        </is>
      </c>
    </row>
    <row r="25">
      <c r="A25" t="n">
        <v>24</v>
      </c>
      <c r="B25" t="inlineStr">
        <is>
          <t>Vinod</t>
        </is>
      </c>
      <c r="C25" t="inlineStr">
        <is>
          <t>Sri Chamunda Stationery</t>
        </is>
      </c>
      <c r="D25" t="inlineStr">
        <is>
          <t>2026-02-09</t>
        </is>
      </c>
      <c r="E25" t="inlineStr">
        <is>
          <t>C-SLG/2204/25-26</t>
        </is>
      </c>
      <c r="F25" t="n">
        <v>2852</v>
      </c>
      <c r="G25" t="inlineStr">
        <is>
          <t>2026-03-06</t>
        </is>
      </c>
      <c r="I25" t="inlineStr">
        <is>
          <t>DSO will Collect</t>
        </is>
      </c>
      <c r="J25" t="inlineStr">
        <is>
          <t>Dso Will Collect</t>
        </is>
      </c>
    </row>
    <row r="26">
      <c r="A26" t="n">
        <v>25</v>
      </c>
      <c r="B26" t="inlineStr">
        <is>
          <t>Vinod</t>
        </is>
      </c>
      <c r="C26" t="inlineStr">
        <is>
          <t>Sri Venkatheswara Book World</t>
        </is>
      </c>
      <c r="D26" t="inlineStr">
        <is>
          <t>2026-03-18</t>
        </is>
      </c>
      <c r="E26" t="inlineStr">
        <is>
          <t>C-SLG/2406/25-26</t>
        </is>
      </c>
      <c r="F26" t="n">
        <v>104942</v>
      </c>
      <c r="G26" t="inlineStr">
        <is>
          <t>2026-04-12</t>
        </is>
      </c>
      <c r="I26" t="inlineStr">
        <is>
          <t>Not Responding - Send DSO</t>
        </is>
      </c>
      <c r="J26" t="inlineStr">
        <is>
          <t>Send Dso</t>
        </is>
      </c>
    </row>
    <row r="27">
      <c r="A27" t="n">
        <v>26</v>
      </c>
      <c r="B27" t="inlineStr">
        <is>
          <t>Watches</t>
        </is>
      </c>
      <c r="C27" t="inlineStr">
        <is>
          <t>C. Ramchander Watch Co.</t>
        </is>
      </c>
      <c r="D27" t="inlineStr">
        <is>
          <t>2026-05-02</t>
        </is>
      </c>
      <c r="E27" t="inlineStr">
        <is>
          <t>SLGCW/46/26-27</t>
        </is>
      </c>
      <c r="F27" t="n">
        <v>1400</v>
      </c>
      <c r="G27" t="inlineStr">
        <is>
          <t>2026-05-02</t>
        </is>
      </c>
      <c r="I27" t="inlineStr">
        <is>
          <t>We need to give Credit Note</t>
        </is>
      </c>
      <c r="J27" t="inlineStr">
        <is>
          <t>Credit Note</t>
        </is>
      </c>
    </row>
    <row r="28">
      <c r="A28" t="n">
        <v>27</v>
      </c>
      <c r="B28" t="inlineStr">
        <is>
          <t>Watches</t>
        </is>
      </c>
      <c r="C28" t="inlineStr">
        <is>
          <t>KHALEEL WATCH CO.</t>
        </is>
      </c>
      <c r="D28" t="inlineStr">
        <is>
          <t>2025-02-28</t>
        </is>
      </c>
      <c r="E28" t="inlineStr">
        <is>
          <t>SLGCW/1077/24-25</t>
        </is>
      </c>
      <c r="F28" t="n">
        <v>159.67</v>
      </c>
      <c r="G28" t="inlineStr">
        <is>
          <t>2025-02-28</t>
        </is>
      </c>
      <c r="I28" t="inlineStr">
        <is>
          <t>Sponge Not recived - Send DSO</t>
        </is>
      </c>
      <c r="J28" t="inlineStr">
        <is>
          <t>Send Dso, Sponge Not</t>
        </is>
      </c>
    </row>
    <row r="29">
      <c r="A29" t="n">
        <v>28</v>
      </c>
      <c r="B29" t="inlineStr">
        <is>
          <t>Watches</t>
        </is>
      </c>
      <c r="C29" t="inlineStr">
        <is>
          <t>RAMESH WATCH CO PVT LTD K-INORBIT</t>
        </is>
      </c>
      <c r="D29" t="inlineStr">
        <is>
          <t>2026-01-22</t>
        </is>
      </c>
      <c r="E29" t="inlineStr">
        <is>
          <t>SLGCW/1138/25-26</t>
        </is>
      </c>
      <c r="F29" t="n">
        <v>74393</v>
      </c>
      <c r="G29" t="inlineStr">
        <is>
          <t>2026-03-08</t>
        </is>
      </c>
      <c r="I29" t="inlineStr">
        <is>
          <t>DSO will collect</t>
        </is>
      </c>
      <c r="J29" t="inlineStr">
        <is>
          <t>Dso Will Collect</t>
        </is>
      </c>
    </row>
    <row r="30">
      <c r="A30" t="n">
        <v>29</v>
      </c>
      <c r="B30" t="inlineStr">
        <is>
          <t>Watches</t>
        </is>
      </c>
      <c r="C30" t="inlineStr">
        <is>
          <t>RAMESH WATCH CO PVT LTD K-INORBIT</t>
        </is>
      </c>
      <c r="D30" t="inlineStr">
        <is>
          <t>2026-01-23</t>
        </is>
      </c>
      <c r="E30" t="inlineStr">
        <is>
          <t>SLGCW/1150/25-26</t>
        </is>
      </c>
      <c r="F30" t="n">
        <v>263334</v>
      </c>
      <c r="G30" t="inlineStr">
        <is>
          <t>2026-03-09</t>
        </is>
      </c>
      <c r="I30" t="inlineStr">
        <is>
          <t>DSO will collect</t>
        </is>
      </c>
      <c r="J30" t="inlineStr">
        <is>
          <t>Dso Will Collect</t>
        </is>
      </c>
    </row>
    <row r="31">
      <c r="A31" t="n">
        <v>30</v>
      </c>
      <c r="B31" t="inlineStr">
        <is>
          <t>Watches</t>
        </is>
      </c>
      <c r="C31" t="inlineStr">
        <is>
          <t>RAMESH WATCH CO PVT LTD K-INORBIT</t>
        </is>
      </c>
      <c r="D31" t="inlineStr">
        <is>
          <t>2026-01-23</t>
        </is>
      </c>
      <c r="E31" t="inlineStr">
        <is>
          <t>SLGCW/1147/25-26</t>
        </is>
      </c>
      <c r="F31" t="n">
        <v>60364</v>
      </c>
      <c r="G31" t="inlineStr">
        <is>
          <t>2026-03-09</t>
        </is>
      </c>
      <c r="I31" t="inlineStr">
        <is>
          <t>DSO will collect</t>
        </is>
      </c>
      <c r="J31" t="inlineStr">
        <is>
          <t>Dso Will Collect</t>
        </is>
      </c>
    </row>
    <row r="32">
      <c r="A32" t="n">
        <v>31</v>
      </c>
      <c r="B32" t="inlineStr">
        <is>
          <t>Watches</t>
        </is>
      </c>
      <c r="C32" t="inlineStr">
        <is>
          <t>RAMESH WATCH CO PVT LTD K-INORBIT</t>
        </is>
      </c>
      <c r="D32" t="inlineStr">
        <is>
          <t>2026-01-23</t>
        </is>
      </c>
      <c r="E32" t="inlineStr">
        <is>
          <t>SLGCW/1149/25-26</t>
        </is>
      </c>
      <c r="F32" t="n">
        <v>30132</v>
      </c>
      <c r="G32" t="inlineStr">
        <is>
          <t>2026-03-09</t>
        </is>
      </c>
      <c r="I32" t="inlineStr">
        <is>
          <t>DSO will collect</t>
        </is>
      </c>
      <c r="J32" t="inlineStr">
        <is>
          <t>Dso Will Collect</t>
        </is>
      </c>
    </row>
    <row r="33">
      <c r="A33" t="n">
        <v>32</v>
      </c>
      <c r="B33" t="inlineStr">
        <is>
          <t>Watches</t>
        </is>
      </c>
      <c r="C33" t="inlineStr">
        <is>
          <t>RAMESH WATCH CO PVT LTD K-INORBIT</t>
        </is>
      </c>
      <c r="D33" t="inlineStr">
        <is>
          <t>2026-02-02</t>
        </is>
      </c>
      <c r="E33" t="inlineStr">
        <is>
          <t>SLGCW/1188/25-26</t>
        </is>
      </c>
      <c r="F33" t="n">
        <v>304908</v>
      </c>
      <c r="G33" t="inlineStr">
        <is>
          <t>2026-03-19</t>
        </is>
      </c>
      <c r="I33" t="inlineStr">
        <is>
          <t>DSO will collect</t>
        </is>
      </c>
      <c r="J33" t="inlineStr">
        <is>
          <t>Dso Will Collect</t>
        </is>
      </c>
    </row>
    <row r="34">
      <c r="A34" t="n">
        <v>33</v>
      </c>
      <c r="B34" t="inlineStr">
        <is>
          <t>Watches</t>
        </is>
      </c>
      <c r="C34" t="inlineStr">
        <is>
          <t>RAMESH WATCH CO PVT LTD K-INORBIT</t>
        </is>
      </c>
      <c r="D34" t="inlineStr">
        <is>
          <t>2026-02-14</t>
        </is>
      </c>
      <c r="E34" t="inlineStr">
        <is>
          <t>SLGCW/1226/25-26</t>
        </is>
      </c>
      <c r="F34" t="n">
        <v>51332</v>
      </c>
      <c r="G34" t="inlineStr">
        <is>
          <t>2026-03-31</t>
        </is>
      </c>
      <c r="I34" t="inlineStr">
        <is>
          <t>DSO will collect</t>
        </is>
      </c>
      <c r="J34" t="inlineStr">
        <is>
          <t>Dso Will Collect</t>
        </is>
      </c>
    </row>
    <row r="35">
      <c r="A35" t="n">
        <v>34</v>
      </c>
      <c r="B35" t="inlineStr">
        <is>
          <t>Watches</t>
        </is>
      </c>
      <c r="C35" t="inlineStr">
        <is>
          <t>RAMESH WATCH CO PVT LTD K-INORBIT</t>
        </is>
      </c>
      <c r="D35" t="inlineStr">
        <is>
          <t>2026-02-23</t>
        </is>
      </c>
      <c r="E35" t="inlineStr">
        <is>
          <t>SLGCW/1233/25-26</t>
        </is>
      </c>
      <c r="F35" t="n">
        <v>11979</v>
      </c>
      <c r="G35" t="inlineStr">
        <is>
          <t>2026-04-09</t>
        </is>
      </c>
      <c r="I35" t="inlineStr">
        <is>
          <t>DSO will collect</t>
        </is>
      </c>
      <c r="J35" t="inlineStr">
        <is>
          <t>Dso Will Collect</t>
        </is>
      </c>
    </row>
    <row r="36">
      <c r="A36" t="n">
        <v>35</v>
      </c>
      <c r="B36" t="inlineStr">
        <is>
          <t>Watches</t>
        </is>
      </c>
      <c r="C36" t="inlineStr">
        <is>
          <t>RAMESH WATCH CO PVT LTD K-INORBIT</t>
        </is>
      </c>
      <c r="D36" t="inlineStr">
        <is>
          <t>2026-02-23</t>
        </is>
      </c>
      <c r="E36" t="inlineStr">
        <is>
          <t>SLGCW/1235/25-26</t>
        </is>
      </c>
      <c r="F36" t="n">
        <v>6291</v>
      </c>
      <c r="G36" t="inlineStr">
        <is>
          <t>2026-04-09</t>
        </is>
      </c>
      <c r="I36" t="inlineStr">
        <is>
          <t>DSO will collect</t>
        </is>
      </c>
      <c r="J36" t="inlineStr">
        <is>
          <t>Dso Will Collect</t>
        </is>
      </c>
    </row>
    <row r="37">
      <c r="A37" t="n">
        <v>36</v>
      </c>
      <c r="B37" t="inlineStr">
        <is>
          <t>Watches</t>
        </is>
      </c>
      <c r="C37" t="inlineStr">
        <is>
          <t>RAMESH WATCH CO PVT LTD K-INORBIT</t>
        </is>
      </c>
      <c r="D37" t="inlineStr">
        <is>
          <t>2026-02-23</t>
        </is>
      </c>
      <c r="E37" t="inlineStr">
        <is>
          <t>SLGCW/1236/25-26</t>
        </is>
      </c>
      <c r="F37" t="n">
        <v>7296</v>
      </c>
      <c r="G37" t="inlineStr">
        <is>
          <t>2026-04-09</t>
        </is>
      </c>
      <c r="I37" t="inlineStr">
        <is>
          <t>DSO will collect</t>
        </is>
      </c>
      <c r="J37" t="inlineStr">
        <is>
          <t>Dso Will Collect</t>
        </is>
      </c>
    </row>
    <row r="38">
      <c r="A38" t="n">
        <v>37</v>
      </c>
      <c r="B38" t="inlineStr">
        <is>
          <t>Watches</t>
        </is>
      </c>
      <c r="C38" t="inlineStr">
        <is>
          <t>RAMESH WATCH CO PVT LTD K-INORBIT</t>
        </is>
      </c>
      <c r="D38" t="inlineStr">
        <is>
          <t>2026-03-09</t>
        </is>
      </c>
      <c r="E38" t="inlineStr">
        <is>
          <t>SLGCW/1247/25-26</t>
        </is>
      </c>
      <c r="F38" t="n">
        <v>17417</v>
      </c>
      <c r="G38" t="inlineStr">
        <is>
          <t>2026-04-23</t>
        </is>
      </c>
      <c r="I38" t="inlineStr">
        <is>
          <t>DSO will collect</t>
        </is>
      </c>
      <c r="J38" t="inlineStr">
        <is>
          <t>Dso Will Collect</t>
        </is>
      </c>
    </row>
    <row r="39">
      <c r="A39" t="n">
        <v>38</v>
      </c>
      <c r="B39" t="inlineStr">
        <is>
          <t>Watches</t>
        </is>
      </c>
      <c r="C39" t="inlineStr">
        <is>
          <t>RAMESH WATCH CO PVT LTD K-INORBIT</t>
        </is>
      </c>
      <c r="D39" t="inlineStr">
        <is>
          <t>2026-04-09</t>
        </is>
      </c>
      <c r="E39" t="inlineStr">
        <is>
          <t>SLGCW/1/26-27</t>
        </is>
      </c>
      <c r="F39" t="n">
        <v>188677</v>
      </c>
      <c r="G39" t="inlineStr">
        <is>
          <t>2026-05-24</t>
        </is>
      </c>
      <c r="I39" t="inlineStr">
        <is>
          <t>DSO will collect</t>
        </is>
      </c>
      <c r="J39" t="inlineStr">
        <is>
          <t>Dso Will Collect</t>
        </is>
      </c>
    </row>
    <row r="40">
      <c r="A40" t="n">
        <v>39</v>
      </c>
      <c r="B40" t="inlineStr">
        <is>
          <t>Watches</t>
        </is>
      </c>
      <c r="C40" t="inlineStr">
        <is>
          <t>RAMESH WATCH CO PVT LTD K-INORBIT</t>
        </is>
      </c>
      <c r="D40" t="inlineStr">
        <is>
          <t>2026-04-09</t>
        </is>
      </c>
      <c r="E40" t="inlineStr">
        <is>
          <t>SLGCW/2/26-27</t>
        </is>
      </c>
      <c r="F40" t="n">
        <v>125895</v>
      </c>
      <c r="G40" t="inlineStr">
        <is>
          <t>2026-05-24</t>
        </is>
      </c>
      <c r="I40" t="inlineStr">
        <is>
          <t>DSO will collect</t>
        </is>
      </c>
      <c r="J40" t="inlineStr">
        <is>
          <t>Dso Will Collect</t>
        </is>
      </c>
    </row>
    <row r="41">
      <c r="A41" t="n">
        <v>40</v>
      </c>
      <c r="B41" t="inlineStr">
        <is>
          <t>Watches</t>
        </is>
      </c>
      <c r="C41" t="inlineStr">
        <is>
          <t>RAMESH WATCH CO PVT LTD K-INORBIT</t>
        </is>
      </c>
      <c r="D41" t="inlineStr">
        <is>
          <t>2026-04-09</t>
        </is>
      </c>
      <c r="E41" t="inlineStr">
        <is>
          <t>SLGCW/3/26-27</t>
        </is>
      </c>
      <c r="F41" t="n">
        <v>176081</v>
      </c>
      <c r="G41" t="inlineStr">
        <is>
          <t>2026-05-24</t>
        </is>
      </c>
      <c r="I41" t="inlineStr">
        <is>
          <t>DSO will collect</t>
        </is>
      </c>
      <c r="J41" t="inlineStr">
        <is>
          <t>Dso Will Collect</t>
        </is>
      </c>
    </row>
    <row r="42">
      <c r="A42" t="n">
        <v>41</v>
      </c>
      <c r="B42" t="inlineStr">
        <is>
          <t>Watches</t>
        </is>
      </c>
      <c r="C42" t="inlineStr">
        <is>
          <t>RAMESH WATCH CO PVT LTD K-INORBIT</t>
        </is>
      </c>
      <c r="D42" t="inlineStr">
        <is>
          <t>2026-04-09</t>
        </is>
      </c>
      <c r="E42" t="inlineStr">
        <is>
          <t>SLGCW/4/26-27</t>
        </is>
      </c>
      <c r="F42" t="n">
        <v>101373</v>
      </c>
      <c r="G42" t="inlineStr">
        <is>
          <t>2026-05-24</t>
        </is>
      </c>
      <c r="I42" t="inlineStr">
        <is>
          <t>DSO will collect</t>
        </is>
      </c>
      <c r="J42" t="inlineStr">
        <is>
          <t>Dso Will Collect</t>
        </is>
      </c>
    </row>
    <row r="43">
      <c r="A43" t="n">
        <v>42</v>
      </c>
      <c r="B43" t="inlineStr">
        <is>
          <t>Watches</t>
        </is>
      </c>
      <c r="C43" t="inlineStr">
        <is>
          <t>RAMESH WATCH CO PVT LTD K-INORBIT</t>
        </is>
      </c>
      <c r="D43" t="inlineStr">
        <is>
          <t>2026-04-09</t>
        </is>
      </c>
      <c r="E43" t="inlineStr">
        <is>
          <t>SLGCW/5/26-27</t>
        </is>
      </c>
      <c r="F43" t="n">
        <v>16740</v>
      </c>
      <c r="G43" t="inlineStr">
        <is>
          <t>2026-05-24</t>
        </is>
      </c>
      <c r="I43" t="inlineStr">
        <is>
          <t>DSO will collect</t>
        </is>
      </c>
      <c r="J43" t="inlineStr">
        <is>
          <t>Dso Will Collect</t>
        </is>
      </c>
    </row>
    <row r="44">
      <c r="A44" t="n">
        <v>43</v>
      </c>
      <c r="B44" t="inlineStr">
        <is>
          <t>Watches</t>
        </is>
      </c>
      <c r="C44" t="inlineStr">
        <is>
          <t>RAMESH WATCH CO PVT LTD K-INORBIT</t>
        </is>
      </c>
      <c r="D44" t="inlineStr">
        <is>
          <t>2026-04-09</t>
        </is>
      </c>
      <c r="E44" t="inlineStr">
        <is>
          <t>SLGCW/6/26-27</t>
        </is>
      </c>
      <c r="F44" t="n">
        <v>34833</v>
      </c>
      <c r="G44" t="inlineStr">
        <is>
          <t>2026-05-24</t>
        </is>
      </c>
      <c r="I44" t="inlineStr">
        <is>
          <t>DSO will collect</t>
        </is>
      </c>
      <c r="J44" t="inlineStr">
        <is>
          <t>Dso Will Collect</t>
        </is>
      </c>
    </row>
    <row r="45">
      <c r="A45" t="n">
        <v>44</v>
      </c>
      <c r="B45" t="inlineStr">
        <is>
          <t>Watches</t>
        </is>
      </c>
      <c r="C45" t="inlineStr">
        <is>
          <t>RAMESH WATCH CO PVT LTD K-INORBIT</t>
        </is>
      </c>
      <c r="D45" t="inlineStr">
        <is>
          <t>2026-04-09</t>
        </is>
      </c>
      <c r="E45" t="inlineStr">
        <is>
          <t>SLGCW/7/26-27</t>
        </is>
      </c>
      <c r="F45" t="n">
        <v>743415</v>
      </c>
      <c r="G45" t="inlineStr">
        <is>
          <t>2026-05-24</t>
        </is>
      </c>
      <c r="I45" t="inlineStr">
        <is>
          <t>DSO will collect</t>
        </is>
      </c>
      <c r="J45" t="inlineStr">
        <is>
          <t>Dso Will Collect</t>
        </is>
      </c>
    </row>
    <row r="46">
      <c r="A46" t="n">
        <v>45</v>
      </c>
      <c r="B46" t="inlineStr">
        <is>
          <t>Watches</t>
        </is>
      </c>
      <c r="C46" t="inlineStr">
        <is>
          <t>RAMESH WATCH CO PVT LTD K-INORBIT</t>
        </is>
      </c>
      <c r="D46" t="inlineStr">
        <is>
          <t>2026-04-09</t>
        </is>
      </c>
      <c r="E46" t="inlineStr">
        <is>
          <t>SLGCW/8/26-27</t>
        </is>
      </c>
      <c r="F46" t="n">
        <v>371398</v>
      </c>
      <c r="G46" t="inlineStr">
        <is>
          <t>2026-05-24</t>
        </is>
      </c>
      <c r="I46" t="inlineStr">
        <is>
          <t>DSO will collect</t>
        </is>
      </c>
      <c r="J46" t="inlineStr">
        <is>
          <t>Dso Will Collect</t>
        </is>
      </c>
    </row>
    <row r="47">
      <c r="A47" t="n">
        <v>46</v>
      </c>
      <c r="B47" t="inlineStr">
        <is>
          <t>Watches</t>
        </is>
      </c>
      <c r="C47" t="inlineStr">
        <is>
          <t>RAMESH WATCH CO PVT LTD K-INORBIT</t>
        </is>
      </c>
      <c r="D47" t="inlineStr">
        <is>
          <t>2026-04-25</t>
        </is>
      </c>
      <c r="E47" t="inlineStr">
        <is>
          <t>SLGCW/22/26-27</t>
        </is>
      </c>
      <c r="F47" t="n">
        <v>111145</v>
      </c>
      <c r="G47" t="inlineStr">
        <is>
          <t>2026-06-09</t>
        </is>
      </c>
      <c r="I47" t="inlineStr">
        <is>
          <t>DSO will collect</t>
        </is>
      </c>
      <c r="J47" t="inlineStr">
        <is>
          <t>Dso Will Collect</t>
        </is>
      </c>
    </row>
    <row r="48">
      <c r="A48" t="n">
        <v>47</v>
      </c>
      <c r="B48" t="inlineStr">
        <is>
          <t>Watches</t>
        </is>
      </c>
      <c r="C48" t="inlineStr">
        <is>
          <t>RAMESH WATCH CO PVT LTD K-INORBIT</t>
        </is>
      </c>
      <c r="D48" t="inlineStr">
        <is>
          <t>2026-04-25</t>
        </is>
      </c>
      <c r="E48" t="inlineStr">
        <is>
          <t>SLGCW/23/26-27</t>
        </is>
      </c>
      <c r="F48" t="n">
        <v>119259</v>
      </c>
      <c r="G48" t="inlineStr">
        <is>
          <t>2026-06-09</t>
        </is>
      </c>
      <c r="I48" t="inlineStr">
        <is>
          <t>DSO will collect</t>
        </is>
      </c>
      <c r="J48" t="inlineStr">
        <is>
          <t>Dso Will Collect</t>
        </is>
      </c>
    </row>
    <row r="49">
      <c r="A49" t="n">
        <v>48</v>
      </c>
      <c r="B49" t="inlineStr">
        <is>
          <t>Watches</t>
        </is>
      </c>
      <c r="C49" t="inlineStr">
        <is>
          <t>RAMESH WATCH CO PVT LTD K-INORBIT</t>
        </is>
      </c>
      <c r="D49" t="inlineStr">
        <is>
          <t>2026-04-27</t>
        </is>
      </c>
      <c r="E49" t="inlineStr">
        <is>
          <t>SLGCW/28/26-27</t>
        </is>
      </c>
      <c r="F49" t="n">
        <v>547720</v>
      </c>
      <c r="G49" t="inlineStr">
        <is>
          <t>2026-04-28</t>
        </is>
      </c>
      <c r="I49" t="inlineStr">
        <is>
          <t>DSO will collect</t>
        </is>
      </c>
      <c r="J49" t="inlineStr">
        <is>
          <t>Dso Will Collect</t>
        </is>
      </c>
    </row>
    <row r="50">
      <c r="A50" t="n">
        <v>49</v>
      </c>
      <c r="B50" t="inlineStr">
        <is>
          <t>Watches</t>
        </is>
      </c>
      <c r="C50" t="inlineStr">
        <is>
          <t>RAMESH WATCH CO PVT LTD K-INORBIT</t>
        </is>
      </c>
      <c r="D50" t="inlineStr">
        <is>
          <t>2026-04-28</t>
        </is>
      </c>
      <c r="E50" t="inlineStr">
        <is>
          <t>SLGCW/29/26-27</t>
        </is>
      </c>
      <c r="F50" t="n">
        <v>348093</v>
      </c>
      <c r="G50" t="inlineStr">
        <is>
          <t>2026-06-12</t>
        </is>
      </c>
      <c r="I50" t="inlineStr">
        <is>
          <t>DSO will collect</t>
        </is>
      </c>
      <c r="J50" t="inlineStr">
        <is>
          <t>Dso Will Collect</t>
        </is>
      </c>
    </row>
    <row r="51">
      <c r="A51" t="n">
        <v>50</v>
      </c>
      <c r="B51" t="inlineStr">
        <is>
          <t>Watches</t>
        </is>
      </c>
      <c r="C51" t="inlineStr">
        <is>
          <t>RAMESH WATCH CO PVT LTD K-INORBIT</t>
        </is>
      </c>
      <c r="D51" t="inlineStr">
        <is>
          <t>2026-04-28</t>
        </is>
      </c>
      <c r="E51" t="inlineStr">
        <is>
          <t>SLGCW/30/26-27</t>
        </is>
      </c>
      <c r="F51" t="n">
        <v>90650</v>
      </c>
      <c r="G51" t="inlineStr">
        <is>
          <t>2026-04-29</t>
        </is>
      </c>
      <c r="I51" t="inlineStr">
        <is>
          <t>DSO will collect</t>
        </is>
      </c>
      <c r="J51" t="inlineStr">
        <is>
          <t>Dso Will Collect</t>
        </is>
      </c>
    </row>
    <row r="52">
      <c r="A52" t="n">
        <v>51</v>
      </c>
      <c r="B52" t="inlineStr">
        <is>
          <t>Watches</t>
        </is>
      </c>
      <c r="C52" t="inlineStr">
        <is>
          <t>RAMESH WATCH CO PVT LTD K-INORBIT</t>
        </is>
      </c>
      <c r="D52" t="inlineStr">
        <is>
          <t>2026-04-28</t>
        </is>
      </c>
      <c r="E52" t="inlineStr">
        <is>
          <t>SLGCW/31/26-27</t>
        </is>
      </c>
      <c r="F52" t="n">
        <v>292469</v>
      </c>
      <c r="G52" t="inlineStr">
        <is>
          <t>2026-06-12</t>
        </is>
      </c>
      <c r="I52" t="inlineStr">
        <is>
          <t>DSO will collect</t>
        </is>
      </c>
      <c r="J52" t="inlineStr">
        <is>
          <t>Dso Will Collect</t>
        </is>
      </c>
    </row>
    <row r="53">
      <c r="A53" t="n">
        <v>52</v>
      </c>
      <c r="B53" t="inlineStr">
        <is>
          <t>Watches</t>
        </is>
      </c>
      <c r="C53" t="inlineStr">
        <is>
          <t>RAMESH WATCH CO PVT LTD K-INORBIT</t>
        </is>
      </c>
      <c r="D53" t="inlineStr">
        <is>
          <t>2026-04-28</t>
        </is>
      </c>
      <c r="E53" t="inlineStr">
        <is>
          <t>SLGCW/32/26-27</t>
        </is>
      </c>
      <c r="F53" t="n">
        <v>132528</v>
      </c>
      <c r="G53" t="inlineStr">
        <is>
          <t>2026-06-12</t>
        </is>
      </c>
      <c r="I53" t="inlineStr">
        <is>
          <t>DSO will collect</t>
        </is>
      </c>
      <c r="J53" t="inlineStr">
        <is>
          <t>Dso Will Collect</t>
        </is>
      </c>
    </row>
    <row r="54">
      <c r="A54" t="n">
        <v>53</v>
      </c>
      <c r="B54" t="inlineStr">
        <is>
          <t>Watches</t>
        </is>
      </c>
      <c r="C54" t="inlineStr">
        <is>
          <t>RAMESH WATCH CO PVT LTD K-INORBIT</t>
        </is>
      </c>
      <c r="D54" t="inlineStr">
        <is>
          <t>2026-04-28</t>
        </is>
      </c>
      <c r="E54" t="inlineStr">
        <is>
          <t>SLGCW/33/26-27</t>
        </is>
      </c>
      <c r="F54" t="n">
        <v>240230</v>
      </c>
      <c r="G54" t="inlineStr">
        <is>
          <t>2026-06-12</t>
        </is>
      </c>
      <c r="I54" t="inlineStr">
        <is>
          <t>DSO will collect</t>
        </is>
      </c>
      <c r="J54" t="inlineStr">
        <is>
          <t>Dso Will Collect</t>
        </is>
      </c>
    </row>
    <row r="55">
      <c r="A55" t="n">
        <v>54</v>
      </c>
      <c r="B55" t="inlineStr">
        <is>
          <t>Watches</t>
        </is>
      </c>
      <c r="C55" t="inlineStr">
        <is>
          <t>RAMESH WATCH CO PVT LTD K-INORBIT</t>
        </is>
      </c>
      <c r="D55" t="inlineStr">
        <is>
          <t>2026-04-28</t>
        </is>
      </c>
      <c r="E55" t="inlineStr">
        <is>
          <t>SLGCW/35/26-27</t>
        </is>
      </c>
      <c r="F55" t="n">
        <v>204171</v>
      </c>
      <c r="G55" t="inlineStr">
        <is>
          <t>2026-06-12</t>
        </is>
      </c>
      <c r="I55" t="inlineStr">
        <is>
          <t>DSO will collect</t>
        </is>
      </c>
      <c r="J55" t="inlineStr">
        <is>
          <t>Dso Will Collect</t>
        </is>
      </c>
    </row>
    <row r="56">
      <c r="A56" t="n">
        <v>55</v>
      </c>
      <c r="B56" t="inlineStr">
        <is>
          <t>Watches</t>
        </is>
      </c>
      <c r="C56" t="inlineStr">
        <is>
          <t>RAMESH WATCH CO PVT LTD K-INORBIT</t>
        </is>
      </c>
      <c r="D56" t="inlineStr">
        <is>
          <t>2026-04-29</t>
        </is>
      </c>
      <c r="E56" t="inlineStr">
        <is>
          <t>SLGCW/37/26-27</t>
        </is>
      </c>
      <c r="F56" t="n">
        <v>65314</v>
      </c>
      <c r="G56" t="inlineStr">
        <is>
          <t>2026-04-30</t>
        </is>
      </c>
      <c r="I56" t="inlineStr">
        <is>
          <t>DSO will collect</t>
        </is>
      </c>
      <c r="J56" t="inlineStr">
        <is>
          <t>Dso Will Collect</t>
        </is>
      </c>
    </row>
    <row r="57">
      <c r="A57" t="n">
        <v>56</v>
      </c>
      <c r="B57" t="inlineStr">
        <is>
          <t>Watches</t>
        </is>
      </c>
      <c r="C57" t="inlineStr">
        <is>
          <t>RAMESH WATCH CO PVT LTD K-INORBIT</t>
        </is>
      </c>
      <c r="D57" t="inlineStr">
        <is>
          <t>2026-04-29</t>
        </is>
      </c>
      <c r="E57" t="inlineStr">
        <is>
          <t>SLGCW/36/26-27</t>
        </is>
      </c>
      <c r="F57" t="n">
        <v>107008</v>
      </c>
      <c r="G57" t="inlineStr">
        <is>
          <t>2026-04-30</t>
        </is>
      </c>
      <c r="I57" t="inlineStr">
        <is>
          <t>DSO will collect</t>
        </is>
      </c>
      <c r="J57" t="inlineStr">
        <is>
          <t>Dso Will Collect</t>
        </is>
      </c>
    </row>
    <row r="58">
      <c r="A58" t="n">
        <v>57</v>
      </c>
      <c r="B58" t="inlineStr">
        <is>
          <t>Watches</t>
        </is>
      </c>
      <c r="C58" t="inlineStr">
        <is>
          <t>RAMESH WATCH CO PVT LTD K-INORBIT</t>
        </is>
      </c>
      <c r="D58" t="inlineStr">
        <is>
          <t>2026-04-30</t>
        </is>
      </c>
      <c r="E58" t="inlineStr">
        <is>
          <t>SLGCW/42/26-27</t>
        </is>
      </c>
      <c r="F58" t="n">
        <v>105959</v>
      </c>
      <c r="G58" t="inlineStr">
        <is>
          <t>2026-06-14</t>
        </is>
      </c>
      <c r="I58" t="inlineStr">
        <is>
          <t>DSO will collect</t>
        </is>
      </c>
      <c r="J58" t="inlineStr">
        <is>
          <t>Dso Will Collect</t>
        </is>
      </c>
    </row>
    <row r="59">
      <c r="A59" t="n">
        <v>58</v>
      </c>
      <c r="B59" t="inlineStr">
        <is>
          <t>Watches</t>
        </is>
      </c>
      <c r="C59" t="inlineStr">
        <is>
          <t>RAMESH WATCH CO PVT LTD K-INORBIT</t>
        </is>
      </c>
      <c r="D59" t="inlineStr">
        <is>
          <t>2026-05-02</t>
        </is>
      </c>
      <c r="E59" t="inlineStr">
        <is>
          <t>SLGCW/50/26-27</t>
        </is>
      </c>
      <c r="F59" t="n">
        <v>84325</v>
      </c>
      <c r="G59" t="inlineStr">
        <is>
          <t>2026-06-16</t>
        </is>
      </c>
      <c r="I59" t="inlineStr">
        <is>
          <t>DSO will collect</t>
        </is>
      </c>
      <c r="J59" t="inlineStr">
        <is>
          <t>Dso Will Collect</t>
        </is>
      </c>
    </row>
    <row r="60">
      <c r="A60" t="n">
        <v>59</v>
      </c>
      <c r="B60" t="inlineStr">
        <is>
          <t>Watches</t>
        </is>
      </c>
      <c r="C60" t="inlineStr">
        <is>
          <t>RAMESH WATCH CO PVT LTD K-INORBIT</t>
        </is>
      </c>
      <c r="D60" t="inlineStr">
        <is>
          <t>2026-05-06</t>
        </is>
      </c>
      <c r="E60" t="inlineStr">
        <is>
          <t>SLGCW/60/26-27</t>
        </is>
      </c>
      <c r="F60" t="n">
        <v>9635</v>
      </c>
      <c r="G60" t="inlineStr">
        <is>
          <t>2026-06-20</t>
        </is>
      </c>
      <c r="I60" t="inlineStr">
        <is>
          <t>DSO will collect</t>
        </is>
      </c>
      <c r="J60" t="inlineStr">
        <is>
          <t>Dso Will Collect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AKM</dc:creator>
  <dcterms:created xmlns:dcterms="http://purl.org/dc/terms/" xmlns:xsi="http://www.w3.org/2001/XMLSchema-instance" xsi:type="dcterms:W3CDTF">2026-05-21T15:15:13Z</dcterms:created>
  <dcterms:modified xmlns:dcterms="http://purl.org/dc/terms/" xmlns:xsi="http://www.w3.org/2001/XMLSchema-instance" xsi:type="dcterms:W3CDTF">2026-05-25T17:02:12Z</dcterms:modified>
  <cp:lastModifiedBy>Anjani Kumar Mishra</cp:lastModifiedBy>
</cp:coreProperties>
</file>