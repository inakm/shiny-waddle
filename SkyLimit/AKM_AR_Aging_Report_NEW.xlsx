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anj\Documents\GitHub\shiny-waddle\SkyLimit\"/>
    </mc:Choice>
  </mc:AlternateContent>
  <xr:revisionPtr revIDLastSave="0" documentId="13_ncr:1_{6BBAE5B1-5D1B-499C-8AF9-7539C65D9CC2}" xr6:coauthVersionLast="47" xr6:coauthVersionMax="47" xr10:uidLastSave="{00000000-0000-0000-0000-000000000000}"/>
  <bookViews>
    <workbookView xWindow="-108" yWindow="-108" windowWidth="30936" windowHeight="18696" activeTab="6" xr2:uid="{00000000-000D-0000-FFFF-FFFF00000000}"/>
  </bookViews>
  <sheets>
    <sheet name="DASHBOARD" sheetId="1" r:id="rId1"/>
    <sheet name="MASTER_AR_REPORT" sheetId="2" r:id="rId2"/>
    <sheet name="CALLING_LIST" sheetId="3" r:id="rId3"/>
    <sheet name="Watches_Report" sheetId="4" r:id="rId4"/>
    <sheet name="Praveen_Report" sheetId="5" r:id="rId5"/>
    <sheet name="Mujahid_Report" sheetId="6" r:id="rId6"/>
    <sheet name="Vinod_Report" sheetId="7" r:id="rId7"/>
    <sheet name="Watches" sheetId="8" r:id="rId8"/>
    <sheet name="Praveen" sheetId="9" r:id="rId9"/>
    <sheet name="Mujahid" sheetId="10" r:id="rId10"/>
    <sheet name="Vinod" sheetId="11" r:id="rId11"/>
  </sheets>
  <definedNames>
    <definedName name="_xlnm._FilterDatabase" localSheetId="2" hidden="1">CALLING_LIST!$A$4:$M$146</definedName>
    <definedName name="_xlnm._FilterDatabase" localSheetId="1" hidden="1">MASTER_AR_REPORT!$A$1:$O$266</definedName>
    <definedName name="_xlnm._FilterDatabase" localSheetId="5" hidden="1">Mujahid_Report!$A$4:$O$75</definedName>
    <definedName name="_xlnm._FilterDatabase" localSheetId="4" hidden="1">Praveen_Report!$A$4:$O$79</definedName>
    <definedName name="_xlnm._FilterDatabase" localSheetId="6" hidden="1">Vinod_Report!$A$4:$O$67</definedName>
    <definedName name="_xlnm._FilterDatabase" localSheetId="3" hidden="1">Watches_Report!$A$4:$O$61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11" l="1"/>
  <c r="G132" i="11"/>
  <c r="G125" i="11"/>
  <c r="G122" i="11"/>
  <c r="I120" i="11"/>
  <c r="H120" i="11"/>
  <c r="G119" i="11"/>
  <c r="H111" i="11"/>
  <c r="I111" i="11" s="1"/>
  <c r="G104" i="11"/>
  <c r="G92" i="11"/>
  <c r="G88" i="11"/>
  <c r="G85" i="11"/>
  <c r="G82" i="11"/>
  <c r="G78" i="11"/>
  <c r="I51" i="11"/>
  <c r="G51" i="11"/>
  <c r="G47" i="11"/>
  <c r="G43" i="11"/>
  <c r="G42" i="11"/>
  <c r="G39" i="11"/>
  <c r="I26" i="11"/>
  <c r="G23" i="11"/>
  <c r="H18" i="11"/>
  <c r="I18" i="11" s="1"/>
  <c r="H16" i="11"/>
  <c r="I16" i="11" s="1"/>
  <c r="G16" i="11"/>
  <c r="G13" i="11"/>
  <c r="I11" i="11"/>
  <c r="G10" i="11"/>
  <c r="I8" i="11"/>
  <c r="E2" i="11"/>
  <c r="G113" i="11" s="1"/>
  <c r="G128" i="10"/>
  <c r="G117" i="10"/>
  <c r="G116" i="10"/>
  <c r="G115" i="10"/>
  <c r="G114" i="10"/>
  <c r="G111" i="10"/>
  <c r="G88" i="10"/>
  <c r="G83" i="10"/>
  <c r="G81" i="10"/>
  <c r="G80" i="10"/>
  <c r="G79" i="10"/>
  <c r="I71" i="10"/>
  <c r="I70" i="10"/>
  <c r="G70" i="10"/>
  <c r="H67" i="10"/>
  <c r="I67" i="10" s="1"/>
  <c r="G65" i="10"/>
  <c r="G62" i="10"/>
  <c r="G61" i="10"/>
  <c r="G60" i="10"/>
  <c r="G56" i="10"/>
  <c r="I37" i="10"/>
  <c r="I36" i="10"/>
  <c r="G27" i="10"/>
  <c r="G25" i="10"/>
  <c r="G24" i="10"/>
  <c r="G23" i="10"/>
  <c r="I17" i="10"/>
  <c r="H17" i="10"/>
  <c r="G11" i="10"/>
  <c r="E2" i="10"/>
  <c r="G105" i="10" s="1"/>
  <c r="H181" i="9"/>
  <c r="I179" i="9"/>
  <c r="I177" i="9"/>
  <c r="I173" i="9"/>
  <c r="I170" i="9"/>
  <c r="I169" i="9"/>
  <c r="I168" i="9"/>
  <c r="I165" i="9"/>
  <c r="I162" i="9"/>
  <c r="G162" i="9"/>
  <c r="I161" i="9"/>
  <c r="I158" i="9"/>
  <c r="I155" i="9"/>
  <c r="I154" i="9"/>
  <c r="I151" i="9"/>
  <c r="I148" i="9"/>
  <c r="I145" i="9"/>
  <c r="I142" i="9"/>
  <c r="I141" i="9"/>
  <c r="I138" i="9"/>
  <c r="G138" i="9"/>
  <c r="I134" i="9"/>
  <c r="I133" i="9"/>
  <c r="I130" i="9"/>
  <c r="I127" i="9"/>
  <c r="I124" i="9"/>
  <c r="I121" i="9"/>
  <c r="I120" i="9"/>
  <c r="I119" i="9"/>
  <c r="I118" i="9"/>
  <c r="I115" i="9"/>
  <c r="I112" i="9"/>
  <c r="I109" i="9"/>
  <c r="I106" i="9"/>
  <c r="I100" i="9"/>
  <c r="I99" i="9"/>
  <c r="I96" i="9"/>
  <c r="I93" i="9"/>
  <c r="I90" i="9"/>
  <c r="I89" i="9"/>
  <c r="I86" i="9"/>
  <c r="I85" i="9"/>
  <c r="G85" i="9"/>
  <c r="I82" i="9"/>
  <c r="I79" i="9"/>
  <c r="I76" i="9"/>
  <c r="I73" i="9"/>
  <c r="I70" i="9"/>
  <c r="I67" i="9"/>
  <c r="I64" i="9"/>
  <c r="I61" i="9"/>
  <c r="I60" i="9"/>
  <c r="I59" i="9"/>
  <c r="I53" i="9"/>
  <c r="I51" i="9"/>
  <c r="I47" i="9"/>
  <c r="I43" i="9"/>
  <c r="I42" i="9"/>
  <c r="I41" i="9"/>
  <c r="I38" i="9"/>
  <c r="I37" i="9"/>
  <c r="I34" i="9"/>
  <c r="I31" i="9"/>
  <c r="I28" i="9"/>
  <c r="I27" i="9"/>
  <c r="I24" i="9"/>
  <c r="I21" i="9"/>
  <c r="I20" i="9"/>
  <c r="I17" i="9"/>
  <c r="I15" i="9"/>
  <c r="I10" i="9"/>
  <c r="I7" i="9"/>
  <c r="E2" i="9"/>
  <c r="G173" i="9" s="1"/>
  <c r="I81" i="8"/>
  <c r="H69" i="8"/>
  <c r="H33" i="8"/>
  <c r="H87" i="8" s="1"/>
  <c r="E2" i="8"/>
  <c r="F64" i="8" s="1"/>
  <c r="F67" i="7"/>
  <c r="O66" i="7"/>
  <c r="N66" i="7"/>
  <c r="H66" i="7"/>
  <c r="G66" i="7"/>
  <c r="F66" i="7"/>
  <c r="E66" i="7"/>
  <c r="D66" i="7"/>
  <c r="C66" i="7"/>
  <c r="B66" i="7"/>
  <c r="O65" i="7"/>
  <c r="N65" i="7"/>
  <c r="H65" i="7"/>
  <c r="G65" i="7"/>
  <c r="F65" i="7"/>
  <c r="E65" i="7"/>
  <c r="D65" i="7"/>
  <c r="C65" i="7"/>
  <c r="B65" i="7"/>
  <c r="O64" i="7"/>
  <c r="N64" i="7"/>
  <c r="H64" i="7"/>
  <c r="G64" i="7"/>
  <c r="F64" i="7"/>
  <c r="E64" i="7"/>
  <c r="D64" i="7"/>
  <c r="C64" i="7"/>
  <c r="B64" i="7"/>
  <c r="O63" i="7"/>
  <c r="N63" i="7"/>
  <c r="H63" i="7"/>
  <c r="G63" i="7"/>
  <c r="F63" i="7"/>
  <c r="E63" i="7"/>
  <c r="D63" i="7"/>
  <c r="C63" i="7"/>
  <c r="B63" i="7"/>
  <c r="O62" i="7"/>
  <c r="N62" i="7"/>
  <c r="H62" i="7"/>
  <c r="G62" i="7"/>
  <c r="F62" i="7"/>
  <c r="E62" i="7"/>
  <c r="D62" i="7"/>
  <c r="C62" i="7"/>
  <c r="B62" i="7"/>
  <c r="O61" i="7"/>
  <c r="N61" i="7"/>
  <c r="H61" i="7"/>
  <c r="G61" i="7"/>
  <c r="F61" i="7"/>
  <c r="E61" i="7"/>
  <c r="D61" i="7"/>
  <c r="C61" i="7"/>
  <c r="B61" i="7"/>
  <c r="O60" i="7"/>
  <c r="N60" i="7"/>
  <c r="H60" i="7"/>
  <c r="G60" i="7"/>
  <c r="F60" i="7"/>
  <c r="E60" i="7"/>
  <c r="D60" i="7"/>
  <c r="C60" i="7"/>
  <c r="B60" i="7"/>
  <c r="O59" i="7"/>
  <c r="N59" i="7"/>
  <c r="H59" i="7"/>
  <c r="G59" i="7"/>
  <c r="F59" i="7"/>
  <c r="E59" i="7"/>
  <c r="D59" i="7"/>
  <c r="C59" i="7"/>
  <c r="B59" i="7"/>
  <c r="O58" i="7"/>
  <c r="N58" i="7"/>
  <c r="H58" i="7"/>
  <c r="G58" i="7"/>
  <c r="F58" i="7"/>
  <c r="E58" i="7"/>
  <c r="D58" i="7"/>
  <c r="C58" i="7"/>
  <c r="B58" i="7"/>
  <c r="O57" i="7"/>
  <c r="N57" i="7"/>
  <c r="H57" i="7"/>
  <c r="G57" i="7"/>
  <c r="F57" i="7"/>
  <c r="E57" i="7"/>
  <c r="D57" i="7"/>
  <c r="C57" i="7"/>
  <c r="B57" i="7"/>
  <c r="O56" i="7"/>
  <c r="N56" i="7"/>
  <c r="H56" i="7"/>
  <c r="G56" i="7"/>
  <c r="F56" i="7"/>
  <c r="E56" i="7"/>
  <c r="D56" i="7"/>
  <c r="C56" i="7"/>
  <c r="B56" i="7"/>
  <c r="O55" i="7"/>
  <c r="N55" i="7"/>
  <c r="H55" i="7"/>
  <c r="G55" i="7"/>
  <c r="F55" i="7"/>
  <c r="E55" i="7"/>
  <c r="D55" i="7"/>
  <c r="C55" i="7"/>
  <c r="B55" i="7"/>
  <c r="O54" i="7"/>
  <c r="N54" i="7"/>
  <c r="H54" i="7"/>
  <c r="G54" i="7"/>
  <c r="F54" i="7"/>
  <c r="E54" i="7"/>
  <c r="D54" i="7"/>
  <c r="C54" i="7"/>
  <c r="B54" i="7"/>
  <c r="O53" i="7"/>
  <c r="N53" i="7"/>
  <c r="H53" i="7"/>
  <c r="G53" i="7"/>
  <c r="F53" i="7"/>
  <c r="E53" i="7"/>
  <c r="D53" i="7"/>
  <c r="C53" i="7"/>
  <c r="B53" i="7"/>
  <c r="O52" i="7"/>
  <c r="N52" i="7"/>
  <c r="H52" i="7"/>
  <c r="G52" i="7"/>
  <c r="F52" i="7"/>
  <c r="E52" i="7"/>
  <c r="D52" i="7"/>
  <c r="C52" i="7"/>
  <c r="B52" i="7"/>
  <c r="O51" i="7"/>
  <c r="N51" i="7"/>
  <c r="H51" i="7"/>
  <c r="G51" i="7"/>
  <c r="F51" i="7"/>
  <c r="E51" i="7"/>
  <c r="D51" i="7"/>
  <c r="C51" i="7"/>
  <c r="B51" i="7"/>
  <c r="O50" i="7"/>
  <c r="N50" i="7"/>
  <c r="H50" i="7"/>
  <c r="G50" i="7"/>
  <c r="F50" i="7"/>
  <c r="E50" i="7"/>
  <c r="D50" i="7"/>
  <c r="C50" i="7"/>
  <c r="B50" i="7"/>
  <c r="O49" i="7"/>
  <c r="N49" i="7"/>
  <c r="H49" i="7"/>
  <c r="G49" i="7"/>
  <c r="F49" i="7"/>
  <c r="E49" i="7"/>
  <c r="D49" i="7"/>
  <c r="C49" i="7"/>
  <c r="B49" i="7"/>
  <c r="O48" i="7"/>
  <c r="N48" i="7"/>
  <c r="H48" i="7"/>
  <c r="G48" i="7"/>
  <c r="F48" i="7"/>
  <c r="E48" i="7"/>
  <c r="D48" i="7"/>
  <c r="C48" i="7"/>
  <c r="B48" i="7"/>
  <c r="O47" i="7"/>
  <c r="N47" i="7"/>
  <c r="H47" i="7"/>
  <c r="G47" i="7"/>
  <c r="F47" i="7"/>
  <c r="E47" i="7"/>
  <c r="D47" i="7"/>
  <c r="C47" i="7"/>
  <c r="B47" i="7"/>
  <c r="O46" i="7"/>
  <c r="N46" i="7"/>
  <c r="H46" i="7"/>
  <c r="G46" i="7"/>
  <c r="F46" i="7"/>
  <c r="E46" i="7"/>
  <c r="D46" i="7"/>
  <c r="C46" i="7"/>
  <c r="B46" i="7"/>
  <c r="O45" i="7"/>
  <c r="N45" i="7"/>
  <c r="H45" i="7"/>
  <c r="G45" i="7"/>
  <c r="F45" i="7"/>
  <c r="E45" i="7"/>
  <c r="D45" i="7"/>
  <c r="C45" i="7"/>
  <c r="B45" i="7"/>
  <c r="O44" i="7"/>
  <c r="N44" i="7"/>
  <c r="H44" i="7"/>
  <c r="G44" i="7"/>
  <c r="F44" i="7"/>
  <c r="E44" i="7"/>
  <c r="D44" i="7"/>
  <c r="C44" i="7"/>
  <c r="B44" i="7"/>
  <c r="O43" i="7"/>
  <c r="N43" i="7"/>
  <c r="H43" i="7"/>
  <c r="G43" i="7"/>
  <c r="F43" i="7"/>
  <c r="E43" i="7"/>
  <c r="D43" i="7"/>
  <c r="C43" i="7"/>
  <c r="B43" i="7"/>
  <c r="O42" i="7"/>
  <c r="N42" i="7"/>
  <c r="H42" i="7"/>
  <c r="G42" i="7"/>
  <c r="F42" i="7"/>
  <c r="E42" i="7"/>
  <c r="D42" i="7"/>
  <c r="C42" i="7"/>
  <c r="B42" i="7"/>
  <c r="O41" i="7"/>
  <c r="N41" i="7"/>
  <c r="H41" i="7"/>
  <c r="G41" i="7"/>
  <c r="F41" i="7"/>
  <c r="E41" i="7"/>
  <c r="D41" i="7"/>
  <c r="C41" i="7"/>
  <c r="B41" i="7"/>
  <c r="O40" i="7"/>
  <c r="N40" i="7"/>
  <c r="H40" i="7"/>
  <c r="G40" i="7"/>
  <c r="F40" i="7"/>
  <c r="E40" i="7"/>
  <c r="D40" i="7"/>
  <c r="C40" i="7"/>
  <c r="B40" i="7"/>
  <c r="O39" i="7"/>
  <c r="N39" i="7"/>
  <c r="H39" i="7"/>
  <c r="G39" i="7"/>
  <c r="F39" i="7"/>
  <c r="E39" i="7"/>
  <c r="D39" i="7"/>
  <c r="C39" i="7"/>
  <c r="B39" i="7"/>
  <c r="O38" i="7"/>
  <c r="N38" i="7"/>
  <c r="H38" i="7"/>
  <c r="G38" i="7"/>
  <c r="F38" i="7"/>
  <c r="E38" i="7"/>
  <c r="D38" i="7"/>
  <c r="C38" i="7"/>
  <c r="B38" i="7"/>
  <c r="O37" i="7"/>
  <c r="N37" i="7"/>
  <c r="H37" i="7"/>
  <c r="G37" i="7"/>
  <c r="F37" i="7"/>
  <c r="E37" i="7"/>
  <c r="D37" i="7"/>
  <c r="C37" i="7"/>
  <c r="B37" i="7"/>
  <c r="O36" i="7"/>
  <c r="N36" i="7"/>
  <c r="H36" i="7"/>
  <c r="G36" i="7"/>
  <c r="F36" i="7"/>
  <c r="E36" i="7"/>
  <c r="D36" i="7"/>
  <c r="C36" i="7"/>
  <c r="B36" i="7"/>
  <c r="O35" i="7"/>
  <c r="N35" i="7"/>
  <c r="H35" i="7"/>
  <c r="G35" i="7"/>
  <c r="F35" i="7"/>
  <c r="E35" i="7"/>
  <c r="D35" i="7"/>
  <c r="C35" i="7"/>
  <c r="B35" i="7"/>
  <c r="O34" i="7"/>
  <c r="N34" i="7"/>
  <c r="H34" i="7"/>
  <c r="G34" i="7"/>
  <c r="F34" i="7"/>
  <c r="E34" i="7"/>
  <c r="D34" i="7"/>
  <c r="C34" i="7"/>
  <c r="B34" i="7"/>
  <c r="O33" i="7"/>
  <c r="N33" i="7"/>
  <c r="H33" i="7"/>
  <c r="G33" i="7"/>
  <c r="F33" i="7"/>
  <c r="E33" i="7"/>
  <c r="D33" i="7"/>
  <c r="C33" i="7"/>
  <c r="B33" i="7"/>
  <c r="O32" i="7"/>
  <c r="N32" i="7"/>
  <c r="H32" i="7"/>
  <c r="G32" i="7"/>
  <c r="F32" i="7"/>
  <c r="E32" i="7"/>
  <c r="D32" i="7"/>
  <c r="C32" i="7"/>
  <c r="B32" i="7"/>
  <c r="O31" i="7"/>
  <c r="N31" i="7"/>
  <c r="H31" i="7"/>
  <c r="G31" i="7"/>
  <c r="F31" i="7"/>
  <c r="E31" i="7"/>
  <c r="D31" i="7"/>
  <c r="C31" i="7"/>
  <c r="B31" i="7"/>
  <c r="O30" i="7"/>
  <c r="N30" i="7"/>
  <c r="H30" i="7"/>
  <c r="G30" i="7"/>
  <c r="F30" i="7"/>
  <c r="E30" i="7"/>
  <c r="D30" i="7"/>
  <c r="C30" i="7"/>
  <c r="B30" i="7"/>
  <c r="O29" i="7"/>
  <c r="N29" i="7"/>
  <c r="H29" i="7"/>
  <c r="G29" i="7"/>
  <c r="F29" i="7"/>
  <c r="E29" i="7"/>
  <c r="D29" i="7"/>
  <c r="C29" i="7"/>
  <c r="B29" i="7"/>
  <c r="O28" i="7"/>
  <c r="N28" i="7"/>
  <c r="H28" i="7"/>
  <c r="G28" i="7"/>
  <c r="F28" i="7"/>
  <c r="E28" i="7"/>
  <c r="D28" i="7"/>
  <c r="C28" i="7"/>
  <c r="B28" i="7"/>
  <c r="O27" i="7"/>
  <c r="N27" i="7"/>
  <c r="H27" i="7"/>
  <c r="G27" i="7"/>
  <c r="F27" i="7"/>
  <c r="E27" i="7"/>
  <c r="D27" i="7"/>
  <c r="C27" i="7"/>
  <c r="B27" i="7"/>
  <c r="O26" i="7"/>
  <c r="N26" i="7"/>
  <c r="H26" i="7"/>
  <c r="G26" i="7"/>
  <c r="F26" i="7"/>
  <c r="E26" i="7"/>
  <c r="D26" i="7"/>
  <c r="C26" i="7"/>
  <c r="B26" i="7"/>
  <c r="O25" i="7"/>
  <c r="N25" i="7"/>
  <c r="H25" i="7"/>
  <c r="G25" i="7"/>
  <c r="F25" i="7"/>
  <c r="E25" i="7"/>
  <c r="D25" i="7"/>
  <c r="C25" i="7"/>
  <c r="B25" i="7"/>
  <c r="O24" i="7"/>
  <c r="N24" i="7"/>
  <c r="H24" i="7"/>
  <c r="G24" i="7"/>
  <c r="F24" i="7"/>
  <c r="E24" i="7"/>
  <c r="D24" i="7"/>
  <c r="C24" i="7"/>
  <c r="B24" i="7"/>
  <c r="O23" i="7"/>
  <c r="N23" i="7"/>
  <c r="H23" i="7"/>
  <c r="G23" i="7"/>
  <c r="F23" i="7"/>
  <c r="E23" i="7"/>
  <c r="D23" i="7"/>
  <c r="C23" i="7"/>
  <c r="B23" i="7"/>
  <c r="O22" i="7"/>
  <c r="N22" i="7"/>
  <c r="H22" i="7"/>
  <c r="G22" i="7"/>
  <c r="F22" i="7"/>
  <c r="E22" i="7"/>
  <c r="D22" i="7"/>
  <c r="C22" i="7"/>
  <c r="B22" i="7"/>
  <c r="O21" i="7"/>
  <c r="N21" i="7"/>
  <c r="H21" i="7"/>
  <c r="G21" i="7"/>
  <c r="F21" i="7"/>
  <c r="E21" i="7"/>
  <c r="D21" i="7"/>
  <c r="C21" i="7"/>
  <c r="B21" i="7"/>
  <c r="O20" i="7"/>
  <c r="N20" i="7"/>
  <c r="H20" i="7"/>
  <c r="G20" i="7"/>
  <c r="F20" i="7"/>
  <c r="E20" i="7"/>
  <c r="D20" i="7"/>
  <c r="C20" i="7"/>
  <c r="B20" i="7"/>
  <c r="O19" i="7"/>
  <c r="N19" i="7"/>
  <c r="H19" i="7"/>
  <c r="G19" i="7"/>
  <c r="F19" i="7"/>
  <c r="E19" i="7"/>
  <c r="D19" i="7"/>
  <c r="C19" i="7"/>
  <c r="B19" i="7"/>
  <c r="O18" i="7"/>
  <c r="N18" i="7"/>
  <c r="H18" i="7"/>
  <c r="G18" i="7"/>
  <c r="F18" i="7"/>
  <c r="E18" i="7"/>
  <c r="D18" i="7"/>
  <c r="C18" i="7"/>
  <c r="B18" i="7"/>
  <c r="O17" i="7"/>
  <c r="N17" i="7"/>
  <c r="H17" i="7"/>
  <c r="G17" i="7"/>
  <c r="F17" i="7"/>
  <c r="E17" i="7"/>
  <c r="D17" i="7"/>
  <c r="C17" i="7"/>
  <c r="B17" i="7"/>
  <c r="O16" i="7"/>
  <c r="N16" i="7"/>
  <c r="H16" i="7"/>
  <c r="G16" i="7"/>
  <c r="F16" i="7"/>
  <c r="E16" i="7"/>
  <c r="D16" i="7"/>
  <c r="C16" i="7"/>
  <c r="B16" i="7"/>
  <c r="O15" i="7"/>
  <c r="N15" i="7"/>
  <c r="H15" i="7"/>
  <c r="G15" i="7"/>
  <c r="F15" i="7"/>
  <c r="E15" i="7"/>
  <c r="D15" i="7"/>
  <c r="C15" i="7"/>
  <c r="B15" i="7"/>
  <c r="O14" i="7"/>
  <c r="N14" i="7"/>
  <c r="H14" i="7"/>
  <c r="G14" i="7"/>
  <c r="F14" i="7"/>
  <c r="E14" i="7"/>
  <c r="D14" i="7"/>
  <c r="C14" i="7"/>
  <c r="B14" i="7"/>
  <c r="O13" i="7"/>
  <c r="N13" i="7"/>
  <c r="H13" i="7"/>
  <c r="G13" i="7"/>
  <c r="F13" i="7"/>
  <c r="E13" i="7"/>
  <c r="D13" i="7"/>
  <c r="C13" i="7"/>
  <c r="B13" i="7"/>
  <c r="O12" i="7"/>
  <c r="N12" i="7"/>
  <c r="H12" i="7"/>
  <c r="G12" i="7"/>
  <c r="F12" i="7"/>
  <c r="E12" i="7"/>
  <c r="D12" i="7"/>
  <c r="C12" i="7"/>
  <c r="B12" i="7"/>
  <c r="O11" i="7"/>
  <c r="N11" i="7"/>
  <c r="H11" i="7"/>
  <c r="G11" i="7"/>
  <c r="F11" i="7"/>
  <c r="E11" i="7"/>
  <c r="D11" i="7"/>
  <c r="C11" i="7"/>
  <c r="B11" i="7"/>
  <c r="O10" i="7"/>
  <c r="N10" i="7"/>
  <c r="H10" i="7"/>
  <c r="G10" i="7"/>
  <c r="F10" i="7"/>
  <c r="E10" i="7"/>
  <c r="D10" i="7"/>
  <c r="C10" i="7"/>
  <c r="B10" i="7"/>
  <c r="O9" i="7"/>
  <c r="N9" i="7"/>
  <c r="H9" i="7"/>
  <c r="G9" i="7"/>
  <c r="F9" i="7"/>
  <c r="E9" i="7"/>
  <c r="D9" i="7"/>
  <c r="C9" i="7"/>
  <c r="B9" i="7"/>
  <c r="O8" i="7"/>
  <c r="N8" i="7"/>
  <c r="H8" i="7"/>
  <c r="G8" i="7"/>
  <c r="F8" i="7"/>
  <c r="E8" i="7"/>
  <c r="D8" i="7"/>
  <c r="C8" i="7"/>
  <c r="B8" i="7"/>
  <c r="O7" i="7"/>
  <c r="N7" i="7"/>
  <c r="H7" i="7"/>
  <c r="G7" i="7"/>
  <c r="F7" i="7"/>
  <c r="E7" i="7"/>
  <c r="D7" i="7"/>
  <c r="C7" i="7"/>
  <c r="B7" i="7"/>
  <c r="O6" i="7"/>
  <c r="N6" i="7"/>
  <c r="H6" i="7"/>
  <c r="G6" i="7"/>
  <c r="F6" i="7"/>
  <c r="E6" i="7"/>
  <c r="D6" i="7"/>
  <c r="C6" i="7"/>
  <c r="B6" i="7"/>
  <c r="O5" i="7"/>
  <c r="N5" i="7"/>
  <c r="H5" i="7"/>
  <c r="G5" i="7"/>
  <c r="F5" i="7"/>
  <c r="E5" i="7"/>
  <c r="D5" i="7"/>
  <c r="C5" i="7"/>
  <c r="B5" i="7"/>
  <c r="O75" i="6"/>
  <c r="N75" i="6"/>
  <c r="H75" i="6"/>
  <c r="G75" i="6"/>
  <c r="F75" i="6"/>
  <c r="E75" i="6"/>
  <c r="D75" i="6"/>
  <c r="C75" i="6"/>
  <c r="B75" i="6"/>
  <c r="O74" i="6"/>
  <c r="N74" i="6"/>
  <c r="H74" i="6"/>
  <c r="G74" i="6"/>
  <c r="F74" i="6"/>
  <c r="E74" i="6"/>
  <c r="D74" i="6"/>
  <c r="C74" i="6"/>
  <c r="B74" i="6"/>
  <c r="O73" i="6"/>
  <c r="N73" i="6"/>
  <c r="H73" i="6"/>
  <c r="G73" i="6"/>
  <c r="F73" i="6"/>
  <c r="E73" i="6"/>
  <c r="D73" i="6"/>
  <c r="C73" i="6"/>
  <c r="B73" i="6"/>
  <c r="O72" i="6"/>
  <c r="N72" i="6"/>
  <c r="H72" i="6"/>
  <c r="G72" i="6"/>
  <c r="F72" i="6"/>
  <c r="E72" i="6"/>
  <c r="D72" i="6"/>
  <c r="C72" i="6"/>
  <c r="B72" i="6"/>
  <c r="O71" i="6"/>
  <c r="N71" i="6"/>
  <c r="H71" i="6"/>
  <c r="G71" i="6"/>
  <c r="F71" i="6"/>
  <c r="E71" i="6"/>
  <c r="D71" i="6"/>
  <c r="C71" i="6"/>
  <c r="B71" i="6"/>
  <c r="O70" i="6"/>
  <c r="N70" i="6"/>
  <c r="H70" i="6"/>
  <c r="G70" i="6"/>
  <c r="F70" i="6"/>
  <c r="E70" i="6"/>
  <c r="D70" i="6"/>
  <c r="C70" i="6"/>
  <c r="B70" i="6"/>
  <c r="O69" i="6"/>
  <c r="N69" i="6"/>
  <c r="H69" i="6"/>
  <c r="G69" i="6"/>
  <c r="F69" i="6"/>
  <c r="E69" i="6"/>
  <c r="D69" i="6"/>
  <c r="C69" i="6"/>
  <c r="B69" i="6"/>
  <c r="O68" i="6"/>
  <c r="N68" i="6"/>
  <c r="H68" i="6"/>
  <c r="G68" i="6"/>
  <c r="F68" i="6"/>
  <c r="E68" i="6"/>
  <c r="D68" i="6"/>
  <c r="C68" i="6"/>
  <c r="B68" i="6"/>
  <c r="O67" i="6"/>
  <c r="N67" i="6"/>
  <c r="H67" i="6"/>
  <c r="G67" i="6"/>
  <c r="F67" i="6"/>
  <c r="E67" i="6"/>
  <c r="D67" i="6"/>
  <c r="C67" i="6"/>
  <c r="B67" i="6"/>
  <c r="O66" i="6"/>
  <c r="N66" i="6"/>
  <c r="H66" i="6"/>
  <c r="G66" i="6"/>
  <c r="F66" i="6"/>
  <c r="E66" i="6"/>
  <c r="D66" i="6"/>
  <c r="C66" i="6"/>
  <c r="B66" i="6"/>
  <c r="O65" i="6"/>
  <c r="N65" i="6"/>
  <c r="H65" i="6"/>
  <c r="G65" i="6"/>
  <c r="F65" i="6"/>
  <c r="E65" i="6"/>
  <c r="D65" i="6"/>
  <c r="C65" i="6"/>
  <c r="B65" i="6"/>
  <c r="O64" i="6"/>
  <c r="N64" i="6"/>
  <c r="H64" i="6"/>
  <c r="G64" i="6"/>
  <c r="F64" i="6"/>
  <c r="E64" i="6"/>
  <c r="D64" i="6"/>
  <c r="C64" i="6"/>
  <c r="B64" i="6"/>
  <c r="O63" i="6"/>
  <c r="N63" i="6"/>
  <c r="H63" i="6"/>
  <c r="G63" i="6"/>
  <c r="F63" i="6"/>
  <c r="E63" i="6"/>
  <c r="D63" i="6"/>
  <c r="C63" i="6"/>
  <c r="B63" i="6"/>
  <c r="O62" i="6"/>
  <c r="N62" i="6"/>
  <c r="H62" i="6"/>
  <c r="G62" i="6"/>
  <c r="F62" i="6"/>
  <c r="E62" i="6"/>
  <c r="D62" i="6"/>
  <c r="C62" i="6"/>
  <c r="B62" i="6"/>
  <c r="O61" i="6"/>
  <c r="N61" i="6"/>
  <c r="H61" i="6"/>
  <c r="G61" i="6"/>
  <c r="F61" i="6"/>
  <c r="E61" i="6"/>
  <c r="D61" i="6"/>
  <c r="C61" i="6"/>
  <c r="B61" i="6"/>
  <c r="O60" i="6"/>
  <c r="N60" i="6"/>
  <c r="H60" i="6"/>
  <c r="G60" i="6"/>
  <c r="F60" i="6"/>
  <c r="E60" i="6"/>
  <c r="D60" i="6"/>
  <c r="C60" i="6"/>
  <c r="B60" i="6"/>
  <c r="O59" i="6"/>
  <c r="N59" i="6"/>
  <c r="H59" i="6"/>
  <c r="G59" i="6"/>
  <c r="F59" i="6"/>
  <c r="E59" i="6"/>
  <c r="D59" i="6"/>
  <c r="C59" i="6"/>
  <c r="B59" i="6"/>
  <c r="O58" i="6"/>
  <c r="N58" i="6"/>
  <c r="H58" i="6"/>
  <c r="G58" i="6"/>
  <c r="F58" i="6"/>
  <c r="E58" i="6"/>
  <c r="D58" i="6"/>
  <c r="C58" i="6"/>
  <c r="B58" i="6"/>
  <c r="O57" i="6"/>
  <c r="N57" i="6"/>
  <c r="H57" i="6"/>
  <c r="G57" i="6"/>
  <c r="F57" i="6"/>
  <c r="E57" i="6"/>
  <c r="D57" i="6"/>
  <c r="C57" i="6"/>
  <c r="B57" i="6"/>
  <c r="O56" i="6"/>
  <c r="N56" i="6"/>
  <c r="H56" i="6"/>
  <c r="G56" i="6"/>
  <c r="F56" i="6"/>
  <c r="E56" i="6"/>
  <c r="D56" i="6"/>
  <c r="C56" i="6"/>
  <c r="B56" i="6"/>
  <c r="O55" i="6"/>
  <c r="N55" i="6"/>
  <c r="H55" i="6"/>
  <c r="G55" i="6"/>
  <c r="F55" i="6"/>
  <c r="E55" i="6"/>
  <c r="D55" i="6"/>
  <c r="C55" i="6"/>
  <c r="B55" i="6"/>
  <c r="O54" i="6"/>
  <c r="N54" i="6"/>
  <c r="H54" i="6"/>
  <c r="G54" i="6"/>
  <c r="F54" i="6"/>
  <c r="E54" i="6"/>
  <c r="D54" i="6"/>
  <c r="C54" i="6"/>
  <c r="B54" i="6"/>
  <c r="O53" i="6"/>
  <c r="N53" i="6"/>
  <c r="H53" i="6"/>
  <c r="G53" i="6"/>
  <c r="F53" i="6"/>
  <c r="E53" i="6"/>
  <c r="D53" i="6"/>
  <c r="C53" i="6"/>
  <c r="B53" i="6"/>
  <c r="O52" i="6"/>
  <c r="N52" i="6"/>
  <c r="H52" i="6"/>
  <c r="G52" i="6"/>
  <c r="F52" i="6"/>
  <c r="E52" i="6"/>
  <c r="D52" i="6"/>
  <c r="C52" i="6"/>
  <c r="B52" i="6"/>
  <c r="O51" i="6"/>
  <c r="N51" i="6"/>
  <c r="H51" i="6"/>
  <c r="G51" i="6"/>
  <c r="F51" i="6"/>
  <c r="E51" i="6"/>
  <c r="D51" i="6"/>
  <c r="C51" i="6"/>
  <c r="B51" i="6"/>
  <c r="O50" i="6"/>
  <c r="N50" i="6"/>
  <c r="H50" i="6"/>
  <c r="G50" i="6"/>
  <c r="F50" i="6"/>
  <c r="E50" i="6"/>
  <c r="D50" i="6"/>
  <c r="C50" i="6"/>
  <c r="B50" i="6"/>
  <c r="O49" i="6"/>
  <c r="N49" i="6"/>
  <c r="H49" i="6"/>
  <c r="G49" i="6"/>
  <c r="F49" i="6"/>
  <c r="E49" i="6"/>
  <c r="D49" i="6"/>
  <c r="C49" i="6"/>
  <c r="B49" i="6"/>
  <c r="O48" i="6"/>
  <c r="N48" i="6"/>
  <c r="H48" i="6"/>
  <c r="G48" i="6"/>
  <c r="F48" i="6"/>
  <c r="E48" i="6"/>
  <c r="D48" i="6"/>
  <c r="C48" i="6"/>
  <c r="B48" i="6"/>
  <c r="O47" i="6"/>
  <c r="N47" i="6"/>
  <c r="H47" i="6"/>
  <c r="G47" i="6"/>
  <c r="F47" i="6"/>
  <c r="E47" i="6"/>
  <c r="D47" i="6"/>
  <c r="C47" i="6"/>
  <c r="B47" i="6"/>
  <c r="O46" i="6"/>
  <c r="N46" i="6"/>
  <c r="H46" i="6"/>
  <c r="G46" i="6"/>
  <c r="F46" i="6"/>
  <c r="E46" i="6"/>
  <c r="D46" i="6"/>
  <c r="C46" i="6"/>
  <c r="B46" i="6"/>
  <c r="O45" i="6"/>
  <c r="N45" i="6"/>
  <c r="H45" i="6"/>
  <c r="G45" i="6"/>
  <c r="F45" i="6"/>
  <c r="E45" i="6"/>
  <c r="D45" i="6"/>
  <c r="C45" i="6"/>
  <c r="B45" i="6"/>
  <c r="O44" i="6"/>
  <c r="N44" i="6"/>
  <c r="H44" i="6"/>
  <c r="G44" i="6"/>
  <c r="F44" i="6"/>
  <c r="E44" i="6"/>
  <c r="D44" i="6"/>
  <c r="C44" i="6"/>
  <c r="B44" i="6"/>
  <c r="O43" i="6"/>
  <c r="N43" i="6"/>
  <c r="H43" i="6"/>
  <c r="G43" i="6"/>
  <c r="F43" i="6"/>
  <c r="E43" i="6"/>
  <c r="D43" i="6"/>
  <c r="C43" i="6"/>
  <c r="B43" i="6"/>
  <c r="O42" i="6"/>
  <c r="N42" i="6"/>
  <c r="H42" i="6"/>
  <c r="G42" i="6"/>
  <c r="F42" i="6"/>
  <c r="E42" i="6"/>
  <c r="D42" i="6"/>
  <c r="C42" i="6"/>
  <c r="B42" i="6"/>
  <c r="O41" i="6"/>
  <c r="N41" i="6"/>
  <c r="H41" i="6"/>
  <c r="G41" i="6"/>
  <c r="F41" i="6"/>
  <c r="E41" i="6"/>
  <c r="D41" i="6"/>
  <c r="C41" i="6"/>
  <c r="B41" i="6"/>
  <c r="O40" i="6"/>
  <c r="N40" i="6"/>
  <c r="H40" i="6"/>
  <c r="G40" i="6"/>
  <c r="F40" i="6"/>
  <c r="E40" i="6"/>
  <c r="D40" i="6"/>
  <c r="C40" i="6"/>
  <c r="B40" i="6"/>
  <c r="O39" i="6"/>
  <c r="N39" i="6"/>
  <c r="H39" i="6"/>
  <c r="G39" i="6"/>
  <c r="F39" i="6"/>
  <c r="E39" i="6"/>
  <c r="D39" i="6"/>
  <c r="C39" i="6"/>
  <c r="B39" i="6"/>
  <c r="O38" i="6"/>
  <c r="N38" i="6"/>
  <c r="H38" i="6"/>
  <c r="G38" i="6"/>
  <c r="F38" i="6"/>
  <c r="E38" i="6"/>
  <c r="D38" i="6"/>
  <c r="C38" i="6"/>
  <c r="B38" i="6"/>
  <c r="O37" i="6"/>
  <c r="N37" i="6"/>
  <c r="H37" i="6"/>
  <c r="G37" i="6"/>
  <c r="F37" i="6"/>
  <c r="E37" i="6"/>
  <c r="D37" i="6"/>
  <c r="C37" i="6"/>
  <c r="B37" i="6"/>
  <c r="O36" i="6"/>
  <c r="N36" i="6"/>
  <c r="H36" i="6"/>
  <c r="G36" i="6"/>
  <c r="F36" i="6"/>
  <c r="E36" i="6"/>
  <c r="D36" i="6"/>
  <c r="C36" i="6"/>
  <c r="B36" i="6"/>
  <c r="O35" i="6"/>
  <c r="N35" i="6"/>
  <c r="H35" i="6"/>
  <c r="G35" i="6"/>
  <c r="F35" i="6"/>
  <c r="E35" i="6"/>
  <c r="D35" i="6"/>
  <c r="C35" i="6"/>
  <c r="B35" i="6"/>
  <c r="O34" i="6"/>
  <c r="N34" i="6"/>
  <c r="H34" i="6"/>
  <c r="G34" i="6"/>
  <c r="F34" i="6"/>
  <c r="E34" i="6"/>
  <c r="D34" i="6"/>
  <c r="C34" i="6"/>
  <c r="B34" i="6"/>
  <c r="O33" i="6"/>
  <c r="N33" i="6"/>
  <c r="H33" i="6"/>
  <c r="G33" i="6"/>
  <c r="F33" i="6"/>
  <c r="E33" i="6"/>
  <c r="D33" i="6"/>
  <c r="C33" i="6"/>
  <c r="B33" i="6"/>
  <c r="O32" i="6"/>
  <c r="N32" i="6"/>
  <c r="H32" i="6"/>
  <c r="G32" i="6"/>
  <c r="F32" i="6"/>
  <c r="E32" i="6"/>
  <c r="D32" i="6"/>
  <c r="C32" i="6"/>
  <c r="B32" i="6"/>
  <c r="O31" i="6"/>
  <c r="N31" i="6"/>
  <c r="H31" i="6"/>
  <c r="G31" i="6"/>
  <c r="F31" i="6"/>
  <c r="E31" i="6"/>
  <c r="D31" i="6"/>
  <c r="C31" i="6"/>
  <c r="B31" i="6"/>
  <c r="O30" i="6"/>
  <c r="N30" i="6"/>
  <c r="H30" i="6"/>
  <c r="G30" i="6"/>
  <c r="F30" i="6"/>
  <c r="E30" i="6"/>
  <c r="D30" i="6"/>
  <c r="C30" i="6"/>
  <c r="B30" i="6"/>
  <c r="O29" i="6"/>
  <c r="N29" i="6"/>
  <c r="H29" i="6"/>
  <c r="G29" i="6"/>
  <c r="F29" i="6"/>
  <c r="E29" i="6"/>
  <c r="D29" i="6"/>
  <c r="C29" i="6"/>
  <c r="B29" i="6"/>
  <c r="O28" i="6"/>
  <c r="N28" i="6"/>
  <c r="H28" i="6"/>
  <c r="G28" i="6"/>
  <c r="F28" i="6"/>
  <c r="E28" i="6"/>
  <c r="D28" i="6"/>
  <c r="C28" i="6"/>
  <c r="B28" i="6"/>
  <c r="O27" i="6"/>
  <c r="N27" i="6"/>
  <c r="H27" i="6"/>
  <c r="G27" i="6"/>
  <c r="F27" i="6"/>
  <c r="E27" i="6"/>
  <c r="D27" i="6"/>
  <c r="C27" i="6"/>
  <c r="B27" i="6"/>
  <c r="O26" i="6"/>
  <c r="N26" i="6"/>
  <c r="H26" i="6"/>
  <c r="G26" i="6"/>
  <c r="F26" i="6"/>
  <c r="E26" i="6"/>
  <c r="D26" i="6"/>
  <c r="C26" i="6"/>
  <c r="B26" i="6"/>
  <c r="O25" i="6"/>
  <c r="N25" i="6"/>
  <c r="H25" i="6"/>
  <c r="G25" i="6"/>
  <c r="F25" i="6"/>
  <c r="E25" i="6"/>
  <c r="D25" i="6"/>
  <c r="C25" i="6"/>
  <c r="B25" i="6"/>
  <c r="O24" i="6"/>
  <c r="N24" i="6"/>
  <c r="H24" i="6"/>
  <c r="G24" i="6"/>
  <c r="F24" i="6"/>
  <c r="E24" i="6"/>
  <c r="D24" i="6"/>
  <c r="C24" i="6"/>
  <c r="B24" i="6"/>
  <c r="O23" i="6"/>
  <c r="N23" i="6"/>
  <c r="H23" i="6"/>
  <c r="G23" i="6"/>
  <c r="F23" i="6"/>
  <c r="E23" i="6"/>
  <c r="D23" i="6"/>
  <c r="C23" i="6"/>
  <c r="B23" i="6"/>
  <c r="O22" i="6"/>
  <c r="N22" i="6"/>
  <c r="H22" i="6"/>
  <c r="G22" i="6"/>
  <c r="F22" i="6"/>
  <c r="E22" i="6"/>
  <c r="D22" i="6"/>
  <c r="C22" i="6"/>
  <c r="B22" i="6"/>
  <c r="O21" i="6"/>
  <c r="N21" i="6"/>
  <c r="H21" i="6"/>
  <c r="G21" i="6"/>
  <c r="F21" i="6"/>
  <c r="E21" i="6"/>
  <c r="D21" i="6"/>
  <c r="C21" i="6"/>
  <c r="B21" i="6"/>
  <c r="O20" i="6"/>
  <c r="N20" i="6"/>
  <c r="H20" i="6"/>
  <c r="G20" i="6"/>
  <c r="F20" i="6"/>
  <c r="E20" i="6"/>
  <c r="D20" i="6"/>
  <c r="C20" i="6"/>
  <c r="B20" i="6"/>
  <c r="O19" i="6"/>
  <c r="N19" i="6"/>
  <c r="H19" i="6"/>
  <c r="G19" i="6"/>
  <c r="F19" i="6"/>
  <c r="E19" i="6"/>
  <c r="D19" i="6"/>
  <c r="C19" i="6"/>
  <c r="B19" i="6"/>
  <c r="O18" i="6"/>
  <c r="N18" i="6"/>
  <c r="H18" i="6"/>
  <c r="G18" i="6"/>
  <c r="F18" i="6"/>
  <c r="E18" i="6"/>
  <c r="D18" i="6"/>
  <c r="C18" i="6"/>
  <c r="B18" i="6"/>
  <c r="O17" i="6"/>
  <c r="N17" i="6"/>
  <c r="H17" i="6"/>
  <c r="G17" i="6"/>
  <c r="F17" i="6"/>
  <c r="E17" i="6"/>
  <c r="D17" i="6"/>
  <c r="C17" i="6"/>
  <c r="B17" i="6"/>
  <c r="O16" i="6"/>
  <c r="N16" i="6"/>
  <c r="H16" i="6"/>
  <c r="G16" i="6"/>
  <c r="F16" i="6"/>
  <c r="E16" i="6"/>
  <c r="D16" i="6"/>
  <c r="C16" i="6"/>
  <c r="B16" i="6"/>
  <c r="O15" i="6"/>
  <c r="N15" i="6"/>
  <c r="H15" i="6"/>
  <c r="G15" i="6"/>
  <c r="F15" i="6"/>
  <c r="E15" i="6"/>
  <c r="D15" i="6"/>
  <c r="C15" i="6"/>
  <c r="B15" i="6"/>
  <c r="O14" i="6"/>
  <c r="N14" i="6"/>
  <c r="H14" i="6"/>
  <c r="G14" i="6"/>
  <c r="F14" i="6"/>
  <c r="E14" i="6"/>
  <c r="D14" i="6"/>
  <c r="C14" i="6"/>
  <c r="B14" i="6"/>
  <c r="O13" i="6"/>
  <c r="N13" i="6"/>
  <c r="H13" i="6"/>
  <c r="G13" i="6"/>
  <c r="F13" i="6"/>
  <c r="E13" i="6"/>
  <c r="D13" i="6"/>
  <c r="C13" i="6"/>
  <c r="B13" i="6"/>
  <c r="O12" i="6"/>
  <c r="N12" i="6"/>
  <c r="H12" i="6"/>
  <c r="G12" i="6"/>
  <c r="F12" i="6"/>
  <c r="E12" i="6"/>
  <c r="D12" i="6"/>
  <c r="C12" i="6"/>
  <c r="B12" i="6"/>
  <c r="O11" i="6"/>
  <c r="N11" i="6"/>
  <c r="H11" i="6"/>
  <c r="G11" i="6"/>
  <c r="F11" i="6"/>
  <c r="E11" i="6"/>
  <c r="D11" i="6"/>
  <c r="C11" i="6"/>
  <c r="B11" i="6"/>
  <c r="O10" i="6"/>
  <c r="N10" i="6"/>
  <c r="H10" i="6"/>
  <c r="G10" i="6"/>
  <c r="F10" i="6"/>
  <c r="E10" i="6"/>
  <c r="D10" i="6"/>
  <c r="C10" i="6"/>
  <c r="B10" i="6"/>
  <c r="O9" i="6"/>
  <c r="N9" i="6"/>
  <c r="H9" i="6"/>
  <c r="G9" i="6"/>
  <c r="F9" i="6"/>
  <c r="E9" i="6"/>
  <c r="D9" i="6"/>
  <c r="C9" i="6"/>
  <c r="B9" i="6"/>
  <c r="O8" i="6"/>
  <c r="N8" i="6"/>
  <c r="H8" i="6"/>
  <c r="G8" i="6"/>
  <c r="F8" i="6"/>
  <c r="E8" i="6"/>
  <c r="D8" i="6"/>
  <c r="C8" i="6"/>
  <c r="B8" i="6"/>
  <c r="O7" i="6"/>
  <c r="N7" i="6"/>
  <c r="H7" i="6"/>
  <c r="G7" i="6"/>
  <c r="F7" i="6"/>
  <c r="E7" i="6"/>
  <c r="D7" i="6"/>
  <c r="C7" i="6"/>
  <c r="B7" i="6"/>
  <c r="O6" i="6"/>
  <c r="N6" i="6"/>
  <c r="H6" i="6"/>
  <c r="G6" i="6"/>
  <c r="F6" i="6"/>
  <c r="E6" i="6"/>
  <c r="D6" i="6"/>
  <c r="C6" i="6"/>
  <c r="B6" i="6"/>
  <c r="O5" i="6"/>
  <c r="N5" i="6"/>
  <c r="H5" i="6"/>
  <c r="G5" i="6"/>
  <c r="F5" i="6"/>
  <c r="F76" i="6" s="1"/>
  <c r="E5" i="6"/>
  <c r="D5" i="6"/>
  <c r="C5" i="6"/>
  <c r="B5" i="6"/>
  <c r="O79" i="5"/>
  <c r="N79" i="5"/>
  <c r="H79" i="5"/>
  <c r="G79" i="5"/>
  <c r="F79" i="5"/>
  <c r="E79" i="5"/>
  <c r="D79" i="5"/>
  <c r="C79" i="5"/>
  <c r="B79" i="5"/>
  <c r="O78" i="5"/>
  <c r="N78" i="5"/>
  <c r="H78" i="5"/>
  <c r="G78" i="5"/>
  <c r="F78" i="5"/>
  <c r="E78" i="5"/>
  <c r="D78" i="5"/>
  <c r="C78" i="5"/>
  <c r="B78" i="5"/>
  <c r="O77" i="5"/>
  <c r="N77" i="5"/>
  <c r="H77" i="5"/>
  <c r="G77" i="5"/>
  <c r="F77" i="5"/>
  <c r="E77" i="5"/>
  <c r="D77" i="5"/>
  <c r="C77" i="5"/>
  <c r="B77" i="5"/>
  <c r="O76" i="5"/>
  <c r="N76" i="5"/>
  <c r="H76" i="5"/>
  <c r="G76" i="5"/>
  <c r="F76" i="5"/>
  <c r="E76" i="5"/>
  <c r="D76" i="5"/>
  <c r="C76" i="5"/>
  <c r="B76" i="5"/>
  <c r="O75" i="5"/>
  <c r="N75" i="5"/>
  <c r="H75" i="5"/>
  <c r="G75" i="5"/>
  <c r="F75" i="5"/>
  <c r="E75" i="5"/>
  <c r="D75" i="5"/>
  <c r="C75" i="5"/>
  <c r="B75" i="5"/>
  <c r="O74" i="5"/>
  <c r="N74" i="5"/>
  <c r="H74" i="5"/>
  <c r="G74" i="5"/>
  <c r="F74" i="5"/>
  <c r="E74" i="5"/>
  <c r="D74" i="5"/>
  <c r="C74" i="5"/>
  <c r="B74" i="5"/>
  <c r="O73" i="5"/>
  <c r="N73" i="5"/>
  <c r="H73" i="5"/>
  <c r="G73" i="5"/>
  <c r="F73" i="5"/>
  <c r="E73" i="5"/>
  <c r="D73" i="5"/>
  <c r="C73" i="5"/>
  <c r="B73" i="5"/>
  <c r="O72" i="5"/>
  <c r="N72" i="5"/>
  <c r="H72" i="5"/>
  <c r="G72" i="5"/>
  <c r="F72" i="5"/>
  <c r="E72" i="5"/>
  <c r="D72" i="5"/>
  <c r="C72" i="5"/>
  <c r="B72" i="5"/>
  <c r="O71" i="5"/>
  <c r="N71" i="5"/>
  <c r="H71" i="5"/>
  <c r="G71" i="5"/>
  <c r="F71" i="5"/>
  <c r="E71" i="5"/>
  <c r="D71" i="5"/>
  <c r="C71" i="5"/>
  <c r="B71" i="5"/>
  <c r="O70" i="5"/>
  <c r="N70" i="5"/>
  <c r="H70" i="5"/>
  <c r="G70" i="5"/>
  <c r="F70" i="5"/>
  <c r="E70" i="5"/>
  <c r="D70" i="5"/>
  <c r="C70" i="5"/>
  <c r="B70" i="5"/>
  <c r="O69" i="5"/>
  <c r="N69" i="5"/>
  <c r="H69" i="5"/>
  <c r="G69" i="5"/>
  <c r="F69" i="5"/>
  <c r="E69" i="5"/>
  <c r="D69" i="5"/>
  <c r="C69" i="5"/>
  <c r="B69" i="5"/>
  <c r="O68" i="5"/>
  <c r="N68" i="5"/>
  <c r="H68" i="5"/>
  <c r="G68" i="5"/>
  <c r="F68" i="5"/>
  <c r="E68" i="5"/>
  <c r="D68" i="5"/>
  <c r="C68" i="5"/>
  <c r="B68" i="5"/>
  <c r="O67" i="5"/>
  <c r="N67" i="5"/>
  <c r="H67" i="5"/>
  <c r="G67" i="5"/>
  <c r="F67" i="5"/>
  <c r="E67" i="5"/>
  <c r="D67" i="5"/>
  <c r="C67" i="5"/>
  <c r="B67" i="5"/>
  <c r="O66" i="5"/>
  <c r="N66" i="5"/>
  <c r="H66" i="5"/>
  <c r="G66" i="5"/>
  <c r="F66" i="5"/>
  <c r="E66" i="5"/>
  <c r="D66" i="5"/>
  <c r="C66" i="5"/>
  <c r="B66" i="5"/>
  <c r="O65" i="5"/>
  <c r="N65" i="5"/>
  <c r="H65" i="5"/>
  <c r="G65" i="5"/>
  <c r="F65" i="5"/>
  <c r="E65" i="5"/>
  <c r="D65" i="5"/>
  <c r="C65" i="5"/>
  <c r="B65" i="5"/>
  <c r="O64" i="5"/>
  <c r="N64" i="5"/>
  <c r="H64" i="5"/>
  <c r="G64" i="5"/>
  <c r="F64" i="5"/>
  <c r="E64" i="5"/>
  <c r="D64" i="5"/>
  <c r="C64" i="5"/>
  <c r="B64" i="5"/>
  <c r="O63" i="5"/>
  <c r="N63" i="5"/>
  <c r="H63" i="5"/>
  <c r="G63" i="5"/>
  <c r="F63" i="5"/>
  <c r="E63" i="5"/>
  <c r="D63" i="5"/>
  <c r="C63" i="5"/>
  <c r="B63" i="5"/>
  <c r="O62" i="5"/>
  <c r="N62" i="5"/>
  <c r="H62" i="5"/>
  <c r="G62" i="5"/>
  <c r="F62" i="5"/>
  <c r="E62" i="5"/>
  <c r="D62" i="5"/>
  <c r="C62" i="5"/>
  <c r="B62" i="5"/>
  <c r="O61" i="5"/>
  <c r="N61" i="5"/>
  <c r="H61" i="5"/>
  <c r="G61" i="5"/>
  <c r="F61" i="5"/>
  <c r="E61" i="5"/>
  <c r="D61" i="5"/>
  <c r="C61" i="5"/>
  <c r="B61" i="5"/>
  <c r="O60" i="5"/>
  <c r="N60" i="5"/>
  <c r="H60" i="5"/>
  <c r="G60" i="5"/>
  <c r="F60" i="5"/>
  <c r="E60" i="5"/>
  <c r="D60" i="5"/>
  <c r="C60" i="5"/>
  <c r="B60" i="5"/>
  <c r="O59" i="5"/>
  <c r="N59" i="5"/>
  <c r="H59" i="5"/>
  <c r="G59" i="5"/>
  <c r="F59" i="5"/>
  <c r="E59" i="5"/>
  <c r="D59" i="5"/>
  <c r="C59" i="5"/>
  <c r="B59" i="5"/>
  <c r="O58" i="5"/>
  <c r="N58" i="5"/>
  <c r="H58" i="5"/>
  <c r="G58" i="5"/>
  <c r="F58" i="5"/>
  <c r="E58" i="5"/>
  <c r="D58" i="5"/>
  <c r="C58" i="5"/>
  <c r="B58" i="5"/>
  <c r="O57" i="5"/>
  <c r="N57" i="5"/>
  <c r="H57" i="5"/>
  <c r="G57" i="5"/>
  <c r="F57" i="5"/>
  <c r="E57" i="5"/>
  <c r="D57" i="5"/>
  <c r="C57" i="5"/>
  <c r="B57" i="5"/>
  <c r="O56" i="5"/>
  <c r="N56" i="5"/>
  <c r="H56" i="5"/>
  <c r="G56" i="5"/>
  <c r="F56" i="5"/>
  <c r="E56" i="5"/>
  <c r="D56" i="5"/>
  <c r="C56" i="5"/>
  <c r="B56" i="5"/>
  <c r="O55" i="5"/>
  <c r="N55" i="5"/>
  <c r="H55" i="5"/>
  <c r="G55" i="5"/>
  <c r="F55" i="5"/>
  <c r="E55" i="5"/>
  <c r="D55" i="5"/>
  <c r="C55" i="5"/>
  <c r="B55" i="5"/>
  <c r="O54" i="5"/>
  <c r="N54" i="5"/>
  <c r="H54" i="5"/>
  <c r="G54" i="5"/>
  <c r="F54" i="5"/>
  <c r="E54" i="5"/>
  <c r="D54" i="5"/>
  <c r="C54" i="5"/>
  <c r="B54" i="5"/>
  <c r="O53" i="5"/>
  <c r="N53" i="5"/>
  <c r="H53" i="5"/>
  <c r="G53" i="5"/>
  <c r="F53" i="5"/>
  <c r="E53" i="5"/>
  <c r="D53" i="5"/>
  <c r="C53" i="5"/>
  <c r="B53" i="5"/>
  <c r="O52" i="5"/>
  <c r="N52" i="5"/>
  <c r="H52" i="5"/>
  <c r="G52" i="5"/>
  <c r="F52" i="5"/>
  <c r="E52" i="5"/>
  <c r="D52" i="5"/>
  <c r="C52" i="5"/>
  <c r="B52" i="5"/>
  <c r="O51" i="5"/>
  <c r="N51" i="5"/>
  <c r="H51" i="5"/>
  <c r="G51" i="5"/>
  <c r="F51" i="5"/>
  <c r="E51" i="5"/>
  <c r="D51" i="5"/>
  <c r="C51" i="5"/>
  <c r="B51" i="5"/>
  <c r="O50" i="5"/>
  <c r="N50" i="5"/>
  <c r="H50" i="5"/>
  <c r="G50" i="5"/>
  <c r="F50" i="5"/>
  <c r="E50" i="5"/>
  <c r="D50" i="5"/>
  <c r="C50" i="5"/>
  <c r="B50" i="5"/>
  <c r="O49" i="5"/>
  <c r="N49" i="5"/>
  <c r="H49" i="5"/>
  <c r="G49" i="5"/>
  <c r="F49" i="5"/>
  <c r="E49" i="5"/>
  <c r="D49" i="5"/>
  <c r="C49" i="5"/>
  <c r="B49" i="5"/>
  <c r="O48" i="5"/>
  <c r="N48" i="5"/>
  <c r="H48" i="5"/>
  <c r="G48" i="5"/>
  <c r="F48" i="5"/>
  <c r="E48" i="5"/>
  <c r="D48" i="5"/>
  <c r="C48" i="5"/>
  <c r="B48" i="5"/>
  <c r="O47" i="5"/>
  <c r="N47" i="5"/>
  <c r="H47" i="5"/>
  <c r="G47" i="5"/>
  <c r="F47" i="5"/>
  <c r="E47" i="5"/>
  <c r="D47" i="5"/>
  <c r="C47" i="5"/>
  <c r="B47" i="5"/>
  <c r="O46" i="5"/>
  <c r="N46" i="5"/>
  <c r="H46" i="5"/>
  <c r="G46" i="5"/>
  <c r="F46" i="5"/>
  <c r="E46" i="5"/>
  <c r="D46" i="5"/>
  <c r="C46" i="5"/>
  <c r="B46" i="5"/>
  <c r="O45" i="5"/>
  <c r="N45" i="5"/>
  <c r="H45" i="5"/>
  <c r="G45" i="5"/>
  <c r="F45" i="5"/>
  <c r="E45" i="5"/>
  <c r="D45" i="5"/>
  <c r="C45" i="5"/>
  <c r="B45" i="5"/>
  <c r="O44" i="5"/>
  <c r="N44" i="5"/>
  <c r="H44" i="5"/>
  <c r="G44" i="5"/>
  <c r="F44" i="5"/>
  <c r="E44" i="5"/>
  <c r="D44" i="5"/>
  <c r="C44" i="5"/>
  <c r="B44" i="5"/>
  <c r="O43" i="5"/>
  <c r="N43" i="5"/>
  <c r="H43" i="5"/>
  <c r="G43" i="5"/>
  <c r="F43" i="5"/>
  <c r="E43" i="5"/>
  <c r="D43" i="5"/>
  <c r="C43" i="5"/>
  <c r="B43" i="5"/>
  <c r="O42" i="5"/>
  <c r="N42" i="5"/>
  <c r="H42" i="5"/>
  <c r="G42" i="5"/>
  <c r="F42" i="5"/>
  <c r="E42" i="5"/>
  <c r="D42" i="5"/>
  <c r="C42" i="5"/>
  <c r="B42" i="5"/>
  <c r="O41" i="5"/>
  <c r="N41" i="5"/>
  <c r="H41" i="5"/>
  <c r="G41" i="5"/>
  <c r="F41" i="5"/>
  <c r="E41" i="5"/>
  <c r="D41" i="5"/>
  <c r="C41" i="5"/>
  <c r="B41" i="5"/>
  <c r="O40" i="5"/>
  <c r="N40" i="5"/>
  <c r="H40" i="5"/>
  <c r="G40" i="5"/>
  <c r="F40" i="5"/>
  <c r="E40" i="5"/>
  <c r="D40" i="5"/>
  <c r="C40" i="5"/>
  <c r="B40" i="5"/>
  <c r="O39" i="5"/>
  <c r="N39" i="5"/>
  <c r="H39" i="5"/>
  <c r="G39" i="5"/>
  <c r="F39" i="5"/>
  <c r="E39" i="5"/>
  <c r="D39" i="5"/>
  <c r="C39" i="5"/>
  <c r="B39" i="5"/>
  <c r="O38" i="5"/>
  <c r="N38" i="5"/>
  <c r="H38" i="5"/>
  <c r="G38" i="5"/>
  <c r="F38" i="5"/>
  <c r="E38" i="5"/>
  <c r="D38" i="5"/>
  <c r="C38" i="5"/>
  <c r="B38" i="5"/>
  <c r="O37" i="5"/>
  <c r="N37" i="5"/>
  <c r="H37" i="5"/>
  <c r="G37" i="5"/>
  <c r="F37" i="5"/>
  <c r="E37" i="5"/>
  <c r="D37" i="5"/>
  <c r="C37" i="5"/>
  <c r="B37" i="5"/>
  <c r="O36" i="5"/>
  <c r="N36" i="5"/>
  <c r="H36" i="5"/>
  <c r="G36" i="5"/>
  <c r="F36" i="5"/>
  <c r="E36" i="5"/>
  <c r="D36" i="5"/>
  <c r="C36" i="5"/>
  <c r="B36" i="5"/>
  <c r="O35" i="5"/>
  <c r="N35" i="5"/>
  <c r="H35" i="5"/>
  <c r="G35" i="5"/>
  <c r="F35" i="5"/>
  <c r="E35" i="5"/>
  <c r="D35" i="5"/>
  <c r="C35" i="5"/>
  <c r="B35" i="5"/>
  <c r="O34" i="5"/>
  <c r="N34" i="5"/>
  <c r="H34" i="5"/>
  <c r="G34" i="5"/>
  <c r="F34" i="5"/>
  <c r="E34" i="5"/>
  <c r="D34" i="5"/>
  <c r="C34" i="5"/>
  <c r="B34" i="5"/>
  <c r="O33" i="5"/>
  <c r="N33" i="5"/>
  <c r="H33" i="5"/>
  <c r="G33" i="5"/>
  <c r="F33" i="5"/>
  <c r="E33" i="5"/>
  <c r="D33" i="5"/>
  <c r="C33" i="5"/>
  <c r="B33" i="5"/>
  <c r="O32" i="5"/>
  <c r="N32" i="5"/>
  <c r="H32" i="5"/>
  <c r="G32" i="5"/>
  <c r="F32" i="5"/>
  <c r="E32" i="5"/>
  <c r="D32" i="5"/>
  <c r="C32" i="5"/>
  <c r="B32" i="5"/>
  <c r="O31" i="5"/>
  <c r="N31" i="5"/>
  <c r="H31" i="5"/>
  <c r="G31" i="5"/>
  <c r="F31" i="5"/>
  <c r="E31" i="5"/>
  <c r="D31" i="5"/>
  <c r="C31" i="5"/>
  <c r="B31" i="5"/>
  <c r="O30" i="5"/>
  <c r="N30" i="5"/>
  <c r="H30" i="5"/>
  <c r="G30" i="5"/>
  <c r="F30" i="5"/>
  <c r="E30" i="5"/>
  <c r="D30" i="5"/>
  <c r="C30" i="5"/>
  <c r="B30" i="5"/>
  <c r="O29" i="5"/>
  <c r="N29" i="5"/>
  <c r="H29" i="5"/>
  <c r="G29" i="5"/>
  <c r="F29" i="5"/>
  <c r="E29" i="5"/>
  <c r="D29" i="5"/>
  <c r="C29" i="5"/>
  <c r="B29" i="5"/>
  <c r="O28" i="5"/>
  <c r="N28" i="5"/>
  <c r="H28" i="5"/>
  <c r="G28" i="5"/>
  <c r="F28" i="5"/>
  <c r="E28" i="5"/>
  <c r="D28" i="5"/>
  <c r="C28" i="5"/>
  <c r="B28" i="5"/>
  <c r="O27" i="5"/>
  <c r="N27" i="5"/>
  <c r="H27" i="5"/>
  <c r="G27" i="5"/>
  <c r="F27" i="5"/>
  <c r="E27" i="5"/>
  <c r="D27" i="5"/>
  <c r="C27" i="5"/>
  <c r="B27" i="5"/>
  <c r="O26" i="5"/>
  <c r="N26" i="5"/>
  <c r="H26" i="5"/>
  <c r="G26" i="5"/>
  <c r="F26" i="5"/>
  <c r="E26" i="5"/>
  <c r="D26" i="5"/>
  <c r="C26" i="5"/>
  <c r="B26" i="5"/>
  <c r="O25" i="5"/>
  <c r="N25" i="5"/>
  <c r="H25" i="5"/>
  <c r="G25" i="5"/>
  <c r="F25" i="5"/>
  <c r="E25" i="5"/>
  <c r="D25" i="5"/>
  <c r="C25" i="5"/>
  <c r="B25" i="5"/>
  <c r="O24" i="5"/>
  <c r="N24" i="5"/>
  <c r="H24" i="5"/>
  <c r="G24" i="5"/>
  <c r="F24" i="5"/>
  <c r="E24" i="5"/>
  <c r="D24" i="5"/>
  <c r="C24" i="5"/>
  <c r="B24" i="5"/>
  <c r="O23" i="5"/>
  <c r="N23" i="5"/>
  <c r="H23" i="5"/>
  <c r="G23" i="5"/>
  <c r="F23" i="5"/>
  <c r="E23" i="5"/>
  <c r="D23" i="5"/>
  <c r="C23" i="5"/>
  <c r="B23" i="5"/>
  <c r="O22" i="5"/>
  <c r="N22" i="5"/>
  <c r="H22" i="5"/>
  <c r="G22" i="5"/>
  <c r="F22" i="5"/>
  <c r="E22" i="5"/>
  <c r="D22" i="5"/>
  <c r="C22" i="5"/>
  <c r="B22" i="5"/>
  <c r="O21" i="5"/>
  <c r="N21" i="5"/>
  <c r="H21" i="5"/>
  <c r="G21" i="5"/>
  <c r="F21" i="5"/>
  <c r="E21" i="5"/>
  <c r="D21" i="5"/>
  <c r="C21" i="5"/>
  <c r="B21" i="5"/>
  <c r="O20" i="5"/>
  <c r="N20" i="5"/>
  <c r="H20" i="5"/>
  <c r="G20" i="5"/>
  <c r="F20" i="5"/>
  <c r="E20" i="5"/>
  <c r="D20" i="5"/>
  <c r="C20" i="5"/>
  <c r="B20" i="5"/>
  <c r="O19" i="5"/>
  <c r="N19" i="5"/>
  <c r="H19" i="5"/>
  <c r="G19" i="5"/>
  <c r="F19" i="5"/>
  <c r="E19" i="5"/>
  <c r="D19" i="5"/>
  <c r="C19" i="5"/>
  <c r="B19" i="5"/>
  <c r="O18" i="5"/>
  <c r="N18" i="5"/>
  <c r="H18" i="5"/>
  <c r="G18" i="5"/>
  <c r="F18" i="5"/>
  <c r="E18" i="5"/>
  <c r="D18" i="5"/>
  <c r="C18" i="5"/>
  <c r="B18" i="5"/>
  <c r="O17" i="5"/>
  <c r="N17" i="5"/>
  <c r="H17" i="5"/>
  <c r="G17" i="5"/>
  <c r="F17" i="5"/>
  <c r="E17" i="5"/>
  <c r="D17" i="5"/>
  <c r="C17" i="5"/>
  <c r="B17" i="5"/>
  <c r="O16" i="5"/>
  <c r="N16" i="5"/>
  <c r="H16" i="5"/>
  <c r="G16" i="5"/>
  <c r="F16" i="5"/>
  <c r="E16" i="5"/>
  <c r="D16" i="5"/>
  <c r="C16" i="5"/>
  <c r="B16" i="5"/>
  <c r="O15" i="5"/>
  <c r="N15" i="5"/>
  <c r="H15" i="5"/>
  <c r="G15" i="5"/>
  <c r="F15" i="5"/>
  <c r="E15" i="5"/>
  <c r="D15" i="5"/>
  <c r="C15" i="5"/>
  <c r="B15" i="5"/>
  <c r="O14" i="5"/>
  <c r="N14" i="5"/>
  <c r="H14" i="5"/>
  <c r="G14" i="5"/>
  <c r="F14" i="5"/>
  <c r="E14" i="5"/>
  <c r="D14" i="5"/>
  <c r="C14" i="5"/>
  <c r="B14" i="5"/>
  <c r="O13" i="5"/>
  <c r="N13" i="5"/>
  <c r="H13" i="5"/>
  <c r="G13" i="5"/>
  <c r="F13" i="5"/>
  <c r="E13" i="5"/>
  <c r="D13" i="5"/>
  <c r="C13" i="5"/>
  <c r="B13" i="5"/>
  <c r="O12" i="5"/>
  <c r="N12" i="5"/>
  <c r="H12" i="5"/>
  <c r="G12" i="5"/>
  <c r="F12" i="5"/>
  <c r="E12" i="5"/>
  <c r="D12" i="5"/>
  <c r="C12" i="5"/>
  <c r="B12" i="5"/>
  <c r="O11" i="5"/>
  <c r="N11" i="5"/>
  <c r="H11" i="5"/>
  <c r="G11" i="5"/>
  <c r="F11" i="5"/>
  <c r="E11" i="5"/>
  <c r="D11" i="5"/>
  <c r="C11" i="5"/>
  <c r="B11" i="5"/>
  <c r="O10" i="5"/>
  <c r="N10" i="5"/>
  <c r="H10" i="5"/>
  <c r="G10" i="5"/>
  <c r="F10" i="5"/>
  <c r="E10" i="5"/>
  <c r="D10" i="5"/>
  <c r="C10" i="5"/>
  <c r="B10" i="5"/>
  <c r="O9" i="5"/>
  <c r="N9" i="5"/>
  <c r="H9" i="5"/>
  <c r="G9" i="5"/>
  <c r="F9" i="5"/>
  <c r="E9" i="5"/>
  <c r="D9" i="5"/>
  <c r="C9" i="5"/>
  <c r="B9" i="5"/>
  <c r="O8" i="5"/>
  <c r="N8" i="5"/>
  <c r="H8" i="5"/>
  <c r="G8" i="5"/>
  <c r="F8" i="5"/>
  <c r="E8" i="5"/>
  <c r="D8" i="5"/>
  <c r="C8" i="5"/>
  <c r="B8" i="5"/>
  <c r="O7" i="5"/>
  <c r="N7" i="5"/>
  <c r="H7" i="5"/>
  <c r="G7" i="5"/>
  <c r="F7" i="5"/>
  <c r="E7" i="5"/>
  <c r="D7" i="5"/>
  <c r="C7" i="5"/>
  <c r="B7" i="5"/>
  <c r="O6" i="5"/>
  <c r="N6" i="5"/>
  <c r="H6" i="5"/>
  <c r="G6" i="5"/>
  <c r="F6" i="5"/>
  <c r="E6" i="5"/>
  <c r="D6" i="5"/>
  <c r="C6" i="5"/>
  <c r="B6" i="5"/>
  <c r="O5" i="5"/>
  <c r="N5" i="5"/>
  <c r="H5" i="5"/>
  <c r="G5" i="5"/>
  <c r="F5" i="5"/>
  <c r="E5" i="5"/>
  <c r="D5" i="5"/>
  <c r="C5" i="5"/>
  <c r="B5" i="5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F136" i="3"/>
  <c r="E136" i="3"/>
  <c r="D136" i="3"/>
  <c r="C136" i="3"/>
  <c r="B136" i="3"/>
  <c r="F135" i="3"/>
  <c r="E135" i="3"/>
  <c r="D135" i="3"/>
  <c r="C135" i="3"/>
  <c r="B135" i="3"/>
  <c r="E134" i="3"/>
  <c r="D134" i="3"/>
  <c r="C134" i="3"/>
  <c r="B134" i="3"/>
  <c r="G133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G129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E121" i="3"/>
  <c r="D121" i="3"/>
  <c r="C121" i="3"/>
  <c r="B121" i="3"/>
  <c r="E120" i="3"/>
  <c r="D120" i="3"/>
  <c r="C120" i="3"/>
  <c r="B120" i="3"/>
  <c r="E119" i="3"/>
  <c r="D119" i="3"/>
  <c r="C119" i="3"/>
  <c r="B119" i="3"/>
  <c r="E118" i="3"/>
  <c r="D118" i="3"/>
  <c r="C118" i="3"/>
  <c r="B118" i="3"/>
  <c r="E117" i="3"/>
  <c r="D117" i="3"/>
  <c r="C117" i="3"/>
  <c r="B117" i="3"/>
  <c r="E116" i="3"/>
  <c r="D116" i="3"/>
  <c r="C116" i="3"/>
  <c r="B116" i="3"/>
  <c r="E115" i="3"/>
  <c r="D115" i="3"/>
  <c r="C115" i="3"/>
  <c r="B115" i="3"/>
  <c r="E114" i="3"/>
  <c r="D114" i="3"/>
  <c r="C114" i="3"/>
  <c r="B114" i="3"/>
  <c r="F113" i="3"/>
  <c r="E113" i="3"/>
  <c r="D113" i="3"/>
  <c r="C113" i="3"/>
  <c r="B113" i="3"/>
  <c r="E112" i="3"/>
  <c r="D112" i="3"/>
  <c r="C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F82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G43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J266" i="2"/>
  <c r="J66" i="7" s="1"/>
  <c r="I266" i="2"/>
  <c r="J265" i="2"/>
  <c r="J65" i="7" s="1"/>
  <c r="I265" i="2"/>
  <c r="I65" i="7" s="1"/>
  <c r="J264" i="2"/>
  <c r="J64" i="7" s="1"/>
  <c r="I264" i="2"/>
  <c r="I64" i="7" s="1"/>
  <c r="J263" i="2"/>
  <c r="J63" i="7" s="1"/>
  <c r="I263" i="2"/>
  <c r="I63" i="7" s="1"/>
  <c r="M262" i="2"/>
  <c r="M62" i="7" s="1"/>
  <c r="J262" i="2"/>
  <c r="J62" i="7" s="1"/>
  <c r="I262" i="2"/>
  <c r="I62" i="7" s="1"/>
  <c r="J261" i="2"/>
  <c r="J61" i="7" s="1"/>
  <c r="I261" i="2"/>
  <c r="J260" i="2"/>
  <c r="J60" i="7" s="1"/>
  <c r="I260" i="2"/>
  <c r="J259" i="2"/>
  <c r="J59" i="7" s="1"/>
  <c r="I259" i="2"/>
  <c r="I59" i="7" s="1"/>
  <c r="J258" i="2"/>
  <c r="J58" i="7" s="1"/>
  <c r="I258" i="2"/>
  <c r="J257" i="2"/>
  <c r="J57" i="7" s="1"/>
  <c r="I257" i="2"/>
  <c r="L256" i="2"/>
  <c r="L56" i="7" s="1"/>
  <c r="J256" i="2"/>
  <c r="J56" i="7" s="1"/>
  <c r="I256" i="2"/>
  <c r="I56" i="7" s="1"/>
  <c r="J255" i="2"/>
  <c r="J55" i="7" s="1"/>
  <c r="I255" i="2"/>
  <c r="I55" i="7" s="1"/>
  <c r="J254" i="2"/>
  <c r="L254" i="2" s="1"/>
  <c r="I254" i="2"/>
  <c r="J253" i="2"/>
  <c r="J53" i="7" s="1"/>
  <c r="I253" i="2"/>
  <c r="I53" i="7" s="1"/>
  <c r="M252" i="2"/>
  <c r="L252" i="2"/>
  <c r="L52" i="7" s="1"/>
  <c r="K252" i="2"/>
  <c r="J252" i="2"/>
  <c r="I252" i="2"/>
  <c r="J251" i="2"/>
  <c r="K251" i="2" s="1"/>
  <c r="K51" i="7" s="1"/>
  <c r="I251" i="2"/>
  <c r="J250" i="2"/>
  <c r="J50" i="7" s="1"/>
  <c r="I250" i="2"/>
  <c r="I50" i="7" s="1"/>
  <c r="J249" i="2"/>
  <c r="I249" i="2"/>
  <c r="J248" i="2"/>
  <c r="J48" i="7" s="1"/>
  <c r="I248" i="2"/>
  <c r="J247" i="2"/>
  <c r="J47" i="7" s="1"/>
  <c r="I247" i="2"/>
  <c r="I47" i="7" s="1"/>
  <c r="J246" i="2"/>
  <c r="M246" i="2" s="1"/>
  <c r="I246" i="2"/>
  <c r="J245" i="2"/>
  <c r="J45" i="7" s="1"/>
  <c r="I245" i="2"/>
  <c r="J244" i="2"/>
  <c r="I244" i="2"/>
  <c r="J243" i="2"/>
  <c r="J43" i="7" s="1"/>
  <c r="I243" i="2"/>
  <c r="I43" i="7" s="1"/>
  <c r="J242" i="2"/>
  <c r="J42" i="7" s="1"/>
  <c r="I242" i="2"/>
  <c r="J241" i="2"/>
  <c r="J41" i="7" s="1"/>
  <c r="I241" i="2"/>
  <c r="K241" i="2" s="1"/>
  <c r="K41" i="7" s="1"/>
  <c r="J240" i="2"/>
  <c r="J40" i="7" s="1"/>
  <c r="I240" i="2"/>
  <c r="I40" i="7" s="1"/>
  <c r="J239" i="2"/>
  <c r="I239" i="2"/>
  <c r="J238" i="2"/>
  <c r="I238" i="2"/>
  <c r="I38" i="7" s="1"/>
  <c r="J237" i="2"/>
  <c r="M237" i="2" s="1"/>
  <c r="I237" i="2"/>
  <c r="I37" i="7" s="1"/>
  <c r="J236" i="2"/>
  <c r="M236" i="2" s="1"/>
  <c r="I236" i="2"/>
  <c r="I36" i="7" s="1"/>
  <c r="J235" i="2"/>
  <c r="J35" i="7" s="1"/>
  <c r="I235" i="2"/>
  <c r="L234" i="2"/>
  <c r="L34" i="7" s="1"/>
  <c r="J234" i="2"/>
  <c r="J34" i="7" s="1"/>
  <c r="I234" i="2"/>
  <c r="I34" i="7" s="1"/>
  <c r="M233" i="2"/>
  <c r="M33" i="7" s="1"/>
  <c r="L233" i="2"/>
  <c r="L33" i="7" s="1"/>
  <c r="J233" i="2"/>
  <c r="J33" i="7" s="1"/>
  <c r="I233" i="2"/>
  <c r="I33" i="7" s="1"/>
  <c r="J232" i="2"/>
  <c r="J32" i="7" s="1"/>
  <c r="I232" i="2"/>
  <c r="I32" i="7" s="1"/>
  <c r="J231" i="2"/>
  <c r="J31" i="7" s="1"/>
  <c r="I231" i="2"/>
  <c r="M230" i="2"/>
  <c r="L230" i="2"/>
  <c r="J230" i="2"/>
  <c r="J30" i="7" s="1"/>
  <c r="I230" i="2"/>
  <c r="J229" i="2"/>
  <c r="K229" i="2" s="1"/>
  <c r="I229" i="2"/>
  <c r="J228" i="2"/>
  <c r="L228" i="2" s="1"/>
  <c r="L28" i="7" s="1"/>
  <c r="I228" i="2"/>
  <c r="I28" i="7" s="1"/>
  <c r="J227" i="2"/>
  <c r="J27" i="7" s="1"/>
  <c r="I227" i="2"/>
  <c r="I27" i="7" s="1"/>
  <c r="J226" i="2"/>
  <c r="J26" i="7" s="1"/>
  <c r="I226" i="2"/>
  <c r="I26" i="7" s="1"/>
  <c r="J225" i="2"/>
  <c r="J25" i="7" s="1"/>
  <c r="I225" i="2"/>
  <c r="J224" i="2"/>
  <c r="I224" i="2"/>
  <c r="J223" i="2"/>
  <c r="J23" i="7" s="1"/>
  <c r="I223" i="2"/>
  <c r="J222" i="2"/>
  <c r="J22" i="7" s="1"/>
  <c r="I222" i="2"/>
  <c r="I22" i="7" s="1"/>
  <c r="M221" i="2"/>
  <c r="M21" i="7" s="1"/>
  <c r="J221" i="2"/>
  <c r="J21" i="7" s="1"/>
  <c r="I221" i="2"/>
  <c r="I21" i="7" s="1"/>
  <c r="J220" i="2"/>
  <c r="J20" i="7" s="1"/>
  <c r="I220" i="2"/>
  <c r="I20" i="7" s="1"/>
  <c r="J219" i="2"/>
  <c r="I219" i="2"/>
  <c r="L218" i="2"/>
  <c r="J218" i="2"/>
  <c r="J18" i="7" s="1"/>
  <c r="I218" i="2"/>
  <c r="I18" i="7" s="1"/>
  <c r="J217" i="2"/>
  <c r="J17" i="7" s="1"/>
  <c r="I217" i="2"/>
  <c r="I17" i="7" s="1"/>
  <c r="J216" i="2"/>
  <c r="J16" i="7" s="1"/>
  <c r="I216" i="2"/>
  <c r="I16" i="7" s="1"/>
  <c r="J215" i="2"/>
  <c r="L215" i="2" s="1"/>
  <c r="I215" i="2"/>
  <c r="J214" i="2"/>
  <c r="J14" i="7" s="1"/>
  <c r="I214" i="2"/>
  <c r="J213" i="2"/>
  <c r="I213" i="2"/>
  <c r="F124" i="3" s="1"/>
  <c r="J212" i="2"/>
  <c r="I212" i="2"/>
  <c r="J211" i="2"/>
  <c r="J11" i="7" s="1"/>
  <c r="I211" i="2"/>
  <c r="J210" i="2"/>
  <c r="J10" i="7" s="1"/>
  <c r="I210" i="2"/>
  <c r="I10" i="7" s="1"/>
  <c r="J209" i="2"/>
  <c r="J9" i="7" s="1"/>
  <c r="I209" i="2"/>
  <c r="K208" i="2"/>
  <c r="K8" i="7" s="1"/>
  <c r="J208" i="2"/>
  <c r="J8" i="7" s="1"/>
  <c r="I208" i="2"/>
  <c r="I8" i="7" s="1"/>
  <c r="J207" i="2"/>
  <c r="I207" i="2"/>
  <c r="J206" i="2"/>
  <c r="I206" i="2"/>
  <c r="I6" i="7" s="1"/>
  <c r="M205" i="2"/>
  <c r="M5" i="7" s="1"/>
  <c r="J205" i="2"/>
  <c r="J5" i="7" s="1"/>
  <c r="I205" i="2"/>
  <c r="I5" i="7" s="1"/>
  <c r="J204" i="2"/>
  <c r="J75" i="6" s="1"/>
  <c r="I204" i="2"/>
  <c r="I75" i="6" s="1"/>
  <c r="J203" i="2"/>
  <c r="J74" i="6" s="1"/>
  <c r="I203" i="2"/>
  <c r="L202" i="2"/>
  <c r="J202" i="2"/>
  <c r="I202" i="2"/>
  <c r="I73" i="6" s="1"/>
  <c r="J201" i="2"/>
  <c r="J72" i="6" s="1"/>
  <c r="I201" i="2"/>
  <c r="I72" i="6" s="1"/>
  <c r="J200" i="2"/>
  <c r="J71" i="6" s="1"/>
  <c r="I200" i="2"/>
  <c r="I71" i="6" s="1"/>
  <c r="J199" i="2"/>
  <c r="M199" i="2" s="1"/>
  <c r="I199" i="2"/>
  <c r="M198" i="2"/>
  <c r="M69" i="6" s="1"/>
  <c r="J198" i="2"/>
  <c r="J69" i="6" s="1"/>
  <c r="I198" i="2"/>
  <c r="I69" i="6" s="1"/>
  <c r="J197" i="2"/>
  <c r="M197" i="2" s="1"/>
  <c r="I197" i="2"/>
  <c r="J196" i="2"/>
  <c r="L196" i="2" s="1"/>
  <c r="L67" i="6" s="1"/>
  <c r="I196" i="2"/>
  <c r="I67" i="6" s="1"/>
  <c r="J195" i="2"/>
  <c r="J66" i="6" s="1"/>
  <c r="I195" i="2"/>
  <c r="I66" i="6" s="1"/>
  <c r="J194" i="2"/>
  <c r="J65" i="6" s="1"/>
  <c r="I194" i="2"/>
  <c r="I65" i="6" s="1"/>
  <c r="J193" i="2"/>
  <c r="K193" i="2" s="1"/>
  <c r="I193" i="2"/>
  <c r="K192" i="2"/>
  <c r="K63" i="6" s="1"/>
  <c r="J192" i="2"/>
  <c r="J63" i="6" s="1"/>
  <c r="I192" i="2"/>
  <c r="I63" i="6" s="1"/>
  <c r="J191" i="2"/>
  <c r="K191" i="2" s="1"/>
  <c r="K62" i="6" s="1"/>
  <c r="I191" i="2"/>
  <c r="I62" i="6" s="1"/>
  <c r="J190" i="2"/>
  <c r="I190" i="2"/>
  <c r="I61" i="6" s="1"/>
  <c r="J189" i="2"/>
  <c r="J60" i="6" s="1"/>
  <c r="I189" i="2"/>
  <c r="J188" i="2"/>
  <c r="J59" i="6" s="1"/>
  <c r="I188" i="2"/>
  <c r="I59" i="6" s="1"/>
  <c r="J187" i="2"/>
  <c r="J58" i="6" s="1"/>
  <c r="I187" i="2"/>
  <c r="J186" i="2"/>
  <c r="J57" i="6" s="1"/>
  <c r="I186" i="2"/>
  <c r="J185" i="2"/>
  <c r="M185" i="2" s="1"/>
  <c r="I185" i="2"/>
  <c r="J184" i="2"/>
  <c r="I184" i="2"/>
  <c r="I55" i="6" s="1"/>
  <c r="J183" i="2"/>
  <c r="J54" i="6" s="1"/>
  <c r="I183" i="2"/>
  <c r="I54" i="6" s="1"/>
  <c r="M182" i="2"/>
  <c r="M53" i="6" s="1"/>
  <c r="L182" i="2"/>
  <c r="L53" i="6" s="1"/>
  <c r="K182" i="2"/>
  <c r="K53" i="6" s="1"/>
  <c r="J182" i="2"/>
  <c r="J53" i="6" s="1"/>
  <c r="I182" i="2"/>
  <c r="I53" i="6" s="1"/>
  <c r="J181" i="2"/>
  <c r="M181" i="2" s="1"/>
  <c r="M52" i="6" s="1"/>
  <c r="I181" i="2"/>
  <c r="J180" i="2"/>
  <c r="L180" i="2" s="1"/>
  <c r="I180" i="2"/>
  <c r="I51" i="6" s="1"/>
  <c r="J179" i="2"/>
  <c r="L179" i="2" s="1"/>
  <c r="I179" i="2"/>
  <c r="J178" i="2"/>
  <c r="J49" i="6" s="1"/>
  <c r="I178" i="2"/>
  <c r="I49" i="6" s="1"/>
  <c r="K177" i="2"/>
  <c r="J177" i="2"/>
  <c r="I177" i="2"/>
  <c r="J176" i="2"/>
  <c r="K176" i="2" s="1"/>
  <c r="I176" i="2"/>
  <c r="J175" i="2"/>
  <c r="J46" i="6" s="1"/>
  <c r="I175" i="2"/>
  <c r="J174" i="2"/>
  <c r="I174" i="2"/>
  <c r="F103" i="3" s="1"/>
  <c r="J173" i="2"/>
  <c r="M173" i="2" s="1"/>
  <c r="I173" i="2"/>
  <c r="J172" i="2"/>
  <c r="G101" i="3" s="1"/>
  <c r="I172" i="2"/>
  <c r="J171" i="2"/>
  <c r="I171" i="2"/>
  <c r="J170" i="2"/>
  <c r="I170" i="2"/>
  <c r="J169" i="2"/>
  <c r="J40" i="6" s="1"/>
  <c r="I169" i="2"/>
  <c r="J168" i="2"/>
  <c r="J39" i="6" s="1"/>
  <c r="I168" i="2"/>
  <c r="M167" i="2"/>
  <c r="M38" i="6" s="1"/>
  <c r="L167" i="2"/>
  <c r="L38" i="6" s="1"/>
  <c r="K167" i="2"/>
  <c r="K38" i="6" s="1"/>
  <c r="J167" i="2"/>
  <c r="J38" i="6" s="1"/>
  <c r="I167" i="2"/>
  <c r="I38" i="6" s="1"/>
  <c r="M166" i="2"/>
  <c r="L166" i="2"/>
  <c r="K166" i="2"/>
  <c r="H97" i="3" s="1"/>
  <c r="J166" i="2"/>
  <c r="I166" i="2"/>
  <c r="I37" i="6" s="1"/>
  <c r="J165" i="2"/>
  <c r="K165" i="2" s="1"/>
  <c r="K36" i="6" s="1"/>
  <c r="I165" i="2"/>
  <c r="J164" i="2"/>
  <c r="I164" i="2"/>
  <c r="I35" i="6" s="1"/>
  <c r="J163" i="2"/>
  <c r="J34" i="6" s="1"/>
  <c r="I163" i="2"/>
  <c r="I34" i="6" s="1"/>
  <c r="J162" i="2"/>
  <c r="J33" i="6" s="1"/>
  <c r="I162" i="2"/>
  <c r="I33" i="6" s="1"/>
  <c r="J161" i="2"/>
  <c r="J32" i="6" s="1"/>
  <c r="I161" i="2"/>
  <c r="J160" i="2"/>
  <c r="J31" i="6" s="1"/>
  <c r="I160" i="2"/>
  <c r="I31" i="6" s="1"/>
  <c r="K159" i="2"/>
  <c r="K30" i="6" s="1"/>
  <c r="J159" i="2"/>
  <c r="J30" i="6" s="1"/>
  <c r="I159" i="2"/>
  <c r="I30" i="6" s="1"/>
  <c r="J158" i="2"/>
  <c r="K158" i="2" s="1"/>
  <c r="I158" i="2"/>
  <c r="J157" i="2"/>
  <c r="I157" i="2"/>
  <c r="J156" i="2"/>
  <c r="I156" i="2"/>
  <c r="J155" i="2"/>
  <c r="J26" i="6" s="1"/>
  <c r="I155" i="2"/>
  <c r="J154" i="2"/>
  <c r="J25" i="6" s="1"/>
  <c r="I154" i="2"/>
  <c r="L154" i="2" s="1"/>
  <c r="J153" i="2"/>
  <c r="J24" i="6" s="1"/>
  <c r="I153" i="2"/>
  <c r="J152" i="2"/>
  <c r="J23" i="6" s="1"/>
  <c r="I152" i="2"/>
  <c r="M151" i="2"/>
  <c r="M22" i="6" s="1"/>
  <c r="L151" i="2"/>
  <c r="L22" i="6" s="1"/>
  <c r="K151" i="2"/>
  <c r="K22" i="6" s="1"/>
  <c r="J151" i="2"/>
  <c r="J22" i="6" s="1"/>
  <c r="I151" i="2"/>
  <c r="I22" i="6" s="1"/>
  <c r="M150" i="2"/>
  <c r="M21" i="6" s="1"/>
  <c r="L150" i="2"/>
  <c r="L21" i="6" s="1"/>
  <c r="J150" i="2"/>
  <c r="J21" i="6" s="1"/>
  <c r="I150" i="2"/>
  <c r="I21" i="6" s="1"/>
  <c r="J149" i="2"/>
  <c r="K149" i="2" s="1"/>
  <c r="I149" i="2"/>
  <c r="F90" i="3" s="1"/>
  <c r="J148" i="2"/>
  <c r="L148" i="2" s="1"/>
  <c r="L19" i="6" s="1"/>
  <c r="I148" i="2"/>
  <c r="I19" i="6" s="1"/>
  <c r="J147" i="2"/>
  <c r="J18" i="6" s="1"/>
  <c r="I147" i="2"/>
  <c r="I18" i="6" s="1"/>
  <c r="M146" i="2"/>
  <c r="M17" i="6" s="1"/>
  <c r="L146" i="2"/>
  <c r="L17" i="6" s="1"/>
  <c r="J146" i="2"/>
  <c r="J17" i="6" s="1"/>
  <c r="I146" i="2"/>
  <c r="I17" i="6" s="1"/>
  <c r="J145" i="2"/>
  <c r="J16" i="6" s="1"/>
  <c r="I145" i="2"/>
  <c r="J144" i="2"/>
  <c r="K144" i="2" s="1"/>
  <c r="I144" i="2"/>
  <c r="J143" i="2"/>
  <c r="J14" i="6" s="1"/>
  <c r="I143" i="2"/>
  <c r="J142" i="2"/>
  <c r="I142" i="2"/>
  <c r="M141" i="2"/>
  <c r="J141" i="2"/>
  <c r="I141" i="2"/>
  <c r="J140" i="2"/>
  <c r="I140" i="2"/>
  <c r="J139" i="2"/>
  <c r="I139" i="2"/>
  <c r="J138" i="2"/>
  <c r="J9" i="6" s="1"/>
  <c r="I138" i="2"/>
  <c r="J137" i="2"/>
  <c r="J8" i="6" s="1"/>
  <c r="I137" i="2"/>
  <c r="J136" i="2"/>
  <c r="I136" i="2"/>
  <c r="B24" i="1" s="1"/>
  <c r="J135" i="2"/>
  <c r="G82" i="3" s="1"/>
  <c r="I135" i="2"/>
  <c r="I6" i="6" s="1"/>
  <c r="J134" i="2"/>
  <c r="L134" i="2" s="1"/>
  <c r="I134" i="2"/>
  <c r="I5" i="6" s="1"/>
  <c r="J133" i="2"/>
  <c r="M133" i="2" s="1"/>
  <c r="I133" i="2"/>
  <c r="J132" i="2"/>
  <c r="I132" i="2"/>
  <c r="I78" i="5" s="1"/>
  <c r="J131" i="2"/>
  <c r="K131" i="2" s="1"/>
  <c r="I131" i="2"/>
  <c r="M130" i="2"/>
  <c r="M76" i="5" s="1"/>
  <c r="L130" i="2"/>
  <c r="J130" i="2"/>
  <c r="J76" i="5" s="1"/>
  <c r="I130" i="2"/>
  <c r="I76" i="5" s="1"/>
  <c r="J129" i="2"/>
  <c r="G76" i="3" s="1"/>
  <c r="I129" i="2"/>
  <c r="J128" i="2"/>
  <c r="K128" i="2" s="1"/>
  <c r="I128" i="2"/>
  <c r="I74" i="5" s="1"/>
  <c r="L127" i="2"/>
  <c r="K127" i="2"/>
  <c r="J127" i="2"/>
  <c r="I127" i="2"/>
  <c r="J126" i="2"/>
  <c r="I126" i="2"/>
  <c r="J125" i="2"/>
  <c r="M125" i="2" s="1"/>
  <c r="I125" i="2"/>
  <c r="J124" i="2"/>
  <c r="I124" i="2"/>
  <c r="J123" i="2"/>
  <c r="I123" i="2"/>
  <c r="J122" i="2"/>
  <c r="I122" i="2"/>
  <c r="J121" i="2"/>
  <c r="J67" i="5" s="1"/>
  <c r="I121" i="2"/>
  <c r="J120" i="2"/>
  <c r="J66" i="5" s="1"/>
  <c r="I120" i="2"/>
  <c r="J119" i="2"/>
  <c r="J65" i="5" s="1"/>
  <c r="I119" i="2"/>
  <c r="F68" i="3" s="1"/>
  <c r="M118" i="2"/>
  <c r="M64" i="5" s="1"/>
  <c r="J118" i="2"/>
  <c r="J64" i="5" s="1"/>
  <c r="I118" i="2"/>
  <c r="I64" i="5" s="1"/>
  <c r="J117" i="2"/>
  <c r="M117" i="2" s="1"/>
  <c r="I117" i="2"/>
  <c r="J116" i="2"/>
  <c r="M116" i="2" s="1"/>
  <c r="I116" i="2"/>
  <c r="I62" i="5" s="1"/>
  <c r="J115" i="2"/>
  <c r="J61" i="5" s="1"/>
  <c r="I115" i="2"/>
  <c r="J114" i="2"/>
  <c r="J60" i="5" s="1"/>
  <c r="I114" i="2"/>
  <c r="K113" i="2"/>
  <c r="J113" i="2"/>
  <c r="L113" i="2" s="1"/>
  <c r="I113" i="2"/>
  <c r="J112" i="2"/>
  <c r="J58" i="5" s="1"/>
  <c r="I112" i="2"/>
  <c r="I58" i="5" s="1"/>
  <c r="J111" i="2"/>
  <c r="M111" i="2" s="1"/>
  <c r="I111" i="2"/>
  <c r="J110" i="2"/>
  <c r="K110" i="2" s="1"/>
  <c r="I110" i="2"/>
  <c r="I56" i="5" s="1"/>
  <c r="J109" i="2"/>
  <c r="I109" i="2"/>
  <c r="J108" i="2"/>
  <c r="L108" i="2" s="1"/>
  <c r="I108" i="2"/>
  <c r="I54" i="5" s="1"/>
  <c r="J107" i="2"/>
  <c r="I107" i="2"/>
  <c r="L106" i="2"/>
  <c r="J106" i="2"/>
  <c r="J52" i="5" s="1"/>
  <c r="I106" i="2"/>
  <c r="J105" i="2"/>
  <c r="I105" i="2"/>
  <c r="J104" i="2"/>
  <c r="J50" i="5" s="1"/>
  <c r="I104" i="2"/>
  <c r="M103" i="2"/>
  <c r="L103" i="2"/>
  <c r="L49" i="5" s="1"/>
  <c r="J103" i="2"/>
  <c r="J49" i="5" s="1"/>
  <c r="I103" i="2"/>
  <c r="J102" i="2"/>
  <c r="J48" i="5" s="1"/>
  <c r="I102" i="2"/>
  <c r="J101" i="2"/>
  <c r="M101" i="2" s="1"/>
  <c r="I101" i="2"/>
  <c r="J100" i="2"/>
  <c r="L100" i="2" s="1"/>
  <c r="I100" i="2"/>
  <c r="I46" i="5" s="1"/>
  <c r="J99" i="2"/>
  <c r="L99" i="2" s="1"/>
  <c r="I99" i="2"/>
  <c r="M98" i="2"/>
  <c r="J98" i="2"/>
  <c r="J44" i="5" s="1"/>
  <c r="I98" i="2"/>
  <c r="I44" i="5" s="1"/>
  <c r="J97" i="2"/>
  <c r="I97" i="2"/>
  <c r="J96" i="2"/>
  <c r="I96" i="2"/>
  <c r="I42" i="5" s="1"/>
  <c r="J95" i="2"/>
  <c r="M95" i="2" s="1"/>
  <c r="I95" i="2"/>
  <c r="I41" i="5" s="1"/>
  <c r="J94" i="2"/>
  <c r="I94" i="2"/>
  <c r="I40" i="5" s="1"/>
  <c r="M93" i="2"/>
  <c r="J93" i="2"/>
  <c r="I93" i="2"/>
  <c r="J92" i="2"/>
  <c r="K92" i="2" s="1"/>
  <c r="I92" i="2"/>
  <c r="I38" i="5" s="1"/>
  <c r="J91" i="2"/>
  <c r="I91" i="2"/>
  <c r="J90" i="2"/>
  <c r="J36" i="5" s="1"/>
  <c r="I90" i="2"/>
  <c r="J89" i="2"/>
  <c r="I89" i="2"/>
  <c r="M89" i="2" s="1"/>
  <c r="J88" i="2"/>
  <c r="J34" i="5" s="1"/>
  <c r="I88" i="2"/>
  <c r="M87" i="2"/>
  <c r="L87" i="2"/>
  <c r="L33" i="5" s="1"/>
  <c r="K87" i="2"/>
  <c r="J87" i="2"/>
  <c r="J33" i="5" s="1"/>
  <c r="I87" i="2"/>
  <c r="I33" i="5" s="1"/>
  <c r="J86" i="2"/>
  <c r="I86" i="2"/>
  <c r="J85" i="2"/>
  <c r="J31" i="5" s="1"/>
  <c r="I85" i="2"/>
  <c r="J84" i="2"/>
  <c r="L84" i="2" s="1"/>
  <c r="I84" i="2"/>
  <c r="I30" i="5" s="1"/>
  <c r="J83" i="2"/>
  <c r="I83" i="2"/>
  <c r="J82" i="2"/>
  <c r="J28" i="5" s="1"/>
  <c r="I82" i="2"/>
  <c r="I28" i="5" s="1"/>
  <c r="J81" i="2"/>
  <c r="J27" i="5" s="1"/>
  <c r="I81" i="2"/>
  <c r="J80" i="2"/>
  <c r="J26" i="5" s="1"/>
  <c r="I80" i="2"/>
  <c r="I26" i="5" s="1"/>
  <c r="M79" i="2"/>
  <c r="L79" i="2"/>
  <c r="K79" i="2"/>
  <c r="J79" i="2"/>
  <c r="J25" i="5" s="1"/>
  <c r="I79" i="2"/>
  <c r="F38" i="3" s="1"/>
  <c r="J78" i="2"/>
  <c r="K78" i="2" s="1"/>
  <c r="K24" i="5" s="1"/>
  <c r="I78" i="2"/>
  <c r="I24" i="5" s="1"/>
  <c r="J77" i="2"/>
  <c r="J23" i="5" s="1"/>
  <c r="I77" i="2"/>
  <c r="J76" i="2"/>
  <c r="L76" i="2" s="1"/>
  <c r="L22" i="5" s="1"/>
  <c r="I76" i="2"/>
  <c r="I22" i="5" s="1"/>
  <c r="J75" i="2"/>
  <c r="I75" i="2"/>
  <c r="J74" i="2"/>
  <c r="J20" i="5" s="1"/>
  <c r="I74" i="2"/>
  <c r="K73" i="2"/>
  <c r="J73" i="2"/>
  <c r="I73" i="2"/>
  <c r="J72" i="2"/>
  <c r="G34" i="3" s="1"/>
  <c r="I72" i="2"/>
  <c r="J71" i="2"/>
  <c r="K71" i="2" s="1"/>
  <c r="I71" i="2"/>
  <c r="F33" i="3" s="1"/>
  <c r="M70" i="2"/>
  <c r="J70" i="2"/>
  <c r="L70" i="2" s="1"/>
  <c r="L16" i="5" s="1"/>
  <c r="I70" i="2"/>
  <c r="J69" i="2"/>
  <c r="J15" i="5" s="1"/>
  <c r="I69" i="2"/>
  <c r="I15" i="5" s="1"/>
  <c r="J68" i="2"/>
  <c r="I68" i="2"/>
  <c r="I14" i="5" s="1"/>
  <c r="J67" i="2"/>
  <c r="I67" i="2"/>
  <c r="J66" i="2"/>
  <c r="J12" i="5" s="1"/>
  <c r="I66" i="2"/>
  <c r="I12" i="5" s="1"/>
  <c r="J65" i="2"/>
  <c r="G28" i="3" s="1"/>
  <c r="I65" i="2"/>
  <c r="J64" i="2"/>
  <c r="I64" i="2"/>
  <c r="I10" i="5" s="1"/>
  <c r="J63" i="2"/>
  <c r="J9" i="5" s="1"/>
  <c r="I63" i="2"/>
  <c r="J62" i="2"/>
  <c r="I62" i="2"/>
  <c r="I8" i="5" s="1"/>
  <c r="J61" i="2"/>
  <c r="I61" i="2"/>
  <c r="J60" i="2"/>
  <c r="K60" i="2" s="1"/>
  <c r="I60" i="2"/>
  <c r="F24" i="3" s="1"/>
  <c r="J59" i="2"/>
  <c r="I59" i="2"/>
  <c r="J58" i="2"/>
  <c r="L58" i="2" s="1"/>
  <c r="L61" i="4" s="1"/>
  <c r="I58" i="2"/>
  <c r="J57" i="2"/>
  <c r="M57" i="2" s="1"/>
  <c r="M60" i="4" s="1"/>
  <c r="I57" i="2"/>
  <c r="J56" i="2"/>
  <c r="J59" i="4" s="1"/>
  <c r="I56" i="2"/>
  <c r="J55" i="2"/>
  <c r="G22" i="3" s="1"/>
  <c r="I55" i="2"/>
  <c r="F22" i="3" s="1"/>
  <c r="M54" i="2"/>
  <c r="M57" i="4" s="1"/>
  <c r="L54" i="2"/>
  <c r="L57" i="4" s="1"/>
  <c r="J54" i="2"/>
  <c r="J57" i="4" s="1"/>
  <c r="I54" i="2"/>
  <c r="K54" i="2" s="1"/>
  <c r="J53" i="2"/>
  <c r="G21" i="3" s="1"/>
  <c r="I53" i="2"/>
  <c r="F21" i="3" s="1"/>
  <c r="J52" i="2"/>
  <c r="K52" i="2" s="1"/>
  <c r="H20" i="3" s="1"/>
  <c r="I52" i="2"/>
  <c r="F20" i="3" s="1"/>
  <c r="L51" i="2"/>
  <c r="L54" i="4" s="1"/>
  <c r="J51" i="2"/>
  <c r="I51" i="2"/>
  <c r="M51" i="2" s="1"/>
  <c r="M54" i="4" s="1"/>
  <c r="J50" i="2"/>
  <c r="K50" i="2" s="1"/>
  <c r="K53" i="4" s="1"/>
  <c r="I50" i="2"/>
  <c r="J49" i="2"/>
  <c r="I49" i="2"/>
  <c r="M49" i="2" s="1"/>
  <c r="J48" i="2"/>
  <c r="K48" i="2" s="1"/>
  <c r="K51" i="4" s="1"/>
  <c r="I48" i="2"/>
  <c r="J47" i="2"/>
  <c r="M47" i="2" s="1"/>
  <c r="M50" i="4" s="1"/>
  <c r="I47" i="2"/>
  <c r="J46" i="2"/>
  <c r="L46" i="2" s="1"/>
  <c r="L49" i="4" s="1"/>
  <c r="I46" i="2"/>
  <c r="M46" i="2" s="1"/>
  <c r="M49" i="4" s="1"/>
  <c r="J45" i="2"/>
  <c r="M45" i="2" s="1"/>
  <c r="M48" i="4" s="1"/>
  <c r="I45" i="2"/>
  <c r="J44" i="2"/>
  <c r="M44" i="2" s="1"/>
  <c r="M47" i="4" s="1"/>
  <c r="I44" i="2"/>
  <c r="J43" i="2"/>
  <c r="J46" i="4" s="1"/>
  <c r="I43" i="2"/>
  <c r="J42" i="2"/>
  <c r="I42" i="2"/>
  <c r="J41" i="2"/>
  <c r="J44" i="4" s="1"/>
  <c r="I41" i="2"/>
  <c r="J40" i="2"/>
  <c r="I40" i="2"/>
  <c r="J39" i="2"/>
  <c r="K39" i="2" s="1"/>
  <c r="K42" i="4" s="1"/>
  <c r="I39" i="2"/>
  <c r="J38" i="2"/>
  <c r="J41" i="4" s="1"/>
  <c r="I38" i="2"/>
  <c r="J37" i="2"/>
  <c r="M37" i="2" s="1"/>
  <c r="M40" i="4" s="1"/>
  <c r="I37" i="2"/>
  <c r="J36" i="2"/>
  <c r="K36" i="2" s="1"/>
  <c r="I36" i="2"/>
  <c r="J35" i="2"/>
  <c r="I35" i="2"/>
  <c r="J34" i="2"/>
  <c r="K34" i="2" s="1"/>
  <c r="K37" i="4" s="1"/>
  <c r="I34" i="2"/>
  <c r="J33" i="2"/>
  <c r="J36" i="4" s="1"/>
  <c r="I33" i="2"/>
  <c r="J32" i="2"/>
  <c r="J35" i="4" s="1"/>
  <c r="I32" i="2"/>
  <c r="J31" i="2"/>
  <c r="M31" i="2" s="1"/>
  <c r="M34" i="4" s="1"/>
  <c r="I31" i="2"/>
  <c r="J30" i="2"/>
  <c r="L30" i="2" s="1"/>
  <c r="L33" i="4" s="1"/>
  <c r="I30" i="2"/>
  <c r="J29" i="2"/>
  <c r="J32" i="4" s="1"/>
  <c r="I29" i="2"/>
  <c r="J28" i="2"/>
  <c r="I28" i="2"/>
  <c r="F19" i="3" s="1"/>
  <c r="J27" i="2"/>
  <c r="G18" i="3" s="1"/>
  <c r="I27" i="2"/>
  <c r="J26" i="2"/>
  <c r="G17" i="3" s="1"/>
  <c r="I26" i="2"/>
  <c r="J25" i="2"/>
  <c r="G16" i="3" s="1"/>
  <c r="I25" i="2"/>
  <c r="J24" i="2"/>
  <c r="G15" i="3" s="1"/>
  <c r="I24" i="2"/>
  <c r="J23" i="2"/>
  <c r="G14" i="3" s="1"/>
  <c r="I23" i="2"/>
  <c r="F14" i="3" s="1"/>
  <c r="J22" i="2"/>
  <c r="G13" i="3" s="1"/>
  <c r="I22" i="2"/>
  <c r="M21" i="2"/>
  <c r="J12" i="3" s="1"/>
  <c r="J21" i="2"/>
  <c r="G12" i="3" s="1"/>
  <c r="I21" i="2"/>
  <c r="F12" i="3" s="1"/>
  <c r="J20" i="2"/>
  <c r="K20" i="2" s="1"/>
  <c r="H11" i="3" s="1"/>
  <c r="I20" i="2"/>
  <c r="F11" i="3" s="1"/>
  <c r="J19" i="2"/>
  <c r="G10" i="3" s="1"/>
  <c r="I19" i="2"/>
  <c r="M18" i="2"/>
  <c r="M21" i="4" s="1"/>
  <c r="L18" i="2"/>
  <c r="K18" i="2"/>
  <c r="J18" i="2"/>
  <c r="J21" i="4" s="1"/>
  <c r="I18" i="2"/>
  <c r="J17" i="2"/>
  <c r="K17" i="2" s="1"/>
  <c r="K20" i="4" s="1"/>
  <c r="I17" i="2"/>
  <c r="J16" i="2"/>
  <c r="G9" i="3" s="1"/>
  <c r="I16" i="2"/>
  <c r="F9" i="3" s="1"/>
  <c r="J15" i="2"/>
  <c r="G8" i="3" s="1"/>
  <c r="I15" i="2"/>
  <c r="F8" i="3" s="1"/>
  <c r="J14" i="2"/>
  <c r="L14" i="2" s="1"/>
  <c r="I14" i="2"/>
  <c r="J13" i="2"/>
  <c r="I13" i="2"/>
  <c r="I16" i="4" s="1"/>
  <c r="J12" i="2"/>
  <c r="M12" i="2" s="1"/>
  <c r="M15" i="4" s="1"/>
  <c r="I12" i="2"/>
  <c r="J11" i="2"/>
  <c r="J14" i="4" s="1"/>
  <c r="I11" i="2"/>
  <c r="J10" i="2"/>
  <c r="J13" i="4" s="1"/>
  <c r="I10" i="2"/>
  <c r="I13" i="4" s="1"/>
  <c r="J9" i="2"/>
  <c r="K9" i="2" s="1"/>
  <c r="K12" i="4" s="1"/>
  <c r="I9" i="2"/>
  <c r="J8" i="2"/>
  <c r="J11" i="4" s="1"/>
  <c r="I8" i="2"/>
  <c r="J7" i="2"/>
  <c r="J10" i="4" s="1"/>
  <c r="I7" i="2"/>
  <c r="L6" i="2"/>
  <c r="L9" i="4" s="1"/>
  <c r="J6" i="2"/>
  <c r="I6" i="2"/>
  <c r="K6" i="2" s="1"/>
  <c r="K9" i="4" s="1"/>
  <c r="J5" i="2"/>
  <c r="G7" i="3" s="1"/>
  <c r="I5" i="2"/>
  <c r="F7" i="3" s="1"/>
  <c r="J4" i="2"/>
  <c r="K4" i="2" s="1"/>
  <c r="H6" i="3" s="1"/>
  <c r="I4" i="2"/>
  <c r="F6" i="3" s="1"/>
  <c r="J3" i="2"/>
  <c r="G5" i="3" s="1"/>
  <c r="I3" i="2"/>
  <c r="J2" i="2"/>
  <c r="K2" i="2" s="1"/>
  <c r="I2" i="2"/>
  <c r="G8" i="1"/>
  <c r="D8" i="1" a="1"/>
  <c r="D8" i="1" s="1"/>
  <c r="D5" i="1"/>
  <c r="O61" i="4"/>
  <c r="N61" i="4"/>
  <c r="I61" i="4"/>
  <c r="H61" i="4"/>
  <c r="G61" i="4"/>
  <c r="F61" i="4"/>
  <c r="E61" i="4"/>
  <c r="D61" i="4"/>
  <c r="C61" i="4"/>
  <c r="B61" i="4"/>
  <c r="O60" i="4"/>
  <c r="N60" i="4"/>
  <c r="H60" i="4"/>
  <c r="G60" i="4"/>
  <c r="F60" i="4"/>
  <c r="E60" i="4"/>
  <c r="D60" i="4"/>
  <c r="C60" i="4"/>
  <c r="B60" i="4"/>
  <c r="O59" i="4"/>
  <c r="N59" i="4"/>
  <c r="I59" i="4"/>
  <c r="H59" i="4"/>
  <c r="G59" i="4"/>
  <c r="F59" i="4"/>
  <c r="E59" i="4"/>
  <c r="D59" i="4"/>
  <c r="C59" i="4"/>
  <c r="B59" i="4"/>
  <c r="O58" i="4"/>
  <c r="N58" i="4"/>
  <c r="I58" i="4"/>
  <c r="H58" i="4"/>
  <c r="G58" i="4"/>
  <c r="F58" i="4"/>
  <c r="E58" i="4"/>
  <c r="D58" i="4"/>
  <c r="C58" i="4"/>
  <c r="B58" i="4"/>
  <c r="O57" i="4"/>
  <c r="N57" i="4"/>
  <c r="K57" i="4"/>
  <c r="I57" i="4"/>
  <c r="H57" i="4"/>
  <c r="G57" i="4"/>
  <c r="F57" i="4"/>
  <c r="E57" i="4"/>
  <c r="D57" i="4"/>
  <c r="C57" i="4"/>
  <c r="B57" i="4"/>
  <c r="O56" i="4"/>
  <c r="N56" i="4"/>
  <c r="I56" i="4"/>
  <c r="H56" i="4"/>
  <c r="G56" i="4"/>
  <c r="F56" i="4"/>
  <c r="E56" i="4"/>
  <c r="D56" i="4"/>
  <c r="C56" i="4"/>
  <c r="B56" i="4"/>
  <c r="O55" i="4"/>
  <c r="N55" i="4"/>
  <c r="I55" i="4"/>
  <c r="H55" i="4"/>
  <c r="G55" i="4"/>
  <c r="F55" i="4"/>
  <c r="E55" i="4"/>
  <c r="D55" i="4"/>
  <c r="C55" i="4"/>
  <c r="B55" i="4"/>
  <c r="O54" i="4"/>
  <c r="N54" i="4"/>
  <c r="J54" i="4"/>
  <c r="H54" i="4"/>
  <c r="G54" i="4"/>
  <c r="F54" i="4"/>
  <c r="E54" i="4"/>
  <c r="D54" i="4"/>
  <c r="C54" i="4"/>
  <c r="B54" i="4"/>
  <c r="O53" i="4"/>
  <c r="N53" i="4"/>
  <c r="I53" i="4"/>
  <c r="H53" i="4"/>
  <c r="G53" i="4"/>
  <c r="F53" i="4"/>
  <c r="E53" i="4"/>
  <c r="D53" i="4"/>
  <c r="C53" i="4"/>
  <c r="B53" i="4"/>
  <c r="O52" i="4"/>
  <c r="N52" i="4"/>
  <c r="M52" i="4"/>
  <c r="J52" i="4"/>
  <c r="H52" i="4"/>
  <c r="G52" i="4"/>
  <c r="F52" i="4"/>
  <c r="E52" i="4"/>
  <c r="D52" i="4"/>
  <c r="C52" i="4"/>
  <c r="B52" i="4"/>
  <c r="O51" i="4"/>
  <c r="N51" i="4"/>
  <c r="J51" i="4"/>
  <c r="I51" i="4"/>
  <c r="H51" i="4"/>
  <c r="G51" i="4"/>
  <c r="F51" i="4"/>
  <c r="E51" i="4"/>
  <c r="D51" i="4"/>
  <c r="C51" i="4"/>
  <c r="B51" i="4"/>
  <c r="O50" i="4"/>
  <c r="N50" i="4"/>
  <c r="I50" i="4"/>
  <c r="H50" i="4"/>
  <c r="G50" i="4"/>
  <c r="F50" i="4"/>
  <c r="E50" i="4"/>
  <c r="D50" i="4"/>
  <c r="C50" i="4"/>
  <c r="B50" i="4"/>
  <c r="O49" i="4"/>
  <c r="N49" i="4"/>
  <c r="I49" i="4"/>
  <c r="H49" i="4"/>
  <c r="G49" i="4"/>
  <c r="F49" i="4"/>
  <c r="E49" i="4"/>
  <c r="D49" i="4"/>
  <c r="C49" i="4"/>
  <c r="B49" i="4"/>
  <c r="O48" i="4"/>
  <c r="N48" i="4"/>
  <c r="J48" i="4"/>
  <c r="I48" i="4"/>
  <c r="H48" i="4"/>
  <c r="G48" i="4"/>
  <c r="F48" i="4"/>
  <c r="E48" i="4"/>
  <c r="D48" i="4"/>
  <c r="C48" i="4"/>
  <c r="B48" i="4"/>
  <c r="O47" i="4"/>
  <c r="N47" i="4"/>
  <c r="I47" i="4"/>
  <c r="H47" i="4"/>
  <c r="G47" i="4"/>
  <c r="F47" i="4"/>
  <c r="E47" i="4"/>
  <c r="D47" i="4"/>
  <c r="C47" i="4"/>
  <c r="B47" i="4"/>
  <c r="O46" i="4"/>
  <c r="N46" i="4"/>
  <c r="I46" i="4"/>
  <c r="H46" i="4"/>
  <c r="G46" i="4"/>
  <c r="F46" i="4"/>
  <c r="E46" i="4"/>
  <c r="D46" i="4"/>
  <c r="C46" i="4"/>
  <c r="B46" i="4"/>
  <c r="O45" i="4"/>
  <c r="N45" i="4"/>
  <c r="J45" i="4"/>
  <c r="H45" i="4"/>
  <c r="G45" i="4"/>
  <c r="F45" i="4"/>
  <c r="E45" i="4"/>
  <c r="D45" i="4"/>
  <c r="C45" i="4"/>
  <c r="B45" i="4"/>
  <c r="O44" i="4"/>
  <c r="N44" i="4"/>
  <c r="H44" i="4"/>
  <c r="G44" i="4"/>
  <c r="F44" i="4"/>
  <c r="E44" i="4"/>
  <c r="D44" i="4"/>
  <c r="C44" i="4"/>
  <c r="B44" i="4"/>
  <c r="O43" i="4"/>
  <c r="N43" i="4"/>
  <c r="J43" i="4"/>
  <c r="I43" i="4"/>
  <c r="H43" i="4"/>
  <c r="G43" i="4"/>
  <c r="F43" i="4"/>
  <c r="E43" i="4"/>
  <c r="D43" i="4"/>
  <c r="C43" i="4"/>
  <c r="B43" i="4"/>
  <c r="O42" i="4"/>
  <c r="N42" i="4"/>
  <c r="J42" i="4"/>
  <c r="I42" i="4"/>
  <c r="H42" i="4"/>
  <c r="G42" i="4"/>
  <c r="F42" i="4"/>
  <c r="E42" i="4"/>
  <c r="D42" i="4"/>
  <c r="C42" i="4"/>
  <c r="B42" i="4"/>
  <c r="O41" i="4"/>
  <c r="N41" i="4"/>
  <c r="I41" i="4"/>
  <c r="H41" i="4"/>
  <c r="G41" i="4"/>
  <c r="F41" i="4"/>
  <c r="E41" i="4"/>
  <c r="D41" i="4"/>
  <c r="C41" i="4"/>
  <c r="B41" i="4"/>
  <c r="O40" i="4"/>
  <c r="N40" i="4"/>
  <c r="I40" i="4"/>
  <c r="H40" i="4"/>
  <c r="G40" i="4"/>
  <c r="F40" i="4"/>
  <c r="E40" i="4"/>
  <c r="D40" i="4"/>
  <c r="C40" i="4"/>
  <c r="B40" i="4"/>
  <c r="O39" i="4"/>
  <c r="N39" i="4"/>
  <c r="K39" i="4"/>
  <c r="I39" i="4"/>
  <c r="H39" i="4"/>
  <c r="G39" i="4"/>
  <c r="F39" i="4"/>
  <c r="E39" i="4"/>
  <c r="D39" i="4"/>
  <c r="C39" i="4"/>
  <c r="B39" i="4"/>
  <c r="O38" i="4"/>
  <c r="N38" i="4"/>
  <c r="J38" i="4"/>
  <c r="H38" i="4"/>
  <c r="G38" i="4"/>
  <c r="F38" i="4"/>
  <c r="E38" i="4"/>
  <c r="D38" i="4"/>
  <c r="C38" i="4"/>
  <c r="B38" i="4"/>
  <c r="O37" i="4"/>
  <c r="N37" i="4"/>
  <c r="I37" i="4"/>
  <c r="H37" i="4"/>
  <c r="G37" i="4"/>
  <c r="F37" i="4"/>
  <c r="E37" i="4"/>
  <c r="D37" i="4"/>
  <c r="C37" i="4"/>
  <c r="B37" i="4"/>
  <c r="O36" i="4"/>
  <c r="N36" i="4"/>
  <c r="H36" i="4"/>
  <c r="G36" i="4"/>
  <c r="F36" i="4"/>
  <c r="E36" i="4"/>
  <c r="D36" i="4"/>
  <c r="C36" i="4"/>
  <c r="B36" i="4"/>
  <c r="O35" i="4"/>
  <c r="N35" i="4"/>
  <c r="I35" i="4"/>
  <c r="H35" i="4"/>
  <c r="G35" i="4"/>
  <c r="F35" i="4"/>
  <c r="E35" i="4"/>
  <c r="D35" i="4"/>
  <c r="C35" i="4"/>
  <c r="B35" i="4"/>
  <c r="O34" i="4"/>
  <c r="N34" i="4"/>
  <c r="J34" i="4"/>
  <c r="I34" i="4"/>
  <c r="H34" i="4"/>
  <c r="G34" i="4"/>
  <c r="F34" i="4"/>
  <c r="E34" i="4"/>
  <c r="D34" i="4"/>
  <c r="C34" i="4"/>
  <c r="B34" i="4"/>
  <c r="O33" i="4"/>
  <c r="N33" i="4"/>
  <c r="I33" i="4"/>
  <c r="H33" i="4"/>
  <c r="G33" i="4"/>
  <c r="F33" i="4"/>
  <c r="E33" i="4"/>
  <c r="D33" i="4"/>
  <c r="C33" i="4"/>
  <c r="B33" i="4"/>
  <c r="O32" i="4"/>
  <c r="N32" i="4"/>
  <c r="H32" i="4"/>
  <c r="G32" i="4"/>
  <c r="F32" i="4"/>
  <c r="E32" i="4"/>
  <c r="D32" i="4"/>
  <c r="C32" i="4"/>
  <c r="B32" i="4"/>
  <c r="O31" i="4"/>
  <c r="N31" i="4"/>
  <c r="I31" i="4"/>
  <c r="H31" i="4"/>
  <c r="G31" i="4"/>
  <c r="F31" i="4"/>
  <c r="E31" i="4"/>
  <c r="D31" i="4"/>
  <c r="C31" i="4"/>
  <c r="B31" i="4"/>
  <c r="O30" i="4"/>
  <c r="N30" i="4"/>
  <c r="I30" i="4"/>
  <c r="H30" i="4"/>
  <c r="G30" i="4"/>
  <c r="F30" i="4"/>
  <c r="E30" i="4"/>
  <c r="D30" i="4"/>
  <c r="C30" i="4"/>
  <c r="B30" i="4"/>
  <c r="O29" i="4"/>
  <c r="N29" i="4"/>
  <c r="I29" i="4"/>
  <c r="H29" i="4"/>
  <c r="G29" i="4"/>
  <c r="F29" i="4"/>
  <c r="E29" i="4"/>
  <c r="D29" i="4"/>
  <c r="C29" i="4"/>
  <c r="B29" i="4"/>
  <c r="O28" i="4"/>
  <c r="N28" i="4"/>
  <c r="J28" i="4"/>
  <c r="I28" i="4"/>
  <c r="H28" i="4"/>
  <c r="G28" i="4"/>
  <c r="F28" i="4"/>
  <c r="E28" i="4"/>
  <c r="D28" i="4"/>
  <c r="C28" i="4"/>
  <c r="B28" i="4"/>
  <c r="O27" i="4"/>
  <c r="N27" i="4"/>
  <c r="I27" i="4"/>
  <c r="H27" i="4"/>
  <c r="G27" i="4"/>
  <c r="F27" i="4"/>
  <c r="E27" i="4"/>
  <c r="D27" i="4"/>
  <c r="C27" i="4"/>
  <c r="B27" i="4"/>
  <c r="O26" i="4"/>
  <c r="N26" i="4"/>
  <c r="I26" i="4"/>
  <c r="H26" i="4"/>
  <c r="G26" i="4"/>
  <c r="F26" i="4"/>
  <c r="E26" i="4"/>
  <c r="D26" i="4"/>
  <c r="C26" i="4"/>
  <c r="B26" i="4"/>
  <c r="O25" i="4"/>
  <c r="N25" i="4"/>
  <c r="I25" i="4"/>
  <c r="H25" i="4"/>
  <c r="G25" i="4"/>
  <c r="F25" i="4"/>
  <c r="E25" i="4"/>
  <c r="D25" i="4"/>
  <c r="C25" i="4"/>
  <c r="B25" i="4"/>
  <c r="O24" i="4"/>
  <c r="N24" i="4"/>
  <c r="J24" i="4"/>
  <c r="I24" i="4"/>
  <c r="H24" i="4"/>
  <c r="G24" i="4"/>
  <c r="F24" i="4"/>
  <c r="E24" i="4"/>
  <c r="D24" i="4"/>
  <c r="C24" i="4"/>
  <c r="B24" i="4"/>
  <c r="O23" i="4"/>
  <c r="N23" i="4"/>
  <c r="I23" i="4"/>
  <c r="H23" i="4"/>
  <c r="G23" i="4"/>
  <c r="F23" i="4"/>
  <c r="E23" i="4"/>
  <c r="D23" i="4"/>
  <c r="C23" i="4"/>
  <c r="B23" i="4"/>
  <c r="O22" i="4"/>
  <c r="N22" i="4"/>
  <c r="H22" i="4"/>
  <c r="G22" i="4"/>
  <c r="F22" i="4"/>
  <c r="E22" i="4"/>
  <c r="D22" i="4"/>
  <c r="C22" i="4"/>
  <c r="B22" i="4"/>
  <c r="O21" i="4"/>
  <c r="N21" i="4"/>
  <c r="L21" i="4"/>
  <c r="K21" i="4"/>
  <c r="I21" i="4"/>
  <c r="H21" i="4"/>
  <c r="G21" i="4"/>
  <c r="F21" i="4"/>
  <c r="E21" i="4"/>
  <c r="D21" i="4"/>
  <c r="C21" i="4"/>
  <c r="B21" i="4"/>
  <c r="O20" i="4"/>
  <c r="N20" i="4"/>
  <c r="I20" i="4"/>
  <c r="H20" i="4"/>
  <c r="G20" i="4"/>
  <c r="F20" i="4"/>
  <c r="E20" i="4"/>
  <c r="D20" i="4"/>
  <c r="C20" i="4"/>
  <c r="B20" i="4"/>
  <c r="O19" i="4"/>
  <c r="N19" i="4"/>
  <c r="I19" i="4"/>
  <c r="H19" i="4"/>
  <c r="G19" i="4"/>
  <c r="F19" i="4"/>
  <c r="E19" i="4"/>
  <c r="D19" i="4"/>
  <c r="C19" i="4"/>
  <c r="B19" i="4"/>
  <c r="O18" i="4"/>
  <c r="N18" i="4"/>
  <c r="I18" i="4"/>
  <c r="H18" i="4"/>
  <c r="G18" i="4"/>
  <c r="F18" i="4"/>
  <c r="E18" i="4"/>
  <c r="D18" i="4"/>
  <c r="C18" i="4"/>
  <c r="B18" i="4"/>
  <c r="O17" i="4"/>
  <c r="N17" i="4"/>
  <c r="L17" i="4"/>
  <c r="I17" i="4"/>
  <c r="H17" i="4"/>
  <c r="G17" i="4"/>
  <c r="F17" i="4"/>
  <c r="E17" i="4"/>
  <c r="D17" i="4"/>
  <c r="C17" i="4"/>
  <c r="B17" i="4"/>
  <c r="O16" i="4"/>
  <c r="N16" i="4"/>
  <c r="J16" i="4"/>
  <c r="H16" i="4"/>
  <c r="G16" i="4"/>
  <c r="F16" i="4"/>
  <c r="E16" i="4"/>
  <c r="D16" i="4"/>
  <c r="C16" i="4"/>
  <c r="B16" i="4"/>
  <c r="O15" i="4"/>
  <c r="N15" i="4"/>
  <c r="I15" i="4"/>
  <c r="H15" i="4"/>
  <c r="G15" i="4"/>
  <c r="F15" i="4"/>
  <c r="E15" i="4"/>
  <c r="D15" i="4"/>
  <c r="C15" i="4"/>
  <c r="B15" i="4"/>
  <c r="O14" i="4"/>
  <c r="N14" i="4"/>
  <c r="H14" i="4"/>
  <c r="G14" i="4"/>
  <c r="F14" i="4"/>
  <c r="E14" i="4"/>
  <c r="D14" i="4"/>
  <c r="C14" i="4"/>
  <c r="B14" i="4"/>
  <c r="O13" i="4"/>
  <c r="N13" i="4"/>
  <c r="H13" i="4"/>
  <c r="G13" i="4"/>
  <c r="F13" i="4"/>
  <c r="E13" i="4"/>
  <c r="D13" i="4"/>
  <c r="C13" i="4"/>
  <c r="B13" i="4"/>
  <c r="O12" i="4"/>
  <c r="N12" i="4"/>
  <c r="I12" i="4"/>
  <c r="H12" i="4"/>
  <c r="G12" i="4"/>
  <c r="F12" i="4"/>
  <c r="E12" i="4"/>
  <c r="D12" i="4"/>
  <c r="C12" i="4"/>
  <c r="B12" i="4"/>
  <c r="O11" i="4"/>
  <c r="N11" i="4"/>
  <c r="I11" i="4"/>
  <c r="H11" i="4"/>
  <c r="G11" i="4"/>
  <c r="F11" i="4"/>
  <c r="E11" i="4"/>
  <c r="D11" i="4"/>
  <c r="C11" i="4"/>
  <c r="B11" i="4"/>
  <c r="O10" i="4"/>
  <c r="N10" i="4"/>
  <c r="I10" i="4"/>
  <c r="H10" i="4"/>
  <c r="H62" i="4" s="1"/>
  <c r="G10" i="4"/>
  <c r="F10" i="4"/>
  <c r="E10" i="4"/>
  <c r="D10" i="4"/>
  <c r="C10" i="4"/>
  <c r="B10" i="4"/>
  <c r="O9" i="4"/>
  <c r="N9" i="4"/>
  <c r="J9" i="4"/>
  <c r="I9" i="4"/>
  <c r="H9" i="4"/>
  <c r="G9" i="4"/>
  <c r="F9" i="4"/>
  <c r="E9" i="4"/>
  <c r="D9" i="4"/>
  <c r="C9" i="4"/>
  <c r="B9" i="4"/>
  <c r="O8" i="4"/>
  <c r="N8" i="4"/>
  <c r="J8" i="4"/>
  <c r="I8" i="4"/>
  <c r="H8" i="4"/>
  <c r="G8" i="4"/>
  <c r="F8" i="4"/>
  <c r="E8" i="4"/>
  <c r="D8" i="4"/>
  <c r="C8" i="4"/>
  <c r="B8" i="4"/>
  <c r="O7" i="4"/>
  <c r="N7" i="4"/>
  <c r="I7" i="4"/>
  <c r="H7" i="4"/>
  <c r="G7" i="4"/>
  <c r="F7" i="4"/>
  <c r="E7" i="4"/>
  <c r="D7" i="4"/>
  <c r="C7" i="4"/>
  <c r="B7" i="4"/>
  <c r="O6" i="4"/>
  <c r="N6" i="4"/>
  <c r="I6" i="4"/>
  <c r="H6" i="4"/>
  <c r="G6" i="4"/>
  <c r="F6" i="4"/>
  <c r="F62" i="4" s="1"/>
  <c r="E6" i="4"/>
  <c r="D6" i="4"/>
  <c r="C6" i="4"/>
  <c r="B6" i="4"/>
  <c r="O5" i="4"/>
  <c r="N5" i="4"/>
  <c r="J5" i="4"/>
  <c r="I5" i="4"/>
  <c r="H5" i="4"/>
  <c r="G5" i="4"/>
  <c r="F5" i="4"/>
  <c r="E5" i="4"/>
  <c r="D5" i="4"/>
  <c r="C5" i="4"/>
  <c r="B5" i="4"/>
  <c r="L81" i="2" l="1"/>
  <c r="L27" i="5" s="1"/>
  <c r="K232" i="2"/>
  <c r="K32" i="7" s="1"/>
  <c r="L161" i="2"/>
  <c r="L32" i="6" s="1"/>
  <c r="J56" i="4"/>
  <c r="J27" i="4"/>
  <c r="K25" i="2"/>
  <c r="J61" i="4"/>
  <c r="L90" i="2"/>
  <c r="L36" i="5" s="1"/>
  <c r="K169" i="2"/>
  <c r="K30" i="2"/>
  <c r="K33" i="4" s="1"/>
  <c r="M114" i="2"/>
  <c r="M60" i="5" s="1"/>
  <c r="L114" i="2"/>
  <c r="L60" i="5" s="1"/>
  <c r="L47" i="2"/>
  <c r="L50" i="4" s="1"/>
  <c r="J18" i="4"/>
  <c r="J6" i="4"/>
  <c r="J49" i="4"/>
  <c r="K14" i="2"/>
  <c r="K17" i="4" s="1"/>
  <c r="K197" i="2"/>
  <c r="K216" i="2"/>
  <c r="K16" i="7" s="1"/>
  <c r="K262" i="2"/>
  <c r="K62" i="7" s="1"/>
  <c r="L216" i="2"/>
  <c r="L16" i="7" s="1"/>
  <c r="K230" i="2"/>
  <c r="K30" i="7" s="1"/>
  <c r="K256" i="2"/>
  <c r="K56" i="7" s="1"/>
  <c r="L262" i="2"/>
  <c r="L62" i="7" s="1"/>
  <c r="G91" i="11"/>
  <c r="K47" i="2"/>
  <c r="K50" i="4" s="1"/>
  <c r="L214" i="2"/>
  <c r="L14" i="7" s="1"/>
  <c r="M22" i="2"/>
  <c r="M29" i="2"/>
  <c r="M32" i="4" s="1"/>
  <c r="K198" i="2"/>
  <c r="M256" i="2"/>
  <c r="M56" i="7" s="1"/>
  <c r="G77" i="3"/>
  <c r="G26" i="10"/>
  <c r="G82" i="10"/>
  <c r="G95" i="11"/>
  <c r="M148" i="2"/>
  <c r="M19" i="6" s="1"/>
  <c r="L185" i="2"/>
  <c r="L198" i="2"/>
  <c r="M17" i="2"/>
  <c r="M20" i="4" s="1"/>
  <c r="L67" i="2"/>
  <c r="I30" i="3" s="1"/>
  <c r="L74" i="2"/>
  <c r="K3" i="2"/>
  <c r="M134" i="2"/>
  <c r="J81" i="3" s="1"/>
  <c r="L3" i="2"/>
  <c r="I5" i="3" s="1"/>
  <c r="M121" i="2"/>
  <c r="M67" i="5" s="1"/>
  <c r="L232" i="2"/>
  <c r="L32" i="7" s="1"/>
  <c r="L265" i="2"/>
  <c r="L65" i="7" s="1"/>
  <c r="M265" i="2"/>
  <c r="M65" i="7" s="1"/>
  <c r="G59" i="3"/>
  <c r="J50" i="4"/>
  <c r="M214" i="2"/>
  <c r="M25" i="2"/>
  <c r="M33" i="2"/>
  <c r="M36" i="4" s="1"/>
  <c r="L41" i="2"/>
  <c r="L44" i="4" s="1"/>
  <c r="K175" i="2"/>
  <c r="K46" i="6" s="1"/>
  <c r="M201" i="2"/>
  <c r="M72" i="6" s="1"/>
  <c r="G61" i="11"/>
  <c r="L162" i="2"/>
  <c r="L33" i="6" s="1"/>
  <c r="L50" i="2"/>
  <c r="L53" i="4" s="1"/>
  <c r="K147" i="2"/>
  <c r="K18" i="6" s="1"/>
  <c r="K215" i="2"/>
  <c r="K7" i="2"/>
  <c r="K10" i="4" s="1"/>
  <c r="K257" i="2"/>
  <c r="K57" i="7" s="1"/>
  <c r="M263" i="2"/>
  <c r="M63" i="7" s="1"/>
  <c r="G61" i="9"/>
  <c r="L7" i="2"/>
  <c r="L10" i="4" s="1"/>
  <c r="K115" i="2"/>
  <c r="K61" i="5" s="1"/>
  <c r="L131" i="2"/>
  <c r="L77" i="5" s="1"/>
  <c r="K179" i="2"/>
  <c r="K50" i="6" s="1"/>
  <c r="M204" i="2"/>
  <c r="M75" i="6" s="1"/>
  <c r="M215" i="2"/>
  <c r="J126" i="3" s="1"/>
  <c r="G142" i="9"/>
  <c r="J12" i="4"/>
  <c r="J15" i="4"/>
  <c r="J33" i="4"/>
  <c r="J37" i="4"/>
  <c r="K55" i="4"/>
  <c r="M7" i="2"/>
  <c r="M10" i="4" s="1"/>
  <c r="K23" i="2"/>
  <c r="L34" i="2"/>
  <c r="L37" i="4" s="1"/>
  <c r="L39" i="2"/>
  <c r="L42" i="4" s="1"/>
  <c r="L55" i="2"/>
  <c r="L95" i="2"/>
  <c r="L41" i="5" s="1"/>
  <c r="L111" i="2"/>
  <c r="L115" i="2"/>
  <c r="L61" i="5" s="1"/>
  <c r="K143" i="2"/>
  <c r="K14" i="6" s="1"/>
  <c r="L163" i="2"/>
  <c r="L34" i="6" s="1"/>
  <c r="L183" i="2"/>
  <c r="L54" i="6" s="1"/>
  <c r="K195" i="2"/>
  <c r="K66" i="6" s="1"/>
  <c r="K199" i="2"/>
  <c r="K70" i="6" s="1"/>
  <c r="K211" i="2"/>
  <c r="H122" i="3" s="1"/>
  <c r="L227" i="2"/>
  <c r="L27" i="7" s="1"/>
  <c r="L243" i="2"/>
  <c r="L43" i="7" s="1"/>
  <c r="F36" i="8"/>
  <c r="G17" i="9"/>
  <c r="L247" i="2"/>
  <c r="L47" i="7" s="1"/>
  <c r="K33" i="2"/>
  <c r="K36" i="4" s="1"/>
  <c r="L66" i="2"/>
  <c r="L71" i="2"/>
  <c r="L17" i="5" s="1"/>
  <c r="M82" i="2"/>
  <c r="M28" i="5" s="1"/>
  <c r="L119" i="2"/>
  <c r="L65" i="5" s="1"/>
  <c r="G165" i="9"/>
  <c r="L17" i="2"/>
  <c r="L20" i="4" s="1"/>
  <c r="M119" i="2"/>
  <c r="J68" i="3" s="1"/>
  <c r="M135" i="2"/>
  <c r="M6" i="6" s="1"/>
  <c r="L147" i="2"/>
  <c r="L18" i="6" s="1"/>
  <c r="F14" i="8"/>
  <c r="K95" i="2"/>
  <c r="K111" i="2"/>
  <c r="K163" i="2"/>
  <c r="K34" i="6" s="1"/>
  <c r="K183" i="2"/>
  <c r="K54" i="6" s="1"/>
  <c r="M189" i="2"/>
  <c r="M60" i="6" s="1"/>
  <c r="M220" i="2"/>
  <c r="M20" i="7" s="1"/>
  <c r="K227" i="2"/>
  <c r="M231" i="2"/>
  <c r="J134" i="3" s="1"/>
  <c r="K243" i="2"/>
  <c r="K43" i="7" s="1"/>
  <c r="G38" i="9"/>
  <c r="G119" i="9"/>
  <c r="J26" i="4"/>
  <c r="J30" i="4"/>
  <c r="L23" i="2"/>
  <c r="M34" i="2"/>
  <c r="M37" i="4" s="1"/>
  <c r="M39" i="2"/>
  <c r="M42" i="4" s="1"/>
  <c r="M55" i="2"/>
  <c r="J22" i="3" s="1"/>
  <c r="L143" i="2"/>
  <c r="M183" i="2"/>
  <c r="M54" i="6" s="1"/>
  <c r="L195" i="2"/>
  <c r="L66" i="6" s="1"/>
  <c r="L199" i="2"/>
  <c r="L70" i="6" s="1"/>
  <c r="L211" i="2"/>
  <c r="L11" i="7" s="1"/>
  <c r="F37" i="8"/>
  <c r="G41" i="9"/>
  <c r="G67" i="9"/>
  <c r="G93" i="9"/>
  <c r="G120" i="9"/>
  <c r="G145" i="9"/>
  <c r="K99" i="2"/>
  <c r="H53" i="3" s="1"/>
  <c r="K253" i="2"/>
  <c r="K53" i="7" s="1"/>
  <c r="M50" i="2"/>
  <c r="M53" i="4" s="1"/>
  <c r="M66" i="2"/>
  <c r="J29" i="3" s="1"/>
  <c r="M71" i="2"/>
  <c r="J33" i="3" s="1"/>
  <c r="K231" i="2"/>
  <c r="L253" i="2"/>
  <c r="L53" i="7" s="1"/>
  <c r="G116" i="3"/>
  <c r="J6" i="6"/>
  <c r="G89" i="9"/>
  <c r="J55" i="4"/>
  <c r="M2" i="2"/>
  <c r="M5" i="4" s="1"/>
  <c r="K55" i="2"/>
  <c r="J19" i="4"/>
  <c r="M23" i="2"/>
  <c r="J14" i="3" s="1"/>
  <c r="M35" i="2"/>
  <c r="M38" i="4" s="1"/>
  <c r="F38" i="8"/>
  <c r="G20" i="9"/>
  <c r="L178" i="2"/>
  <c r="L49" i="6" s="1"/>
  <c r="L135" i="2"/>
  <c r="L6" i="6" s="1"/>
  <c r="G141" i="9"/>
  <c r="K135" i="2"/>
  <c r="K6" i="6" s="1"/>
  <c r="G60" i="9"/>
  <c r="K12" i="2"/>
  <c r="K15" i="4" s="1"/>
  <c r="G10" i="9"/>
  <c r="G37" i="9"/>
  <c r="L2" i="2"/>
  <c r="L5" i="4" s="1"/>
  <c r="J58" i="4"/>
  <c r="K133" i="2"/>
  <c r="K79" i="5" s="1"/>
  <c r="K255" i="2"/>
  <c r="K55" i="7" s="1"/>
  <c r="F44" i="8"/>
  <c r="G21" i="9"/>
  <c r="G43" i="9"/>
  <c r="G73" i="9"/>
  <c r="G99" i="9"/>
  <c r="J40" i="4"/>
  <c r="M52" i="2"/>
  <c r="J20" i="3" s="1"/>
  <c r="L63" i="2"/>
  <c r="M69" i="2"/>
  <c r="K160" i="2"/>
  <c r="K31" i="6" s="1"/>
  <c r="M169" i="2"/>
  <c r="M40" i="6" s="1"/>
  <c r="K245" i="2"/>
  <c r="K45" i="7" s="1"/>
  <c r="L255" i="2"/>
  <c r="L55" i="7" s="1"/>
  <c r="G124" i="9"/>
  <c r="G179" i="9"/>
  <c r="J7" i="4"/>
  <c r="J22" i="4"/>
  <c r="J25" i="4"/>
  <c r="J29" i="4"/>
  <c r="M9" i="2"/>
  <c r="M12" i="4" s="1"/>
  <c r="K15" i="2"/>
  <c r="L19" i="2"/>
  <c r="I10" i="3" s="1"/>
  <c r="K31" i="2"/>
  <c r="K34" i="4" s="1"/>
  <c r="L36" i="2"/>
  <c r="L39" i="4" s="1"/>
  <c r="M63" i="2"/>
  <c r="K108" i="2"/>
  <c r="M149" i="2"/>
  <c r="M20" i="6" s="1"/>
  <c r="M165" i="2"/>
  <c r="M36" i="6" s="1"/>
  <c r="K181" i="2"/>
  <c r="L217" i="2"/>
  <c r="L17" i="7" s="1"/>
  <c r="M255" i="2"/>
  <c r="M55" i="7" s="1"/>
  <c r="F71" i="8"/>
  <c r="G100" i="9"/>
  <c r="J20" i="4"/>
  <c r="L194" i="2"/>
  <c r="L65" i="6" s="1"/>
  <c r="L12" i="2"/>
  <c r="L15" i="4" s="1"/>
  <c r="K63" i="2"/>
  <c r="K9" i="5" s="1"/>
  <c r="M217" i="2"/>
  <c r="M17" i="7" s="1"/>
  <c r="F72" i="8"/>
  <c r="G27" i="9"/>
  <c r="G49" i="9"/>
  <c r="G79" i="9"/>
  <c r="G158" i="9"/>
  <c r="L82" i="2"/>
  <c r="L28" i="5" s="1"/>
  <c r="K119" i="2"/>
  <c r="F39" i="8"/>
  <c r="G121" i="9"/>
  <c r="G176" i="9"/>
  <c r="L52" i="2"/>
  <c r="M85" i="2"/>
  <c r="M31" i="5" s="1"/>
  <c r="K112" i="2"/>
  <c r="K58" i="5" s="1"/>
  <c r="M153" i="2"/>
  <c r="M24" i="6" s="1"/>
  <c r="K7" i="4"/>
  <c r="L15" i="2"/>
  <c r="L31" i="2"/>
  <c r="L34" i="4" s="1"/>
  <c r="M36" i="2"/>
  <c r="M39" i="4" s="1"/>
  <c r="J17" i="4"/>
  <c r="J39" i="4"/>
  <c r="M5" i="2"/>
  <c r="J7" i="3" s="1"/>
  <c r="M15" i="2"/>
  <c r="J8" i="3" s="1"/>
  <c r="L37" i="2"/>
  <c r="L40" i="4" s="1"/>
  <c r="M53" i="2"/>
  <c r="K81" i="2"/>
  <c r="K27" i="5" s="1"/>
  <c r="L98" i="2"/>
  <c r="I52" i="3" s="1"/>
  <c r="K103" i="2"/>
  <c r="K49" i="5" s="1"/>
  <c r="L118" i="2"/>
  <c r="L64" i="5" s="1"/>
  <c r="K161" i="2"/>
  <c r="K32" i="6" s="1"/>
  <c r="K214" i="2"/>
  <c r="K14" i="7" s="1"/>
  <c r="L246" i="2"/>
  <c r="L46" i="7" s="1"/>
  <c r="F75" i="8"/>
  <c r="G103" i="9"/>
  <c r="G54" i="11"/>
  <c r="G128" i="11"/>
  <c r="K114" i="2"/>
  <c r="K60" i="5" s="1"/>
  <c r="F78" i="8"/>
  <c r="G82" i="9"/>
  <c r="G106" i="9"/>
  <c r="G161" i="9"/>
  <c r="J53" i="4"/>
  <c r="G31" i="9"/>
  <c r="G59" i="9"/>
  <c r="J44" i="3"/>
  <c r="M35" i="5"/>
  <c r="L20" i="5"/>
  <c r="I36" i="3"/>
  <c r="L25" i="6"/>
  <c r="I91" i="3"/>
  <c r="L30" i="5"/>
  <c r="I40" i="3"/>
  <c r="M62" i="5"/>
  <c r="J66" i="3"/>
  <c r="M25" i="4"/>
  <c r="J13" i="3"/>
  <c r="J60" i="4"/>
  <c r="M4" i="2"/>
  <c r="L22" i="2"/>
  <c r="M27" i="2"/>
  <c r="L27" i="2"/>
  <c r="K27" i="2"/>
  <c r="F18" i="3"/>
  <c r="M40" i="2"/>
  <c r="M43" i="4" s="1"/>
  <c r="L40" i="2"/>
  <c r="L43" i="4" s="1"/>
  <c r="K40" i="2"/>
  <c r="K43" i="4" s="1"/>
  <c r="L49" i="2"/>
  <c r="L52" i="4" s="1"/>
  <c r="K67" i="2"/>
  <c r="I45" i="5"/>
  <c r="F53" i="3"/>
  <c r="M99" i="2"/>
  <c r="J54" i="5"/>
  <c r="G61" i="3"/>
  <c r="M108" i="2"/>
  <c r="H78" i="3"/>
  <c r="K77" i="5"/>
  <c r="J12" i="6"/>
  <c r="G86" i="3"/>
  <c r="K40" i="6"/>
  <c r="H98" i="3"/>
  <c r="I108" i="3"/>
  <c r="L50" i="6"/>
  <c r="I35" i="7"/>
  <c r="M235" i="2"/>
  <c r="M35" i="7" s="1"/>
  <c r="L235" i="2"/>
  <c r="L35" i="7" s="1"/>
  <c r="K235" i="2"/>
  <c r="K35" i="7" s="1"/>
  <c r="G56" i="3"/>
  <c r="J30" i="5"/>
  <c r="G40" i="3"/>
  <c r="K84" i="2"/>
  <c r="M32" i="2"/>
  <c r="M35" i="4" s="1"/>
  <c r="L9" i="5"/>
  <c r="I26" i="3"/>
  <c r="M17" i="5"/>
  <c r="I23" i="5"/>
  <c r="L77" i="2"/>
  <c r="L23" i="5" s="1"/>
  <c r="K77" i="2"/>
  <c r="K23" i="5" s="1"/>
  <c r="I36" i="5"/>
  <c r="F45" i="3"/>
  <c r="M90" i="2"/>
  <c r="K90" i="2"/>
  <c r="H57" i="3"/>
  <c r="I59" i="5"/>
  <c r="F65" i="3"/>
  <c r="M113" i="2"/>
  <c r="K73" i="5"/>
  <c r="H74" i="3"/>
  <c r="M12" i="6"/>
  <c r="J86" i="3"/>
  <c r="I26" i="6"/>
  <c r="M155" i="2"/>
  <c r="M26" i="6" s="1"/>
  <c r="L155" i="2"/>
  <c r="L26" i="6" s="1"/>
  <c r="K155" i="2"/>
  <c r="K26" i="6" s="1"/>
  <c r="I32" i="6"/>
  <c r="M161" i="2"/>
  <c r="M32" i="6" s="1"/>
  <c r="K15" i="7"/>
  <c r="H126" i="3"/>
  <c r="F23" i="3"/>
  <c r="I5" i="5"/>
  <c r="M59" i="2"/>
  <c r="L59" i="2"/>
  <c r="K59" i="2"/>
  <c r="M9" i="5"/>
  <c r="J26" i="3"/>
  <c r="M72" i="2"/>
  <c r="L72" i="2"/>
  <c r="K72" i="2"/>
  <c r="F34" i="3"/>
  <c r="I18" i="5"/>
  <c r="F42" i="3"/>
  <c r="I32" i="5"/>
  <c r="K86" i="2"/>
  <c r="H49" i="3"/>
  <c r="K41" i="5"/>
  <c r="I61" i="3"/>
  <c r="L54" i="5"/>
  <c r="F69" i="3"/>
  <c r="I68" i="5"/>
  <c r="M122" i="2"/>
  <c r="K122" i="2"/>
  <c r="J51" i="6"/>
  <c r="G109" i="3"/>
  <c r="K180" i="2"/>
  <c r="M10" i="2"/>
  <c r="M13" i="4" s="1"/>
  <c r="K10" i="2"/>
  <c r="K13" i="4" s="1"/>
  <c r="F10" i="3"/>
  <c r="M19" i="2"/>
  <c r="G19" i="3"/>
  <c r="M28" i="2"/>
  <c r="K32" i="2"/>
  <c r="K35" i="4" s="1"/>
  <c r="G23" i="3"/>
  <c r="J5" i="5"/>
  <c r="J14" i="5"/>
  <c r="K68" i="2"/>
  <c r="K14" i="5" s="1"/>
  <c r="M77" i="2"/>
  <c r="M23" i="5" s="1"/>
  <c r="J32" i="5"/>
  <c r="G42" i="3"/>
  <c r="I53" i="3"/>
  <c r="L45" i="5"/>
  <c r="M49" i="5"/>
  <c r="J57" i="3"/>
  <c r="I55" i="5"/>
  <c r="F62" i="3"/>
  <c r="L109" i="2"/>
  <c r="K109" i="2"/>
  <c r="H65" i="3"/>
  <c r="K59" i="5"/>
  <c r="M63" i="5"/>
  <c r="J67" i="3"/>
  <c r="J78" i="5"/>
  <c r="G79" i="3"/>
  <c r="K132" i="2"/>
  <c r="F83" i="3"/>
  <c r="I7" i="6"/>
  <c r="M136" i="2"/>
  <c r="L136" i="2"/>
  <c r="K136" i="2"/>
  <c r="J13" i="6"/>
  <c r="G87" i="3"/>
  <c r="I41" i="6"/>
  <c r="F99" i="3"/>
  <c r="M170" i="2"/>
  <c r="K170" i="2"/>
  <c r="L51" i="6"/>
  <c r="I109" i="3"/>
  <c r="J61" i="6"/>
  <c r="G113" i="3"/>
  <c r="K190" i="2"/>
  <c r="K31" i="7"/>
  <c r="H134" i="3"/>
  <c r="K28" i="2"/>
  <c r="K41" i="2"/>
  <c r="K44" i="4" s="1"/>
  <c r="K46" i="2"/>
  <c r="K49" i="4" s="1"/>
  <c r="J10" i="5"/>
  <c r="G27" i="3"/>
  <c r="L68" i="2"/>
  <c r="L14" i="5" s="1"/>
  <c r="I19" i="5"/>
  <c r="F35" i="3"/>
  <c r="L73" i="2"/>
  <c r="L86" i="2"/>
  <c r="F46" i="3"/>
  <c r="I37" i="5"/>
  <c r="M91" i="2"/>
  <c r="L91" i="2"/>
  <c r="K91" i="2"/>
  <c r="J49" i="3"/>
  <c r="M41" i="5"/>
  <c r="I50" i="5"/>
  <c r="M104" i="2"/>
  <c r="M50" i="5" s="1"/>
  <c r="L104" i="2"/>
  <c r="L50" i="5" s="1"/>
  <c r="K104" i="2"/>
  <c r="K50" i="5" s="1"/>
  <c r="J55" i="5"/>
  <c r="G62" i="3"/>
  <c r="I65" i="3"/>
  <c r="L59" i="5"/>
  <c r="L122" i="2"/>
  <c r="J74" i="5"/>
  <c r="G75" i="3"/>
  <c r="L132" i="2"/>
  <c r="K142" i="2"/>
  <c r="G92" i="3"/>
  <c r="J27" i="6"/>
  <c r="L156" i="2"/>
  <c r="K156" i="2"/>
  <c r="M156" i="2"/>
  <c r="J47" i="6"/>
  <c r="G105" i="3"/>
  <c r="M180" i="2"/>
  <c r="M70" i="6"/>
  <c r="J119" i="3"/>
  <c r="I48" i="7"/>
  <c r="M248" i="2"/>
  <c r="M48" i="7" s="1"/>
  <c r="L248" i="2"/>
  <c r="L48" i="7" s="1"/>
  <c r="K248" i="2"/>
  <c r="K48" i="7" s="1"/>
  <c r="G20" i="3"/>
  <c r="L10" i="2"/>
  <c r="L13" i="4" s="1"/>
  <c r="K19" i="2"/>
  <c r="L28" i="2"/>
  <c r="M41" i="2"/>
  <c r="M44" i="4" s="1"/>
  <c r="J6" i="5"/>
  <c r="G24" i="3"/>
  <c r="M60" i="2"/>
  <c r="K64" i="2"/>
  <c r="M68" i="2"/>
  <c r="M14" i="5" s="1"/>
  <c r="G35" i="3"/>
  <c r="J19" i="5"/>
  <c r="J24" i="5"/>
  <c r="L78" i="2"/>
  <c r="L24" i="5" s="1"/>
  <c r="M86" i="2"/>
  <c r="G46" i="3"/>
  <c r="J37" i="5"/>
  <c r="J46" i="5"/>
  <c r="G54" i="3"/>
  <c r="K100" i="2"/>
  <c r="M109" i="2"/>
  <c r="I69" i="5"/>
  <c r="F70" i="3"/>
  <c r="M123" i="2"/>
  <c r="L123" i="2"/>
  <c r="K123" i="2"/>
  <c r="K74" i="5"/>
  <c r="H75" i="3"/>
  <c r="M132" i="2"/>
  <c r="I8" i="6"/>
  <c r="K137" i="2"/>
  <c r="K8" i="6" s="1"/>
  <c r="L137" i="2"/>
  <c r="L8" i="6" s="1"/>
  <c r="I28" i="6"/>
  <c r="F93" i="3"/>
  <c r="L157" i="2"/>
  <c r="K157" i="2"/>
  <c r="L170" i="2"/>
  <c r="K47" i="6"/>
  <c r="H105" i="3"/>
  <c r="L56" i="6"/>
  <c r="I112" i="3"/>
  <c r="J67" i="6"/>
  <c r="M196" i="2"/>
  <c r="M67" i="6" s="1"/>
  <c r="K196" i="2"/>
  <c r="K67" i="6" s="1"/>
  <c r="H144" i="3"/>
  <c r="H35" i="3"/>
  <c r="K19" i="5"/>
  <c r="J42" i="5"/>
  <c r="G50" i="3"/>
  <c r="L46" i="5"/>
  <c r="I54" i="3"/>
  <c r="F58" i="3"/>
  <c r="I51" i="5"/>
  <c r="L105" i="2"/>
  <c r="J69" i="5"/>
  <c r="G70" i="3"/>
  <c r="J28" i="6"/>
  <c r="G93" i="3"/>
  <c r="I42" i="6"/>
  <c r="M171" i="2"/>
  <c r="L171" i="2"/>
  <c r="K171" i="2"/>
  <c r="F106" i="3"/>
  <c r="I48" i="6"/>
  <c r="M177" i="2"/>
  <c r="J6" i="7"/>
  <c r="K206" i="2"/>
  <c r="K6" i="7" s="1"/>
  <c r="J12" i="7"/>
  <c r="G123" i="3"/>
  <c r="M212" i="2"/>
  <c r="K212" i="2"/>
  <c r="I58" i="7"/>
  <c r="K258" i="2"/>
  <c r="K58" i="7" s="1"/>
  <c r="M258" i="2"/>
  <c r="M58" i="7" s="1"/>
  <c r="L258" i="2"/>
  <c r="L58" i="7" s="1"/>
  <c r="G6" i="3"/>
  <c r="F76" i="3"/>
  <c r="M129" i="2"/>
  <c r="I75" i="5"/>
  <c r="M18" i="4"/>
  <c r="I32" i="4"/>
  <c r="M58" i="4"/>
  <c r="A5" i="1"/>
  <c r="M6" i="2"/>
  <c r="M9" i="4" s="1"/>
  <c r="M24" i="2"/>
  <c r="L24" i="2"/>
  <c r="K24" i="2"/>
  <c r="F15" i="3"/>
  <c r="L33" i="2"/>
  <c r="L36" i="4" s="1"/>
  <c r="K38" i="2"/>
  <c r="K41" i="4" s="1"/>
  <c r="K51" i="2"/>
  <c r="K54" i="4" s="1"/>
  <c r="L60" i="2"/>
  <c r="M73" i="2"/>
  <c r="F39" i="3"/>
  <c r="I29" i="5"/>
  <c r="M83" i="2"/>
  <c r="J38" i="5"/>
  <c r="G47" i="3"/>
  <c r="M92" i="2"/>
  <c r="K96" i="2"/>
  <c r="M100" i="2"/>
  <c r="G58" i="3"/>
  <c r="J51" i="5"/>
  <c r="J56" i="5"/>
  <c r="G63" i="3"/>
  <c r="L110" i="2"/>
  <c r="M137" i="2"/>
  <c r="M8" i="6" s="1"/>
  <c r="M157" i="2"/>
  <c r="L37" i="6"/>
  <c r="I97" i="3"/>
  <c r="J42" i="6"/>
  <c r="G100" i="3"/>
  <c r="M56" i="6"/>
  <c r="J112" i="3"/>
  <c r="L212" i="2"/>
  <c r="J28" i="7"/>
  <c r="M228" i="2"/>
  <c r="M28" i="7" s="1"/>
  <c r="M37" i="7"/>
  <c r="J136" i="3"/>
  <c r="J54" i="7"/>
  <c r="G146" i="3"/>
  <c r="F28" i="3"/>
  <c r="M65" i="2"/>
  <c r="M15" i="5"/>
  <c r="J31" i="3"/>
  <c r="I43" i="5"/>
  <c r="F51" i="3"/>
  <c r="M97" i="2"/>
  <c r="G71" i="3"/>
  <c r="L124" i="2"/>
  <c r="K124" i="2"/>
  <c r="J70" i="5"/>
  <c r="M124" i="2"/>
  <c r="K129" i="2"/>
  <c r="I9" i="6"/>
  <c r="I76" i="6" s="1"/>
  <c r="C24" i="1" s="1"/>
  <c r="M138" i="2"/>
  <c r="M9" i="6" s="1"/>
  <c r="K138" i="2"/>
  <c r="K9" i="6" s="1"/>
  <c r="I57" i="6"/>
  <c r="M186" i="2"/>
  <c r="M57" i="6" s="1"/>
  <c r="K186" i="2"/>
  <c r="K57" i="6" s="1"/>
  <c r="J44" i="7"/>
  <c r="G139" i="3"/>
  <c r="L54" i="7"/>
  <c r="I146" i="3"/>
  <c r="M42" i="2"/>
  <c r="M45" i="4" s="1"/>
  <c r="K42" i="2"/>
  <c r="K45" i="4" s="1"/>
  <c r="K65" i="2"/>
  <c r="K38" i="5"/>
  <c r="H47" i="3"/>
  <c r="K48" i="6"/>
  <c r="H106" i="3"/>
  <c r="G5" i="1"/>
  <c r="F5" i="3"/>
  <c r="B22" i="1"/>
  <c r="M3" i="2"/>
  <c r="K16" i="2"/>
  <c r="L20" i="2"/>
  <c r="F16" i="3"/>
  <c r="L25" i="2"/>
  <c r="M30" i="2"/>
  <c r="M33" i="4" s="1"/>
  <c r="L38" i="2"/>
  <c r="L41" i="4" s="1"/>
  <c r="M43" i="2"/>
  <c r="M46" i="4" s="1"/>
  <c r="L43" i="2"/>
  <c r="L46" i="4" s="1"/>
  <c r="K43" i="2"/>
  <c r="K46" i="4" s="1"/>
  <c r="M56" i="2"/>
  <c r="M59" i="4" s="1"/>
  <c r="L56" i="2"/>
  <c r="L59" i="4" s="1"/>
  <c r="K56" i="2"/>
  <c r="K59" i="4" s="1"/>
  <c r="J7" i="5"/>
  <c r="G25" i="3"/>
  <c r="L65" i="2"/>
  <c r="F32" i="3"/>
  <c r="I16" i="5"/>
  <c r="K70" i="2"/>
  <c r="K25" i="5"/>
  <c r="H38" i="3"/>
  <c r="K83" i="2"/>
  <c r="L92" i="2"/>
  <c r="M105" i="2"/>
  <c r="I61" i="5"/>
  <c r="M115" i="2"/>
  <c r="M61" i="5" s="1"/>
  <c r="F72" i="3"/>
  <c r="I71" i="5"/>
  <c r="L125" i="2"/>
  <c r="K125" i="2"/>
  <c r="L129" i="2"/>
  <c r="M79" i="5"/>
  <c r="J80" i="3"/>
  <c r="J19" i="6"/>
  <c r="K148" i="2"/>
  <c r="K19" i="6" s="1"/>
  <c r="I23" i="6"/>
  <c r="M152" i="2"/>
  <c r="M23" i="6" s="1"/>
  <c r="L152" i="2"/>
  <c r="L23" i="6" s="1"/>
  <c r="K152" i="2"/>
  <c r="K23" i="6" s="1"/>
  <c r="G94" i="3"/>
  <c r="J29" i="6"/>
  <c r="L177" i="2"/>
  <c r="J38" i="7"/>
  <c r="M238" i="2"/>
  <c r="M38" i="7" s="1"/>
  <c r="K238" i="2"/>
  <c r="K38" i="7" s="1"/>
  <c r="L244" i="2"/>
  <c r="I32" i="3"/>
  <c r="L42" i="2"/>
  <c r="L45" i="4" s="1"/>
  <c r="I7" i="5"/>
  <c r="F25" i="3"/>
  <c r="L61" i="2"/>
  <c r="K61" i="2"/>
  <c r="K33" i="5"/>
  <c r="H43" i="3"/>
  <c r="K105" i="2"/>
  <c r="J23" i="4"/>
  <c r="J31" i="4"/>
  <c r="J47" i="4"/>
  <c r="M20" i="2"/>
  <c r="M38" i="2"/>
  <c r="M41" i="4" s="1"/>
  <c r="M48" i="2"/>
  <c r="M51" i="4" s="1"/>
  <c r="M61" i="2"/>
  <c r="J16" i="5"/>
  <c r="G32" i="3"/>
  <c r="L25" i="5"/>
  <c r="I38" i="3"/>
  <c r="L83" i="2"/>
  <c r="M33" i="5"/>
  <c r="J43" i="3"/>
  <c r="F48" i="3"/>
  <c r="I39" i="5"/>
  <c r="L93" i="2"/>
  <c r="K93" i="2"/>
  <c r="K97" i="2"/>
  <c r="M47" i="5"/>
  <c r="J55" i="3"/>
  <c r="F59" i="3"/>
  <c r="M106" i="2"/>
  <c r="K106" i="2"/>
  <c r="I52" i="5"/>
  <c r="K65" i="5"/>
  <c r="H68" i="3"/>
  <c r="G72" i="3"/>
  <c r="J71" i="5"/>
  <c r="L138" i="2"/>
  <c r="L9" i="6" s="1"/>
  <c r="J15" i="6"/>
  <c r="G89" i="3"/>
  <c r="H94" i="3"/>
  <c r="K29" i="6"/>
  <c r="I44" i="6"/>
  <c r="L173" i="2"/>
  <c r="K173" i="2"/>
  <c r="F102" i="3"/>
  <c r="L186" i="2"/>
  <c r="L57" i="6" s="1"/>
  <c r="I64" i="6"/>
  <c r="F115" i="3"/>
  <c r="M193" i="2"/>
  <c r="L193" i="2"/>
  <c r="I51" i="7"/>
  <c r="M251" i="2"/>
  <c r="L251" i="2"/>
  <c r="F144" i="3"/>
  <c r="M11" i="2"/>
  <c r="M14" i="4" s="1"/>
  <c r="L11" i="2"/>
  <c r="L14" i="4" s="1"/>
  <c r="K11" i="2"/>
  <c r="K14" i="4" s="1"/>
  <c r="L29" i="2"/>
  <c r="L32" i="4" s="1"/>
  <c r="K29" i="2"/>
  <c r="K32" i="4" s="1"/>
  <c r="H24" i="3"/>
  <c r="K6" i="5"/>
  <c r="I20" i="5"/>
  <c r="M74" i="2"/>
  <c r="K74" i="2"/>
  <c r="F36" i="3"/>
  <c r="K56" i="5"/>
  <c r="H63" i="3"/>
  <c r="M37" i="6"/>
  <c r="J97" i="3"/>
  <c r="I14" i="4"/>
  <c r="I62" i="4" s="1"/>
  <c r="C22" i="1" s="1"/>
  <c r="I22" i="4"/>
  <c r="K23" i="4"/>
  <c r="M24" i="4"/>
  <c r="I38" i="4"/>
  <c r="I54" i="4"/>
  <c r="L57" i="2"/>
  <c r="L60" i="4" s="1"/>
  <c r="I21" i="5"/>
  <c r="F37" i="3"/>
  <c r="M75" i="2"/>
  <c r="L75" i="2"/>
  <c r="K75" i="2"/>
  <c r="M25" i="5"/>
  <c r="J38" i="3"/>
  <c r="M88" i="2"/>
  <c r="M34" i="5" s="1"/>
  <c r="L88" i="2"/>
  <c r="L34" i="5" s="1"/>
  <c r="K88" i="2"/>
  <c r="K34" i="5" s="1"/>
  <c r="I34" i="5"/>
  <c r="J39" i="5"/>
  <c r="G48" i="3"/>
  <c r="L97" i="2"/>
  <c r="F56" i="3"/>
  <c r="I48" i="5"/>
  <c r="K102" i="2"/>
  <c r="K57" i="5"/>
  <c r="H64" i="3"/>
  <c r="M71" i="5"/>
  <c r="J72" i="3"/>
  <c r="I10" i="6"/>
  <c r="M139" i="2"/>
  <c r="L139" i="2"/>
  <c r="K139" i="2"/>
  <c r="F84" i="3"/>
  <c r="K15" i="6"/>
  <c r="H89" i="3"/>
  <c r="I24" i="6"/>
  <c r="K153" i="2"/>
  <c r="K24" i="6" s="1"/>
  <c r="L153" i="2"/>
  <c r="L24" i="6" s="1"/>
  <c r="J44" i="6"/>
  <c r="G102" i="3"/>
  <c r="I58" i="6"/>
  <c r="M187" i="2"/>
  <c r="M58" i="6" s="1"/>
  <c r="L187" i="2"/>
  <c r="L58" i="6" s="1"/>
  <c r="K187" i="2"/>
  <c r="K58" i="6" s="1"/>
  <c r="F100" i="3"/>
  <c r="J8" i="5"/>
  <c r="L62" i="2"/>
  <c r="L8" i="5" s="1"/>
  <c r="L12" i="5"/>
  <c r="I29" i="3"/>
  <c r="M16" i="5"/>
  <c r="J32" i="3"/>
  <c r="M39" i="5"/>
  <c r="J48" i="3"/>
  <c r="L52" i="5"/>
  <c r="I59" i="3"/>
  <c r="I77" i="3"/>
  <c r="L76" i="5"/>
  <c r="L5" i="6"/>
  <c r="I81" i="3"/>
  <c r="J10" i="6"/>
  <c r="G84" i="3"/>
  <c r="I16" i="6"/>
  <c r="M145" i="2"/>
  <c r="M16" i="6" s="1"/>
  <c r="M44" i="6"/>
  <c r="J102" i="3"/>
  <c r="K64" i="6"/>
  <c r="H115" i="3"/>
  <c r="L73" i="6"/>
  <c r="I120" i="3"/>
  <c r="I9" i="7"/>
  <c r="M209" i="2"/>
  <c r="M9" i="7" s="1"/>
  <c r="L209" i="2"/>
  <c r="L9" i="7" s="1"/>
  <c r="B25" i="1"/>
  <c r="I66" i="7"/>
  <c r="M266" i="2"/>
  <c r="M66" i="7" s="1"/>
  <c r="L266" i="2"/>
  <c r="L66" i="7" s="1"/>
  <c r="K266" i="2"/>
  <c r="K66" i="7" s="1"/>
  <c r="G11" i="3"/>
  <c r="I11" i="5"/>
  <c r="L13" i="2"/>
  <c r="L16" i="4" s="1"/>
  <c r="K13" i="2"/>
  <c r="K16" i="4" s="1"/>
  <c r="G37" i="3"/>
  <c r="J21" i="5"/>
  <c r="I45" i="4"/>
  <c r="M55" i="4"/>
  <c r="M8" i="2"/>
  <c r="M11" i="4" s="1"/>
  <c r="L8" i="2"/>
  <c r="L11" i="4" s="1"/>
  <c r="K8" i="2"/>
  <c r="K11" i="4" s="1"/>
  <c r="M26" i="2"/>
  <c r="K26" i="2"/>
  <c r="F17" i="3"/>
  <c r="K44" i="2"/>
  <c r="K47" i="4" s="1"/>
  <c r="K57" i="2"/>
  <c r="K60" i="4" s="1"/>
  <c r="K62" i="2"/>
  <c r="K8" i="5" s="1"/>
  <c r="L102" i="2"/>
  <c r="I53" i="5"/>
  <c r="F60" i="3"/>
  <c r="M107" i="2"/>
  <c r="L107" i="2"/>
  <c r="K107" i="2"/>
  <c r="M57" i="5"/>
  <c r="J64" i="3"/>
  <c r="I66" i="5"/>
  <c r="M120" i="2"/>
  <c r="M66" i="5" s="1"/>
  <c r="L120" i="2"/>
  <c r="L66" i="5" s="1"/>
  <c r="K120" i="2"/>
  <c r="K66" i="5" s="1"/>
  <c r="J72" i="5"/>
  <c r="G73" i="3"/>
  <c r="J35" i="6"/>
  <c r="G95" i="3"/>
  <c r="K164" i="2"/>
  <c r="I74" i="6"/>
  <c r="M203" i="2"/>
  <c r="M74" i="6" s="1"/>
  <c r="L203" i="2"/>
  <c r="L74" i="6" s="1"/>
  <c r="K203" i="2"/>
  <c r="K74" i="6" s="1"/>
  <c r="I25" i="7"/>
  <c r="M225" i="2"/>
  <c r="M25" i="7" s="1"/>
  <c r="L225" i="2"/>
  <c r="L25" i="7" s="1"/>
  <c r="L6" i="4"/>
  <c r="B23" i="1"/>
  <c r="F13" i="3"/>
  <c r="K22" i="2"/>
  <c r="K35" i="2"/>
  <c r="K38" i="4" s="1"/>
  <c r="F30" i="3"/>
  <c r="I13" i="5"/>
  <c r="M67" i="2"/>
  <c r="J40" i="5"/>
  <c r="L94" i="2"/>
  <c r="L40" i="5" s="1"/>
  <c r="M102" i="2"/>
  <c r="K126" i="2"/>
  <c r="K145" i="2"/>
  <c r="K16" i="6" s="1"/>
  <c r="L164" i="2"/>
  <c r="I39" i="6"/>
  <c r="M168" i="2"/>
  <c r="M39" i="6" s="1"/>
  <c r="L168" i="2"/>
  <c r="L39" i="6" s="1"/>
  <c r="K168" i="2"/>
  <c r="K39" i="6" s="1"/>
  <c r="K209" i="2"/>
  <c r="K9" i="7" s="1"/>
  <c r="I41" i="7"/>
  <c r="M241" i="2"/>
  <c r="M41" i="7" s="1"/>
  <c r="L241" i="2"/>
  <c r="L41" i="7" s="1"/>
  <c r="I35" i="5"/>
  <c r="F44" i="3"/>
  <c r="L89" i="2"/>
  <c r="M13" i="2"/>
  <c r="M16" i="4" s="1"/>
  <c r="L44" i="2"/>
  <c r="L47" i="4" s="1"/>
  <c r="J22" i="5"/>
  <c r="M76" i="2"/>
  <c r="M22" i="5" s="1"/>
  <c r="K80" i="2"/>
  <c r="K26" i="5" s="1"/>
  <c r="M84" i="2"/>
  <c r="G44" i="3"/>
  <c r="J35" i="5"/>
  <c r="L44" i="5"/>
  <c r="G60" i="3"/>
  <c r="J53" i="5"/>
  <c r="J62" i="5"/>
  <c r="K116" i="2"/>
  <c r="G66" i="3"/>
  <c r="G85" i="3"/>
  <c r="J11" i="6"/>
  <c r="L140" i="2"/>
  <c r="K140" i="2"/>
  <c r="M140" i="2"/>
  <c r="I25" i="6"/>
  <c r="F91" i="3"/>
  <c r="M154" i="2"/>
  <c r="K154" i="2"/>
  <c r="G103" i="3"/>
  <c r="J45" i="6"/>
  <c r="L18" i="7"/>
  <c r="I127" i="3"/>
  <c r="K5" i="4"/>
  <c r="I36" i="4"/>
  <c r="I44" i="4"/>
  <c r="I52" i="4"/>
  <c r="I60" i="4"/>
  <c r="L4" i="2"/>
  <c r="L9" i="2"/>
  <c r="L12" i="4" s="1"/>
  <c r="M14" i="2"/>
  <c r="M17" i="4" s="1"/>
  <c r="L26" i="2"/>
  <c r="L35" i="2"/>
  <c r="L38" i="4" s="1"/>
  <c r="L45" i="2"/>
  <c r="L48" i="4" s="1"/>
  <c r="K45" i="2"/>
  <c r="K48" i="4" s="1"/>
  <c r="K49" i="2"/>
  <c r="K52" i="4" s="1"/>
  <c r="M58" i="2"/>
  <c r="M61" i="4" s="1"/>
  <c r="K58" i="2"/>
  <c r="K61" i="4" s="1"/>
  <c r="K17" i="5"/>
  <c r="H33" i="3"/>
  <c r="K76" i="2"/>
  <c r="K22" i="5" s="1"/>
  <c r="I27" i="5"/>
  <c r="M81" i="2"/>
  <c r="M27" i="5" s="1"/>
  <c r="K89" i="2"/>
  <c r="K94" i="2"/>
  <c r="K40" i="5" s="1"/>
  <c r="M44" i="5"/>
  <c r="J52" i="3"/>
  <c r="L116" i="2"/>
  <c r="I67" i="5"/>
  <c r="K121" i="2"/>
  <c r="K67" i="5" s="1"/>
  <c r="L121" i="2"/>
  <c r="L67" i="5" s="1"/>
  <c r="I12" i="6"/>
  <c r="F86" i="3"/>
  <c r="L141" i="2"/>
  <c r="K141" i="2"/>
  <c r="L145" i="2"/>
  <c r="L16" i="6" s="1"/>
  <c r="M164" i="2"/>
  <c r="K174" i="2"/>
  <c r="I60" i="6"/>
  <c r="L189" i="2"/>
  <c r="L60" i="6" s="1"/>
  <c r="K189" i="2"/>
  <c r="K60" i="6" s="1"/>
  <c r="I19" i="7"/>
  <c r="F128" i="3"/>
  <c r="M219" i="2"/>
  <c r="L219" i="2"/>
  <c r="K219" i="2"/>
  <c r="K225" i="2"/>
  <c r="K25" i="7" s="1"/>
  <c r="H82" i="3"/>
  <c r="G30" i="3"/>
  <c r="J13" i="5"/>
  <c r="G39" i="3"/>
  <c r="J29" i="5"/>
  <c r="G53" i="3"/>
  <c r="J45" i="5"/>
  <c r="K118" i="2"/>
  <c r="K64" i="5" s="1"/>
  <c r="J77" i="5"/>
  <c r="G78" i="3"/>
  <c r="K134" i="2"/>
  <c r="I15" i="6"/>
  <c r="F89" i="3"/>
  <c r="K150" i="2"/>
  <c r="K21" i="6" s="1"/>
  <c r="L169" i="2"/>
  <c r="M172" i="2"/>
  <c r="I47" i="6"/>
  <c r="F105" i="3"/>
  <c r="J50" i="6"/>
  <c r="G108" i="3"/>
  <c r="M188" i="2"/>
  <c r="M59" i="6" s="1"/>
  <c r="K69" i="6"/>
  <c r="H118" i="3"/>
  <c r="L201" i="2"/>
  <c r="L72" i="6" s="1"/>
  <c r="I24" i="7"/>
  <c r="F130" i="3"/>
  <c r="H133" i="3"/>
  <c r="M36" i="7"/>
  <c r="J135" i="3"/>
  <c r="I60" i="7"/>
  <c r="M260" i="2"/>
  <c r="M60" i="7" s="1"/>
  <c r="F29" i="3"/>
  <c r="F43" i="3"/>
  <c r="F63" i="3"/>
  <c r="G68" i="3"/>
  <c r="F81" i="3"/>
  <c r="G107" i="3"/>
  <c r="I118" i="3"/>
  <c r="L69" i="6"/>
  <c r="K11" i="7"/>
  <c r="J24" i="7"/>
  <c r="G130" i="3"/>
  <c r="K27" i="7"/>
  <c r="H131" i="3"/>
  <c r="L30" i="7"/>
  <c r="I133" i="3"/>
  <c r="J141" i="3"/>
  <c r="M46" i="7"/>
  <c r="G29" i="3"/>
  <c r="K37" i="6"/>
  <c r="J125" i="3"/>
  <c r="M14" i="7"/>
  <c r="K224" i="2"/>
  <c r="M30" i="7"/>
  <c r="J133" i="3"/>
  <c r="G136" i="3"/>
  <c r="J37" i="7"/>
  <c r="K240" i="2"/>
  <c r="K40" i="7" s="1"/>
  <c r="K250" i="2"/>
  <c r="K50" i="7" s="1"/>
  <c r="K260" i="2"/>
  <c r="K60" i="7" s="1"/>
  <c r="G36" i="3"/>
  <c r="F66" i="3"/>
  <c r="I107" i="3"/>
  <c r="F118" i="3"/>
  <c r="G138" i="3"/>
  <c r="L16" i="2"/>
  <c r="L32" i="2"/>
  <c r="L35" i="4" s="1"/>
  <c r="L48" i="2"/>
  <c r="L51" i="4" s="1"/>
  <c r="L64" i="2"/>
  <c r="L80" i="2"/>
  <c r="L26" i="5" s="1"/>
  <c r="L96" i="2"/>
  <c r="I49" i="5"/>
  <c r="F57" i="3"/>
  <c r="L112" i="2"/>
  <c r="L58" i="5" s="1"/>
  <c r="G69" i="3"/>
  <c r="J68" i="5"/>
  <c r="L128" i="2"/>
  <c r="M131" i="2"/>
  <c r="L144" i="2"/>
  <c r="M147" i="2"/>
  <c r="M18" i="6" s="1"/>
  <c r="L160" i="2"/>
  <c r="L31" i="6" s="1"/>
  <c r="M163" i="2"/>
  <c r="M34" i="6" s="1"/>
  <c r="J41" i="6"/>
  <c r="G99" i="3"/>
  <c r="L176" i="2"/>
  <c r="M179" i="2"/>
  <c r="L192" i="2"/>
  <c r="L63" i="6" s="1"/>
  <c r="M195" i="2"/>
  <c r="M66" i="6" s="1"/>
  <c r="I70" i="6"/>
  <c r="F119" i="3"/>
  <c r="G120" i="3"/>
  <c r="J73" i="6"/>
  <c r="K205" i="2"/>
  <c r="K5" i="7" s="1"/>
  <c r="L208" i="2"/>
  <c r="L8" i="7" s="1"/>
  <c r="M211" i="2"/>
  <c r="I15" i="7"/>
  <c r="F126" i="3"/>
  <c r="K221" i="2"/>
  <c r="K21" i="7" s="1"/>
  <c r="L224" i="2"/>
  <c r="M227" i="2"/>
  <c r="I31" i="7"/>
  <c r="F134" i="3"/>
  <c r="K237" i="2"/>
  <c r="L240" i="2"/>
  <c r="L40" i="7" s="1"/>
  <c r="M243" i="2"/>
  <c r="M43" i="7" s="1"/>
  <c r="L250" i="2"/>
  <c r="L50" i="7" s="1"/>
  <c r="M253" i="2"/>
  <c r="M53" i="7" s="1"/>
  <c r="I57" i="7"/>
  <c r="L257" i="2"/>
  <c r="L57" i="7" s="1"/>
  <c r="L260" i="2"/>
  <c r="L60" i="7" s="1"/>
  <c r="F27" i="3"/>
  <c r="G41" i="3"/>
  <c r="I43" i="3"/>
  <c r="F61" i="3"/>
  <c r="F79" i="3"/>
  <c r="F97" i="3"/>
  <c r="G118" i="3"/>
  <c r="J18" i="5"/>
  <c r="M16" i="2"/>
  <c r="M64" i="2"/>
  <c r="J17" i="5"/>
  <c r="G33" i="3"/>
  <c r="M80" i="2"/>
  <c r="M26" i="5" s="1"/>
  <c r="M96" i="2"/>
  <c r="M112" i="2"/>
  <c r="M58" i="5" s="1"/>
  <c r="M128" i="2"/>
  <c r="M144" i="2"/>
  <c r="M160" i="2"/>
  <c r="M31" i="6" s="1"/>
  <c r="M176" i="2"/>
  <c r="M192" i="2"/>
  <c r="M63" i="6" s="1"/>
  <c r="J70" i="6"/>
  <c r="G119" i="3"/>
  <c r="K202" i="2"/>
  <c r="L205" i="2"/>
  <c r="M208" i="2"/>
  <c r="M8" i="7" s="1"/>
  <c r="I12" i="7"/>
  <c r="F123" i="3"/>
  <c r="G126" i="3"/>
  <c r="J15" i="7"/>
  <c r="K218" i="2"/>
  <c r="L221" i="2"/>
  <c r="L21" i="7" s="1"/>
  <c r="M224" i="2"/>
  <c r="K234" i="2"/>
  <c r="K34" i="7" s="1"/>
  <c r="L237" i="2"/>
  <c r="M240" i="2"/>
  <c r="M40" i="7" s="1"/>
  <c r="I44" i="7"/>
  <c r="F139" i="3"/>
  <c r="K247" i="2"/>
  <c r="M250" i="2"/>
  <c r="M50" i="7" s="1"/>
  <c r="I54" i="7"/>
  <c r="F146" i="3"/>
  <c r="I61" i="7"/>
  <c r="L261" i="2"/>
  <c r="L61" i="7" s="1"/>
  <c r="K261" i="2"/>
  <c r="K61" i="7" s="1"/>
  <c r="J110" i="3"/>
  <c r="J118" i="3"/>
  <c r="F127" i="3"/>
  <c r="I60" i="5"/>
  <c r="I20" i="6"/>
  <c r="G127" i="3"/>
  <c r="I6" i="5"/>
  <c r="I33" i="3"/>
  <c r="J43" i="5"/>
  <c r="G51" i="3"/>
  <c r="G65" i="3"/>
  <c r="J59" i="5"/>
  <c r="I72" i="5"/>
  <c r="F73" i="3"/>
  <c r="I13" i="6"/>
  <c r="F87" i="3"/>
  <c r="F94" i="3"/>
  <c r="I29" i="6"/>
  <c r="J48" i="6"/>
  <c r="G106" i="3"/>
  <c r="J64" i="6"/>
  <c r="G115" i="3"/>
  <c r="I119" i="3"/>
  <c r="M202" i="2"/>
  <c r="L15" i="7"/>
  <c r="I126" i="3"/>
  <c r="M218" i="2"/>
  <c r="K228" i="2"/>
  <c r="K28" i="7" s="1"/>
  <c r="L231" i="2"/>
  <c r="M234" i="2"/>
  <c r="M34" i="7" s="1"/>
  <c r="K244" i="2"/>
  <c r="M247" i="2"/>
  <c r="J51" i="7"/>
  <c r="G144" i="3"/>
  <c r="K254" i="2"/>
  <c r="M257" i="2"/>
  <c r="M57" i="7" s="1"/>
  <c r="M261" i="2"/>
  <c r="M61" i="7" s="1"/>
  <c r="F77" i="3"/>
  <c r="F95" i="3"/>
  <c r="F116" i="3"/>
  <c r="F80" i="5"/>
  <c r="I65" i="5"/>
  <c r="J75" i="5"/>
  <c r="J19" i="7"/>
  <c r="G128" i="3"/>
  <c r="K222" i="2"/>
  <c r="K22" i="7" s="1"/>
  <c r="M244" i="2"/>
  <c r="M254" i="2"/>
  <c r="F54" i="3"/>
  <c r="F98" i="3"/>
  <c r="H80" i="5"/>
  <c r="J11" i="5"/>
  <c r="I17" i="5"/>
  <c r="I31" i="5"/>
  <c r="F41" i="3"/>
  <c r="F55" i="3"/>
  <c r="I47" i="5"/>
  <c r="F67" i="3"/>
  <c r="I63" i="5"/>
  <c r="L126" i="2"/>
  <c r="F80" i="3"/>
  <c r="I79" i="5"/>
  <c r="G83" i="3"/>
  <c r="J7" i="6"/>
  <c r="L142" i="2"/>
  <c r="L158" i="2"/>
  <c r="F96" i="3"/>
  <c r="I36" i="6"/>
  <c r="L174" i="2"/>
  <c r="F110" i="3"/>
  <c r="I52" i="6"/>
  <c r="J55" i="6"/>
  <c r="G111" i="3"/>
  <c r="L190" i="2"/>
  <c r="F117" i="3"/>
  <c r="I68" i="6"/>
  <c r="L206" i="2"/>
  <c r="L6" i="7" s="1"/>
  <c r="L222" i="2"/>
  <c r="L22" i="7" s="1"/>
  <c r="F132" i="3"/>
  <c r="I29" i="7"/>
  <c r="L238" i="2"/>
  <c r="L38" i="7" s="1"/>
  <c r="L245" i="2"/>
  <c r="I45" i="7"/>
  <c r="F49" i="3"/>
  <c r="F75" i="3"/>
  <c r="J77" i="3"/>
  <c r="H80" i="3"/>
  <c r="G98" i="3"/>
  <c r="F111" i="3"/>
  <c r="G122" i="3"/>
  <c r="G125" i="3"/>
  <c r="M62" i="2"/>
  <c r="M8" i="5" s="1"/>
  <c r="M78" i="2"/>
  <c r="M24" i="5" s="1"/>
  <c r="M94" i="2"/>
  <c r="M40" i="5" s="1"/>
  <c r="G55" i="3"/>
  <c r="J47" i="5"/>
  <c r="M110" i="2"/>
  <c r="G67" i="3"/>
  <c r="J63" i="5"/>
  <c r="M126" i="2"/>
  <c r="J79" i="5"/>
  <c r="G80" i="3"/>
  <c r="M142" i="2"/>
  <c r="J20" i="6"/>
  <c r="G90" i="3"/>
  <c r="M158" i="2"/>
  <c r="J36" i="6"/>
  <c r="G96" i="3"/>
  <c r="M174" i="2"/>
  <c r="J52" i="6"/>
  <c r="G110" i="3"/>
  <c r="K184" i="2"/>
  <c r="M190" i="2"/>
  <c r="J68" i="6"/>
  <c r="G117" i="3"/>
  <c r="K200" i="2"/>
  <c r="K71" i="6" s="1"/>
  <c r="M206" i="2"/>
  <c r="M6" i="7" s="1"/>
  <c r="J13" i="7"/>
  <c r="G124" i="3"/>
  <c r="M222" i="2"/>
  <c r="M22" i="7" s="1"/>
  <c r="J29" i="7"/>
  <c r="G132" i="3"/>
  <c r="I42" i="7"/>
  <c r="F138" i="3"/>
  <c r="G57" i="3"/>
  <c r="F114" i="3"/>
  <c r="F142" i="3"/>
  <c r="I25" i="5"/>
  <c r="J43" i="6"/>
  <c r="K5" i="2"/>
  <c r="K21" i="2"/>
  <c r="K37" i="2"/>
  <c r="K40" i="4" s="1"/>
  <c r="K53" i="2"/>
  <c r="I9" i="5"/>
  <c r="F26" i="3"/>
  <c r="K69" i="2"/>
  <c r="K85" i="2"/>
  <c r="K101" i="2"/>
  <c r="F64" i="3"/>
  <c r="I57" i="5"/>
  <c r="K117" i="2"/>
  <c r="I73" i="5"/>
  <c r="F74" i="3"/>
  <c r="I14" i="6"/>
  <c r="F88" i="3"/>
  <c r="K20" i="6"/>
  <c r="H90" i="3"/>
  <c r="I46" i="6"/>
  <c r="F104" i="3"/>
  <c r="K52" i="6"/>
  <c r="H110" i="3"/>
  <c r="L184" i="2"/>
  <c r="K68" i="6"/>
  <c r="H117" i="3"/>
  <c r="L200" i="2"/>
  <c r="L71" i="6" s="1"/>
  <c r="I7" i="7"/>
  <c r="I67" i="7" s="1"/>
  <c r="C25" i="1" s="1"/>
  <c r="F121" i="3"/>
  <c r="K213" i="2"/>
  <c r="F129" i="3"/>
  <c r="I23" i="7"/>
  <c r="K29" i="7"/>
  <c r="H132" i="3"/>
  <c r="I39" i="7"/>
  <c r="F137" i="3"/>
  <c r="I49" i="7"/>
  <c r="F143" i="3"/>
  <c r="J52" i="7"/>
  <c r="G145" i="3"/>
  <c r="F47" i="3"/>
  <c r="F52" i="3"/>
  <c r="G88" i="3"/>
  <c r="H114" i="3"/>
  <c r="I125" i="3"/>
  <c r="F131" i="3"/>
  <c r="G142" i="3"/>
  <c r="L5" i="2"/>
  <c r="L21" i="2"/>
  <c r="L53" i="2"/>
  <c r="K66" i="2"/>
  <c r="L69" i="2"/>
  <c r="K82" i="2"/>
  <c r="K28" i="5" s="1"/>
  <c r="L85" i="2"/>
  <c r="G49" i="3"/>
  <c r="J41" i="5"/>
  <c r="K98" i="2"/>
  <c r="L101" i="2"/>
  <c r="J57" i="5"/>
  <c r="G64" i="3"/>
  <c r="L117" i="2"/>
  <c r="F71" i="3"/>
  <c r="I70" i="5"/>
  <c r="J73" i="5"/>
  <c r="G74" i="3"/>
  <c r="K130" i="2"/>
  <c r="L133" i="2"/>
  <c r="I11" i="6"/>
  <c r="F85" i="3"/>
  <c r="K146" i="2"/>
  <c r="K17" i="6" s="1"/>
  <c r="L149" i="2"/>
  <c r="I27" i="6"/>
  <c r="F92" i="3"/>
  <c r="K162" i="2"/>
  <c r="K33" i="6" s="1"/>
  <c r="L165" i="2"/>
  <c r="I43" i="6"/>
  <c r="F101" i="3"/>
  <c r="K178" i="2"/>
  <c r="L181" i="2"/>
  <c r="M184" i="2"/>
  <c r="J62" i="6"/>
  <c r="G114" i="3"/>
  <c r="K194" i="2"/>
  <c r="L197" i="2"/>
  <c r="M200" i="2"/>
  <c r="M71" i="6" s="1"/>
  <c r="G121" i="3"/>
  <c r="J7" i="7"/>
  <c r="K210" i="2"/>
  <c r="K10" i="7" s="1"/>
  <c r="L213" i="2"/>
  <c r="M216" i="2"/>
  <c r="M16" i="7" s="1"/>
  <c r="K226" i="2"/>
  <c r="K26" i="7" s="1"/>
  <c r="L229" i="2"/>
  <c r="M232" i="2"/>
  <c r="M32" i="7" s="1"/>
  <c r="J39" i="7"/>
  <c r="G137" i="3"/>
  <c r="K242" i="2"/>
  <c r="M245" i="2"/>
  <c r="J49" i="7"/>
  <c r="G143" i="3"/>
  <c r="K52" i="7"/>
  <c r="H145" i="3"/>
  <c r="F40" i="3"/>
  <c r="G52" i="3"/>
  <c r="I57" i="3"/>
  <c r="H96" i="3"/>
  <c r="F109" i="3"/>
  <c r="G131" i="3"/>
  <c r="G134" i="3"/>
  <c r="I145" i="3"/>
  <c r="H104" i="3"/>
  <c r="I56" i="6"/>
  <c r="F112" i="3"/>
  <c r="M68" i="6"/>
  <c r="J117" i="3"/>
  <c r="K207" i="2"/>
  <c r="L210" i="2"/>
  <c r="L10" i="7" s="1"/>
  <c r="M213" i="2"/>
  <c r="K223" i="2"/>
  <c r="L226" i="2"/>
  <c r="L26" i="7" s="1"/>
  <c r="M229" i="2"/>
  <c r="J36" i="7"/>
  <c r="G135" i="3"/>
  <c r="K239" i="2"/>
  <c r="L242" i="2"/>
  <c r="I46" i="7"/>
  <c r="F141" i="3"/>
  <c r="K249" i="2"/>
  <c r="K259" i="2"/>
  <c r="K59" i="7" s="1"/>
  <c r="G91" i="3"/>
  <c r="I131" i="3"/>
  <c r="I40" i="6"/>
  <c r="I45" i="6"/>
  <c r="L73" i="5"/>
  <c r="I74" i="3"/>
  <c r="L14" i="6"/>
  <c r="I88" i="3"/>
  <c r="L159" i="2"/>
  <c r="L30" i="6" s="1"/>
  <c r="M162" i="2"/>
  <c r="M33" i="6" s="1"/>
  <c r="K172" i="2"/>
  <c r="L175" i="2"/>
  <c r="M178" i="2"/>
  <c r="J56" i="6"/>
  <c r="G112" i="3"/>
  <c r="K188" i="2"/>
  <c r="K59" i="6" s="1"/>
  <c r="L191" i="2"/>
  <c r="M194" i="2"/>
  <c r="K204" i="2"/>
  <c r="K75" i="6" s="1"/>
  <c r="L207" i="2"/>
  <c r="M210" i="2"/>
  <c r="M10" i="7" s="1"/>
  <c r="I14" i="7"/>
  <c r="F125" i="3"/>
  <c r="K220" i="2"/>
  <c r="K20" i="7" s="1"/>
  <c r="L223" i="2"/>
  <c r="M226" i="2"/>
  <c r="M26" i="7" s="1"/>
  <c r="I30" i="7"/>
  <c r="F133" i="3"/>
  <c r="K236" i="2"/>
  <c r="L239" i="2"/>
  <c r="M242" i="2"/>
  <c r="J46" i="7"/>
  <c r="G141" i="3"/>
  <c r="L249" i="2"/>
  <c r="M52" i="7"/>
  <c r="J145" i="3"/>
  <c r="L259" i="2"/>
  <c r="L59" i="7" s="1"/>
  <c r="K263" i="2"/>
  <c r="K63" i="7" s="1"/>
  <c r="G26" i="3"/>
  <c r="F31" i="3"/>
  <c r="G45" i="3"/>
  <c r="F50" i="3"/>
  <c r="J96" i="3"/>
  <c r="G104" i="3"/>
  <c r="F120" i="3"/>
  <c r="F140" i="3"/>
  <c r="M127" i="2"/>
  <c r="I77" i="5"/>
  <c r="F78" i="3"/>
  <c r="J5" i="6"/>
  <c r="G81" i="3"/>
  <c r="M143" i="2"/>
  <c r="M159" i="2"/>
  <c r="M30" i="6" s="1"/>
  <c r="G97" i="3"/>
  <c r="J37" i="6"/>
  <c r="L172" i="2"/>
  <c r="M175" i="2"/>
  <c r="I50" i="6"/>
  <c r="F108" i="3"/>
  <c r="K185" i="2"/>
  <c r="L188" i="2"/>
  <c r="L59" i="6" s="1"/>
  <c r="M191" i="2"/>
  <c r="K201" i="2"/>
  <c r="K72" i="6" s="1"/>
  <c r="L204" i="2"/>
  <c r="L75" i="6" s="1"/>
  <c r="M207" i="2"/>
  <c r="I11" i="7"/>
  <c r="F122" i="3"/>
  <c r="K217" i="2"/>
  <c r="K17" i="7" s="1"/>
  <c r="L220" i="2"/>
  <c r="L20" i="7" s="1"/>
  <c r="M223" i="2"/>
  <c r="K233" i="2"/>
  <c r="K33" i="7" s="1"/>
  <c r="L236" i="2"/>
  <c r="M239" i="2"/>
  <c r="K246" i="2"/>
  <c r="M249" i="2"/>
  <c r="M259" i="2"/>
  <c r="M59" i="7" s="1"/>
  <c r="L263" i="2"/>
  <c r="L63" i="7" s="1"/>
  <c r="G31" i="3"/>
  <c r="G38" i="3"/>
  <c r="F107" i="3"/>
  <c r="G140" i="3"/>
  <c r="I13" i="7"/>
  <c r="K265" i="2"/>
  <c r="K65" i="7" s="1"/>
  <c r="H67" i="7"/>
  <c r="I181" i="9"/>
  <c r="H76" i="6"/>
  <c r="K264" i="2"/>
  <c r="K64" i="7" s="1"/>
  <c r="L264" i="2"/>
  <c r="L64" i="7" s="1"/>
  <c r="F145" i="3"/>
  <c r="I52" i="7"/>
  <c r="M264" i="2"/>
  <c r="M64" i="7" s="1"/>
  <c r="F33" i="8"/>
  <c r="F65" i="8"/>
  <c r="G13" i="9"/>
  <c r="G34" i="9"/>
  <c r="G53" i="9"/>
  <c r="G76" i="9"/>
  <c r="G96" i="9"/>
  <c r="G22" i="10"/>
  <c r="G55" i="10"/>
  <c r="G78" i="10"/>
  <c r="G108" i="10"/>
  <c r="G36" i="11"/>
  <c r="G77" i="11"/>
  <c r="G116" i="11"/>
  <c r="F40" i="8"/>
  <c r="F81" i="8"/>
  <c r="G32" i="10"/>
  <c r="G66" i="10"/>
  <c r="G84" i="10"/>
  <c r="G120" i="10"/>
  <c r="F7" i="8"/>
  <c r="F41" i="8"/>
  <c r="G33" i="10"/>
  <c r="G85" i="10"/>
  <c r="G121" i="10"/>
  <c r="F10" i="8"/>
  <c r="F42" i="8"/>
  <c r="F85" i="8"/>
  <c r="G24" i="9"/>
  <c r="G42" i="9"/>
  <c r="G64" i="9"/>
  <c r="G86" i="9"/>
  <c r="G7" i="10"/>
  <c r="G36" i="10"/>
  <c r="G86" i="10"/>
  <c r="G124" i="10"/>
  <c r="G55" i="11"/>
  <c r="G98" i="11"/>
  <c r="G135" i="11"/>
  <c r="F11" i="8"/>
  <c r="F43" i="8"/>
  <c r="G109" i="9"/>
  <c r="G127" i="9"/>
  <c r="G148" i="9"/>
  <c r="G168" i="9"/>
  <c r="G8" i="10"/>
  <c r="G69" i="10"/>
  <c r="G87" i="10"/>
  <c r="G127" i="10"/>
  <c r="G20" i="11"/>
  <c r="G58" i="11"/>
  <c r="G101" i="11"/>
  <c r="G136" i="11"/>
  <c r="G137" i="11"/>
  <c r="F23" i="8"/>
  <c r="F45" i="8"/>
  <c r="G112" i="9"/>
  <c r="G130" i="9"/>
  <c r="G151" i="9"/>
  <c r="G169" i="9"/>
  <c r="G12" i="10"/>
  <c r="G39" i="10"/>
  <c r="G89" i="10"/>
  <c r="G131" i="10"/>
  <c r="G26" i="11"/>
  <c r="G62" i="11"/>
  <c r="G107" i="11"/>
  <c r="G144" i="11"/>
  <c r="F24" i="8"/>
  <c r="F46" i="8"/>
  <c r="G7" i="9"/>
  <c r="G28" i="9"/>
  <c r="G46" i="9"/>
  <c r="G70" i="9"/>
  <c r="G90" i="9"/>
  <c r="G16" i="10"/>
  <c r="G43" i="10"/>
  <c r="G93" i="10"/>
  <c r="G132" i="10"/>
  <c r="G65" i="11"/>
  <c r="G110" i="11"/>
  <c r="G145" i="11"/>
  <c r="F25" i="8"/>
  <c r="F57" i="8"/>
  <c r="G115" i="9"/>
  <c r="G133" i="9"/>
  <c r="G154" i="9"/>
  <c r="G170" i="9"/>
  <c r="G46" i="10"/>
  <c r="G73" i="10"/>
  <c r="G96" i="10"/>
  <c r="G135" i="10"/>
  <c r="G29" i="11"/>
  <c r="G68" i="11"/>
  <c r="G149" i="11"/>
  <c r="F28" i="8"/>
  <c r="F59" i="8"/>
  <c r="G49" i="10"/>
  <c r="G76" i="10"/>
  <c r="G100" i="10"/>
  <c r="G30" i="11"/>
  <c r="G71" i="11"/>
  <c r="G150" i="11"/>
  <c r="F29" i="8"/>
  <c r="G118" i="9"/>
  <c r="G134" i="9"/>
  <c r="G155" i="9"/>
  <c r="G19" i="10"/>
  <c r="G52" i="10"/>
  <c r="G77" i="10"/>
  <c r="G7" i="11"/>
  <c r="G33" i="11"/>
  <c r="G74" i="11"/>
  <c r="L13" i="5" l="1"/>
  <c r="J98" i="3"/>
  <c r="M5" i="6"/>
  <c r="M12" i="5"/>
  <c r="I82" i="3"/>
  <c r="I141" i="3"/>
  <c r="H5" i="3"/>
  <c r="K6" i="4"/>
  <c r="H16" i="3"/>
  <c r="K28" i="4"/>
  <c r="I142" i="3"/>
  <c r="L22" i="4"/>
  <c r="J16" i="3"/>
  <c r="M28" i="4"/>
  <c r="I45" i="3"/>
  <c r="H119" i="3"/>
  <c r="J90" i="3"/>
  <c r="H26" i="3"/>
  <c r="M8" i="4"/>
  <c r="I20" i="3"/>
  <c r="L55" i="4"/>
  <c r="J82" i="3"/>
  <c r="I116" i="3"/>
  <c r="H22" i="3"/>
  <c r="K58" i="4"/>
  <c r="L57" i="5"/>
  <c r="I64" i="3"/>
  <c r="I14" i="3"/>
  <c r="L26" i="4"/>
  <c r="J41" i="3"/>
  <c r="J21" i="3"/>
  <c r="M56" i="4"/>
  <c r="M26" i="4"/>
  <c r="I22" i="3"/>
  <c r="L58" i="4"/>
  <c r="I78" i="3"/>
  <c r="H88" i="3"/>
  <c r="M15" i="7"/>
  <c r="K54" i="5"/>
  <c r="H61" i="3"/>
  <c r="H14" i="3"/>
  <c r="K26" i="4"/>
  <c r="C14" i="1"/>
  <c r="I122" i="3"/>
  <c r="H140" i="3"/>
  <c r="I49" i="3"/>
  <c r="M65" i="5"/>
  <c r="M31" i="7"/>
  <c r="K45" i="5"/>
  <c r="H108" i="3"/>
  <c r="I68" i="3"/>
  <c r="D22" i="1"/>
  <c r="I8" i="3"/>
  <c r="L18" i="4"/>
  <c r="H125" i="3"/>
  <c r="H8" i="3"/>
  <c r="K18" i="4"/>
  <c r="K25" i="4"/>
  <c r="H13" i="3"/>
  <c r="K47" i="7"/>
  <c r="H142" i="3"/>
  <c r="K25" i="6"/>
  <c r="H91" i="3"/>
  <c r="M45" i="7"/>
  <c r="J140" i="3"/>
  <c r="K36" i="7"/>
  <c r="H135" i="3"/>
  <c r="I60" i="3"/>
  <c r="L53" i="5"/>
  <c r="M20" i="5"/>
  <c r="J36" i="3"/>
  <c r="K52" i="5"/>
  <c r="H59" i="3"/>
  <c r="J5" i="3"/>
  <c r="M6" i="4"/>
  <c r="M29" i="5"/>
  <c r="J39" i="3"/>
  <c r="M48" i="6"/>
  <c r="J106" i="3"/>
  <c r="H46" i="3"/>
  <c r="K37" i="5"/>
  <c r="K7" i="6"/>
  <c r="H83" i="3"/>
  <c r="J19" i="3"/>
  <c r="M31" i="4"/>
  <c r="H69" i="3"/>
  <c r="K68" i="5"/>
  <c r="I34" i="3"/>
  <c r="L18" i="5"/>
  <c r="H30" i="3"/>
  <c r="K13" i="5"/>
  <c r="B26" i="1"/>
  <c r="J28" i="3"/>
  <c r="M11" i="5"/>
  <c r="K13" i="6"/>
  <c r="H87" i="3"/>
  <c r="L37" i="5"/>
  <c r="I46" i="3"/>
  <c r="I83" i="3"/>
  <c r="L7" i="6"/>
  <c r="M68" i="5"/>
  <c r="J69" i="3"/>
  <c r="M18" i="5"/>
  <c r="J34" i="3"/>
  <c r="I90" i="3"/>
  <c r="L20" i="6"/>
  <c r="L39" i="5"/>
  <c r="I48" i="3"/>
  <c r="J124" i="3"/>
  <c r="M13" i="7"/>
  <c r="K73" i="6"/>
  <c r="H120" i="3"/>
  <c r="M73" i="5"/>
  <c r="J74" i="3"/>
  <c r="I12" i="3"/>
  <c r="L24" i="4"/>
  <c r="L52" i="6"/>
  <c r="I110" i="3"/>
  <c r="M24" i="7"/>
  <c r="J130" i="3"/>
  <c r="M74" i="5"/>
  <c r="J75" i="3"/>
  <c r="M77" i="5"/>
  <c r="J78" i="3"/>
  <c r="K49" i="6"/>
  <c r="H107" i="3"/>
  <c r="K13" i="7"/>
  <c r="H124" i="3"/>
  <c r="K45" i="6"/>
  <c r="H103" i="3"/>
  <c r="J56" i="3"/>
  <c r="M48" i="5"/>
  <c r="L42" i="7"/>
  <c r="I138" i="3"/>
  <c r="H67" i="3"/>
  <c r="K63" i="5"/>
  <c r="H127" i="3"/>
  <c r="K18" i="7"/>
  <c r="B13" i="1"/>
  <c r="B17" i="1"/>
  <c r="I28" i="3"/>
  <c r="L11" i="5"/>
  <c r="H141" i="3"/>
  <c r="K46" i="7"/>
  <c r="K39" i="7"/>
  <c r="H137" i="3"/>
  <c r="L29" i="7"/>
  <c r="I132" i="3"/>
  <c r="M45" i="6"/>
  <c r="J103" i="3"/>
  <c r="M44" i="7"/>
  <c r="J139" i="3"/>
  <c r="K44" i="7"/>
  <c r="H139" i="3"/>
  <c r="I44" i="3"/>
  <c r="L35" i="5"/>
  <c r="K35" i="6"/>
  <c r="H95" i="3"/>
  <c r="I76" i="3"/>
  <c r="L75" i="5"/>
  <c r="M28" i="6"/>
  <c r="J93" i="3"/>
  <c r="J42" i="3"/>
  <c r="M32" i="5"/>
  <c r="L78" i="5"/>
  <c r="I79" i="3"/>
  <c r="M37" i="5"/>
  <c r="J46" i="3"/>
  <c r="J83" i="3"/>
  <c r="M7" i="6"/>
  <c r="J10" i="3"/>
  <c r="M22" i="4"/>
  <c r="K23" i="7"/>
  <c r="H129" i="3"/>
  <c r="L5" i="7"/>
  <c r="D25" i="1"/>
  <c r="M70" i="5"/>
  <c r="J71" i="3"/>
  <c r="K69" i="5"/>
  <c r="H70" i="3"/>
  <c r="J65" i="3"/>
  <c r="M59" i="5"/>
  <c r="L31" i="5"/>
  <c r="I41" i="3"/>
  <c r="M19" i="7"/>
  <c r="J128" i="3"/>
  <c r="M73" i="6"/>
  <c r="J120" i="3"/>
  <c r="M42" i="7"/>
  <c r="J138" i="3"/>
  <c r="L35" i="6"/>
  <c r="I95" i="3"/>
  <c r="K55" i="6"/>
  <c r="H111" i="3"/>
  <c r="L13" i="6"/>
  <c r="I87" i="3"/>
  <c r="I6" i="3"/>
  <c r="L7" i="4"/>
  <c r="I85" i="3"/>
  <c r="L11" i="6"/>
  <c r="K72" i="5"/>
  <c r="H73" i="3"/>
  <c r="H60" i="3"/>
  <c r="K53" i="5"/>
  <c r="K20" i="5"/>
  <c r="H36" i="3"/>
  <c r="I104" i="3"/>
  <c r="L46" i="6"/>
  <c r="L74" i="5"/>
  <c r="I75" i="3"/>
  <c r="H44" i="3"/>
  <c r="K35" i="5"/>
  <c r="M49" i="7"/>
  <c r="J143" i="3"/>
  <c r="K43" i="6"/>
  <c r="H101" i="3"/>
  <c r="I67" i="3"/>
  <c r="L63" i="5"/>
  <c r="M47" i="7"/>
  <c r="J142" i="3"/>
  <c r="M42" i="5"/>
  <c r="J50" i="3"/>
  <c r="M35" i="6"/>
  <c r="J95" i="3"/>
  <c r="J60" i="3"/>
  <c r="M53" i="5"/>
  <c r="H56" i="3"/>
  <c r="K48" i="5"/>
  <c r="M52" i="5"/>
  <c r="J59" i="3"/>
  <c r="M39" i="7"/>
  <c r="J137" i="3"/>
  <c r="L23" i="7"/>
  <c r="I129" i="3"/>
  <c r="L36" i="6"/>
  <c r="I96" i="3"/>
  <c r="K62" i="5"/>
  <c r="H66" i="3"/>
  <c r="J30" i="3"/>
  <c r="M13" i="5"/>
  <c r="K44" i="6"/>
  <c r="H102" i="3"/>
  <c r="L44" i="7"/>
  <c r="I139" i="3"/>
  <c r="H72" i="3"/>
  <c r="K71" i="5"/>
  <c r="C17" i="1"/>
  <c r="C13" i="1"/>
  <c r="J35" i="3"/>
  <c r="M19" i="5"/>
  <c r="J76" i="3"/>
  <c r="M75" i="5"/>
  <c r="K42" i="6"/>
  <c r="H100" i="3"/>
  <c r="I80" i="5"/>
  <c r="C23" i="1" s="1"/>
  <c r="C26" i="1" s="1"/>
  <c r="M14" i="6"/>
  <c r="J88" i="3"/>
  <c r="K24" i="7"/>
  <c r="H130" i="3"/>
  <c r="M11" i="6"/>
  <c r="J85" i="3"/>
  <c r="M49" i="6"/>
  <c r="J107" i="3"/>
  <c r="M21" i="5"/>
  <c r="J37" i="3"/>
  <c r="H9" i="3"/>
  <c r="K19" i="4"/>
  <c r="K18" i="5"/>
  <c r="H34" i="3"/>
  <c r="K56" i="6"/>
  <c r="H112" i="3"/>
  <c r="M54" i="7"/>
  <c r="J146" i="3"/>
  <c r="M7" i="5"/>
  <c r="J25" i="3"/>
  <c r="J104" i="3"/>
  <c r="M46" i="6"/>
  <c r="L36" i="7"/>
  <c r="I135" i="3"/>
  <c r="L43" i="6"/>
  <c r="I101" i="3"/>
  <c r="I55" i="3"/>
  <c r="L47" i="5"/>
  <c r="H55" i="3"/>
  <c r="K47" i="5"/>
  <c r="L72" i="5"/>
  <c r="I73" i="3"/>
  <c r="I134" i="3"/>
  <c r="L31" i="7"/>
  <c r="I56" i="3"/>
  <c r="L48" i="5"/>
  <c r="I51" i="3"/>
  <c r="L43" i="5"/>
  <c r="L44" i="6"/>
  <c r="I102" i="3"/>
  <c r="J11" i="3"/>
  <c r="M23" i="4"/>
  <c r="I72" i="3"/>
  <c r="L71" i="5"/>
  <c r="B14" i="1"/>
  <c r="L6" i="5"/>
  <c r="I24" i="3"/>
  <c r="I100" i="3"/>
  <c r="L42" i="6"/>
  <c r="M78" i="5"/>
  <c r="J79" i="3"/>
  <c r="H23" i="3"/>
  <c r="K5" i="5"/>
  <c r="L48" i="6"/>
  <c r="I106" i="3"/>
  <c r="L10" i="5"/>
  <c r="I27" i="3"/>
  <c r="M29" i="7"/>
  <c r="J132" i="3"/>
  <c r="L13" i="7"/>
  <c r="I124" i="3"/>
  <c r="K44" i="5"/>
  <c r="H52" i="3"/>
  <c r="K31" i="5"/>
  <c r="H41" i="3"/>
  <c r="M29" i="6"/>
  <c r="J94" i="3"/>
  <c r="M10" i="5"/>
  <c r="J27" i="3"/>
  <c r="M43" i="6"/>
  <c r="J101" i="3"/>
  <c r="K12" i="6"/>
  <c r="H86" i="3"/>
  <c r="K43" i="5"/>
  <c r="H51" i="3"/>
  <c r="A8" i="1"/>
  <c r="M42" i="6"/>
  <c r="J100" i="3"/>
  <c r="I69" i="3"/>
  <c r="L68" i="5"/>
  <c r="I42" i="3"/>
  <c r="L32" i="5"/>
  <c r="K61" i="6"/>
  <c r="H113" i="3"/>
  <c r="K78" i="5"/>
  <c r="H79" i="3"/>
  <c r="L5" i="5"/>
  <c r="I23" i="3"/>
  <c r="D23" i="1"/>
  <c r="J129" i="3"/>
  <c r="M23" i="7"/>
  <c r="L55" i="6"/>
  <c r="I111" i="3"/>
  <c r="K15" i="5"/>
  <c r="H31" i="3"/>
  <c r="L61" i="6"/>
  <c r="I113" i="3"/>
  <c r="M18" i="7"/>
  <c r="J127" i="3"/>
  <c r="J9" i="3"/>
  <c r="M19" i="4"/>
  <c r="K37" i="7"/>
  <c r="H136" i="3"/>
  <c r="L42" i="5"/>
  <c r="I50" i="3"/>
  <c r="L40" i="6"/>
  <c r="I98" i="3"/>
  <c r="K19" i="7"/>
  <c r="H128" i="3"/>
  <c r="L12" i="6"/>
  <c r="I86" i="3"/>
  <c r="K39" i="5"/>
  <c r="H48" i="3"/>
  <c r="H76" i="3"/>
  <c r="K75" i="5"/>
  <c r="L56" i="5"/>
  <c r="I63" i="3"/>
  <c r="I35" i="3"/>
  <c r="L19" i="5"/>
  <c r="M5" i="5"/>
  <c r="J23" i="3"/>
  <c r="L69" i="5"/>
  <c r="I70" i="3"/>
  <c r="K10" i="5"/>
  <c r="H27" i="3"/>
  <c r="H18" i="3"/>
  <c r="K30" i="4"/>
  <c r="L19" i="7"/>
  <c r="I128" i="3"/>
  <c r="K5" i="6"/>
  <c r="H81" i="3"/>
  <c r="M25" i="6"/>
  <c r="J91" i="3"/>
  <c r="L10" i="6"/>
  <c r="I84" i="3"/>
  <c r="L51" i="7"/>
  <c r="I144" i="3"/>
  <c r="L38" i="5"/>
  <c r="I47" i="3"/>
  <c r="L70" i="5"/>
  <c r="I71" i="3"/>
  <c r="I15" i="3"/>
  <c r="L27" i="4"/>
  <c r="K12" i="7"/>
  <c r="H123" i="3"/>
  <c r="K41" i="6"/>
  <c r="H99" i="3"/>
  <c r="H42" i="3"/>
  <c r="K32" i="5"/>
  <c r="K30" i="5"/>
  <c r="H40" i="3"/>
  <c r="M54" i="5"/>
  <c r="J61" i="3"/>
  <c r="J18" i="3"/>
  <c r="M30" i="4"/>
  <c r="J24" i="3"/>
  <c r="M6" i="5"/>
  <c r="M65" i="6"/>
  <c r="J116" i="3"/>
  <c r="K7" i="7"/>
  <c r="H121" i="3"/>
  <c r="I117" i="3"/>
  <c r="L68" i="6"/>
  <c r="I31" i="3"/>
  <c r="L15" i="5"/>
  <c r="I130" i="3"/>
  <c r="L24" i="7"/>
  <c r="M7" i="7"/>
  <c r="J121" i="3"/>
  <c r="L62" i="6"/>
  <c r="I114" i="3"/>
  <c r="K65" i="6"/>
  <c r="H116" i="3"/>
  <c r="L79" i="5"/>
  <c r="I80" i="3"/>
  <c r="K12" i="5"/>
  <c r="H29" i="3"/>
  <c r="H12" i="3"/>
  <c r="K24" i="4"/>
  <c r="M72" i="5"/>
  <c r="J73" i="3"/>
  <c r="L45" i="6"/>
  <c r="I103" i="3"/>
  <c r="I9" i="3"/>
  <c r="L19" i="4"/>
  <c r="M30" i="5"/>
  <c r="J40" i="3"/>
  <c r="H17" i="3"/>
  <c r="K29" i="4"/>
  <c r="D24" i="1"/>
  <c r="M10" i="6"/>
  <c r="J84" i="3"/>
  <c r="M51" i="7"/>
  <c r="J144" i="3"/>
  <c r="K29" i="5"/>
  <c r="H39" i="3"/>
  <c r="L12" i="7"/>
  <c r="I123" i="3"/>
  <c r="M46" i="5"/>
  <c r="J54" i="3"/>
  <c r="J15" i="3"/>
  <c r="M27" i="4"/>
  <c r="M12" i="7"/>
  <c r="J123" i="3"/>
  <c r="I58" i="3"/>
  <c r="L51" i="5"/>
  <c r="M41" i="6"/>
  <c r="J99" i="3"/>
  <c r="I13" i="3"/>
  <c r="L25" i="4"/>
  <c r="K10" i="6"/>
  <c r="H84" i="3"/>
  <c r="H58" i="3"/>
  <c r="K51" i="5"/>
  <c r="J58" i="3"/>
  <c r="M51" i="5"/>
  <c r="H28" i="3"/>
  <c r="K11" i="5"/>
  <c r="K70" i="5"/>
  <c r="H71" i="3"/>
  <c r="H15" i="3"/>
  <c r="K27" i="4"/>
  <c r="M69" i="5"/>
  <c r="J70" i="3"/>
  <c r="M51" i="6"/>
  <c r="J109" i="3"/>
  <c r="K51" i="6"/>
  <c r="H109" i="3"/>
  <c r="I18" i="3"/>
  <c r="L30" i="4"/>
  <c r="L49" i="7"/>
  <c r="I143" i="3"/>
  <c r="H77" i="3"/>
  <c r="K76" i="5"/>
  <c r="I21" i="3"/>
  <c r="L56" i="4"/>
  <c r="H7" i="3"/>
  <c r="C16" i="1"/>
  <c r="K8" i="4"/>
  <c r="B16" i="1"/>
  <c r="C15" i="1"/>
  <c r="B15" i="1"/>
  <c r="M47" i="6"/>
  <c r="J105" i="3"/>
  <c r="L62" i="5"/>
  <c r="I66" i="3"/>
  <c r="I17" i="3"/>
  <c r="L29" i="4"/>
  <c r="J17" i="3"/>
  <c r="M29" i="4"/>
  <c r="L29" i="5"/>
  <c r="I39" i="3"/>
  <c r="K7" i="5"/>
  <c r="H25" i="3"/>
  <c r="I16" i="3"/>
  <c r="L28" i="4"/>
  <c r="J51" i="3"/>
  <c r="M43" i="5"/>
  <c r="K42" i="5"/>
  <c r="H50" i="3"/>
  <c r="L41" i="6"/>
  <c r="I99" i="3"/>
  <c r="M55" i="5"/>
  <c r="J62" i="3"/>
  <c r="J92" i="3"/>
  <c r="M27" i="6"/>
  <c r="H62" i="3"/>
  <c r="K55" i="5"/>
  <c r="K36" i="5"/>
  <c r="H45" i="3"/>
  <c r="J6" i="3"/>
  <c r="M7" i="4"/>
  <c r="J108" i="3"/>
  <c r="M50" i="6"/>
  <c r="L7" i="7"/>
  <c r="I121" i="3"/>
  <c r="M13" i="6"/>
  <c r="J87" i="3"/>
  <c r="L47" i="6"/>
  <c r="I105" i="3"/>
  <c r="H21" i="3"/>
  <c r="K56" i="4"/>
  <c r="M27" i="7"/>
  <c r="J131" i="3"/>
  <c r="L37" i="7"/>
  <c r="I136" i="3"/>
  <c r="H37" i="3"/>
  <c r="K21" i="5"/>
  <c r="L64" i="6"/>
  <c r="I115" i="3"/>
  <c r="L7" i="5"/>
  <c r="I25" i="3"/>
  <c r="M38" i="5"/>
  <c r="J47" i="3"/>
  <c r="K28" i="6"/>
  <c r="H93" i="3"/>
  <c r="K46" i="5"/>
  <c r="H54" i="3"/>
  <c r="I19" i="3"/>
  <c r="L31" i="4"/>
  <c r="K27" i="6"/>
  <c r="H92" i="3"/>
  <c r="I62" i="3"/>
  <c r="L55" i="5"/>
  <c r="M36" i="5"/>
  <c r="J45" i="3"/>
  <c r="M45" i="5"/>
  <c r="J53" i="3"/>
  <c r="M62" i="6"/>
  <c r="J114" i="3"/>
  <c r="L39" i="7"/>
  <c r="I137" i="3"/>
  <c r="H143" i="3"/>
  <c r="K49" i="7"/>
  <c r="K42" i="7"/>
  <c r="H138" i="3"/>
  <c r="M55" i="6"/>
  <c r="J111" i="3"/>
  <c r="I7" i="3"/>
  <c r="L8" i="4"/>
  <c r="M61" i="6"/>
  <c r="J113" i="3"/>
  <c r="M56" i="5"/>
  <c r="J63" i="3"/>
  <c r="L45" i="7"/>
  <c r="I140" i="3"/>
  <c r="L29" i="6"/>
  <c r="I94" i="3"/>
  <c r="K54" i="7"/>
  <c r="H146" i="3"/>
  <c r="M15" i="6"/>
  <c r="J89" i="3"/>
  <c r="M11" i="7"/>
  <c r="J122" i="3"/>
  <c r="L15" i="6"/>
  <c r="I89" i="3"/>
  <c r="K11" i="6"/>
  <c r="H85" i="3"/>
  <c r="I37" i="3"/>
  <c r="L21" i="5"/>
  <c r="M64" i="6"/>
  <c r="J115" i="3"/>
  <c r="K16" i="5"/>
  <c r="H32" i="3"/>
  <c r="I11" i="3"/>
  <c r="L23" i="4"/>
  <c r="L28" i="6"/>
  <c r="I93" i="3"/>
  <c r="H10" i="3"/>
  <c r="K22" i="4"/>
  <c r="L27" i="6"/>
  <c r="I92" i="3"/>
  <c r="H19" i="3"/>
  <c r="K31" i="4"/>
  <c r="D26" i="1" l="1"/>
  <c r="D13" i="1"/>
  <c r="D17" i="1"/>
  <c r="D16" i="1"/>
  <c r="D15" i="1"/>
  <c r="D14" i="1"/>
  <c r="B18" i="1"/>
  <c r="C18" i="1"/>
  <c r="D18" i="1" l="1"/>
  <c r="G87" i="8"/>
</calcChain>
</file>

<file path=xl/sharedStrings.xml><?xml version="1.0" encoding="utf-8"?>
<sst xmlns="http://schemas.openxmlformats.org/spreadsheetml/2006/main" count="2141" uniqueCount="610">
  <si>
    <t>AR Aging Report - Watches</t>
  </si>
  <si>
    <t>Report Date: 21-May-2026</t>
  </si>
  <si>
    <t>S.No</t>
  </si>
  <si>
    <t>Source Sheet</t>
  </si>
  <si>
    <t>Date</t>
  </si>
  <si>
    <t>Invoice No</t>
  </si>
  <si>
    <t>Customer Name</t>
  </si>
  <si>
    <t>Invoice Amount</t>
  </si>
  <si>
    <t>Due Date</t>
  </si>
  <si>
    <t>Paid Amount</t>
  </si>
  <si>
    <t>Outstanding Amount</t>
  </si>
  <si>
    <t>Days Overdue</t>
  </si>
  <si>
    <t>Aging Bucket</t>
  </si>
  <si>
    <t>Risk Level</t>
  </si>
  <si>
    <t>Follow-up Priority</t>
  </si>
  <si>
    <t>Call Status</t>
  </si>
  <si>
    <t>Last Follow-up Notes</t>
  </si>
  <si>
    <t>TOTAL</t>
  </si>
  <si>
    <t>SkyLimit AR AGING DASHBOARD</t>
  </si>
  <si>
    <t>As of 21-May-2026 | Automated AR Aging Report</t>
  </si>
  <si>
    <t>Total Outstanding</t>
  </si>
  <si>
    <t>Total Collected (Paid)</t>
  </si>
  <si>
    <t>Total Pending</t>
  </si>
  <si>
    <t>High Risk (90+)</t>
  </si>
  <si>
    <t>Total Customers</t>
  </si>
  <si>
    <t>Total Invoices</t>
  </si>
  <si>
    <t>AGING BUCKET SUMMARY</t>
  </si>
  <si>
    <t>Invoice Count</t>
  </si>
  <si>
    <t>Total Amount</t>
  </si>
  <si>
    <t>% of Total</t>
  </si>
  <si>
    <t>Current</t>
  </si>
  <si>
    <t>0-30 Days</t>
  </si>
  <si>
    <t>31-60 Days</t>
  </si>
  <si>
    <t>61-90 Days</t>
  </si>
  <si>
    <t>90+ Days</t>
  </si>
  <si>
    <t>COLLECTOR-WISE SUMMARY</t>
  </si>
  <si>
    <t>Collector</t>
  </si>
  <si>
    <t>High Risk Amt</t>
  </si>
  <si>
    <t>Watches</t>
  </si>
  <si>
    <t>Praveen</t>
  </si>
  <si>
    <t>Mujahid</t>
  </si>
  <si>
    <t>Vinod</t>
  </si>
  <si>
    <t>TOP CUSTOMERS BY OUTSTANDING</t>
  </si>
  <si>
    <t>RAMESH WATCH CO PVT LTD K-INORBIT</t>
  </si>
  <si>
    <t>HIGH RISK</t>
  </si>
  <si>
    <t>Ram Stationery Mart</t>
  </si>
  <si>
    <t>Dynamic Computer &amp; Stationery</t>
  </si>
  <si>
    <t>Shanker Stationery Mart</t>
  </si>
  <si>
    <t>Low</t>
  </si>
  <si>
    <t>RENUKA STATIONERS</t>
  </si>
  <si>
    <t>KISHORE WATCH CO</t>
  </si>
  <si>
    <t>K D M MARKETING</t>
  </si>
  <si>
    <t>Siddi Times &amp; Electronics</t>
  </si>
  <si>
    <t>Nandi Arts Stationery</t>
  </si>
  <si>
    <t>V Raja Stationery</t>
  </si>
  <si>
    <t>Low-Medium</t>
  </si>
  <si>
    <t>Vardhman Computer &amp; Stationery</t>
  </si>
  <si>
    <t>N. PRIYA STATIONARY</t>
  </si>
  <si>
    <t>RAJKAMAL AGENCIES</t>
  </si>
  <si>
    <t>Sunny Watch</t>
  </si>
  <si>
    <t>Maruti watche &amp; electronics</t>
  </si>
  <si>
    <t>SLGCW/46/26-27</t>
  </si>
  <si>
    <t>C. Ramchander Watch Co.</t>
  </si>
  <si>
    <t>Pending</t>
  </si>
  <si>
    <t>We need to give Credit Note</t>
  </si>
  <si>
    <t>SLGCW/1077/24-25</t>
  </si>
  <si>
    <t>KHALEEL WATCH CO.</t>
  </si>
  <si>
    <t>Sponge Not recived - Send DSO</t>
  </si>
  <si>
    <t>SLGCW/1035/25-26</t>
  </si>
  <si>
    <t>He will Pay - Follow Up Needed</t>
  </si>
  <si>
    <t>SLGCW/969/25-26</t>
  </si>
  <si>
    <t>Bill not available</t>
  </si>
  <si>
    <t>SLGCW/25/26-27</t>
  </si>
  <si>
    <t>SLGCW/51/26-27</t>
  </si>
  <si>
    <t>SLGCW/59/26-27</t>
  </si>
  <si>
    <t>SLGCW/15/26-27</t>
  </si>
  <si>
    <t>SLGCW/40/26-27</t>
  </si>
  <si>
    <t>SLGCW/53/26-27</t>
  </si>
  <si>
    <t>SLGCW/61/26-27</t>
  </si>
  <si>
    <t>Number Busy</t>
  </si>
  <si>
    <t>SLGCW/65/26-27</t>
  </si>
  <si>
    <t>SLGCW/67/26-27</t>
  </si>
  <si>
    <t>SLGCW/1043/24-25</t>
  </si>
  <si>
    <t>MILAP GENERAL STORES</t>
  </si>
  <si>
    <t>Not Lifting Call</t>
  </si>
  <si>
    <t>SLGCW/1061/24-25</t>
  </si>
  <si>
    <t>SLGCW/58/26-27</t>
  </si>
  <si>
    <t>NAZEER &amp; SONS</t>
  </si>
  <si>
    <t>SLGCW/62/26-27</t>
  </si>
  <si>
    <t>Customer says Cheque already Paid</t>
  </si>
  <si>
    <t>SLGCW/898/24-25</t>
  </si>
  <si>
    <t>Issue</t>
  </si>
  <si>
    <t>SLGCW/1138/25-26</t>
  </si>
  <si>
    <t>DSO will collect</t>
  </si>
  <si>
    <t>SLGCW/1150/25-26</t>
  </si>
  <si>
    <t>SLGCW/1147/25-26</t>
  </si>
  <si>
    <t>SLGCW/1149/25-26</t>
  </si>
  <si>
    <t>SLGCW/1188/25-26</t>
  </si>
  <si>
    <t>SLGCW/1226/25-26</t>
  </si>
  <si>
    <t>SLGCW/1233/25-26</t>
  </si>
  <si>
    <t>SLGCW/1235/25-26</t>
  </si>
  <si>
    <t>SLGCW/1236/25-26</t>
  </si>
  <si>
    <t>SLGCW/1247/25-26</t>
  </si>
  <si>
    <t>SLGCW/1/26-27</t>
  </si>
  <si>
    <t>SLGCW/2/26-27</t>
  </si>
  <si>
    <t>SLGCW/3/26-27</t>
  </si>
  <si>
    <t>SLGCW/4/26-27</t>
  </si>
  <si>
    <t>SLGCW/5/26-27</t>
  </si>
  <si>
    <t>SLGCW/6/26-27</t>
  </si>
  <si>
    <t>SLGCW/7/26-27</t>
  </si>
  <si>
    <t>SLGCW/8/26-27</t>
  </si>
  <si>
    <t>SLGCW/22/26-27</t>
  </si>
  <si>
    <t>SLGCW/23/26-27</t>
  </si>
  <si>
    <t>SLGCW/28/26-27</t>
  </si>
  <si>
    <t>SLGCW/29/26-27</t>
  </si>
  <si>
    <t>SLGCW/30/26-27</t>
  </si>
  <si>
    <t>SLGCW/31/26-27</t>
  </si>
  <si>
    <t>SLGCW/32/26-27</t>
  </si>
  <si>
    <t>SLGCW/33/26-27</t>
  </si>
  <si>
    <t>SLGCW/35/26-27</t>
  </si>
  <si>
    <t>SLGCW/37/26-27</t>
  </si>
  <si>
    <t>SLGCW/36/26-27</t>
  </si>
  <si>
    <t>SLGCW/42/26-27</t>
  </si>
  <si>
    <t>SLGCW/50/26-27</t>
  </si>
  <si>
    <t>SLGCW/60/26-27</t>
  </si>
  <si>
    <t>SLGCW/969/24-25</t>
  </si>
  <si>
    <t>RAVINDRA WATCH REPAIR</t>
  </si>
  <si>
    <t>Old Credit Issue</t>
  </si>
  <si>
    <t>SLGCW/768/25-26</t>
  </si>
  <si>
    <t>SLGCW/41/26-27</t>
  </si>
  <si>
    <t>Paid</t>
  </si>
  <si>
    <t>Send DSO tommorrow morning</t>
  </si>
  <si>
    <t>SLGCW/1263/25-26</t>
  </si>
  <si>
    <t>SS WATCHES AND SUNGLASSES</t>
  </si>
  <si>
    <t>SLGCW/18/26-27</t>
  </si>
  <si>
    <t>Not Responding</t>
  </si>
  <si>
    <t>SLGCW/56/26-27</t>
  </si>
  <si>
    <t>SLGCW/20/26-27</t>
  </si>
  <si>
    <t>THE TIMES</t>
  </si>
  <si>
    <t>Next Week (Market Down)</t>
  </si>
  <si>
    <t>C-SLG/2384/25-26</t>
  </si>
  <si>
    <t>AMBIKA STATIONERY</t>
  </si>
  <si>
    <t>C-SLG/1844/25-26</t>
  </si>
  <si>
    <t>BEST ENTERPRISES</t>
  </si>
  <si>
    <t>Customer Out of Station - Month end he will Pay</t>
  </si>
  <si>
    <t>C-SLG/2429/25-26</t>
  </si>
  <si>
    <t>Bhavani Stationery and Gift</t>
  </si>
  <si>
    <t>C-SLG/0125/26-27</t>
  </si>
  <si>
    <t>C-SLG/2427/25-26</t>
  </si>
  <si>
    <t>Dachapally Book Centre</t>
  </si>
  <si>
    <t>No Number available - Send DSO</t>
  </si>
  <si>
    <t>C-SLG/1655/25-26</t>
  </si>
  <si>
    <t>Deccan Book Depot and Stationery</t>
  </si>
  <si>
    <t>Send DSO with Sign Copies</t>
  </si>
  <si>
    <t>C-SLG/2235/25-26</t>
  </si>
  <si>
    <t>C-SLG/2344/25-26</t>
  </si>
  <si>
    <t>Dilip Super Market (Manikonda)</t>
  </si>
  <si>
    <t>He will inform to his Sir</t>
  </si>
  <si>
    <t>C-SLG/2432/25-25</t>
  </si>
  <si>
    <t>Ever Green Book Centre</t>
  </si>
  <si>
    <t>C-SLG/0029/26-27</t>
  </si>
  <si>
    <t>C-SLG/2419/25-26</t>
  </si>
  <si>
    <t>GLOBAL STATIONERY</t>
  </si>
  <si>
    <t>C-SLG/2385/25-26</t>
  </si>
  <si>
    <t>GS Enterprises</t>
  </si>
  <si>
    <t>C-SLG/2351/25-26</t>
  </si>
  <si>
    <t>Hasti Stationery Mart (Madhapur)</t>
  </si>
  <si>
    <t>C-SLG/2443/25-26</t>
  </si>
  <si>
    <t>C-SLG/631/24-25</t>
  </si>
  <si>
    <t>Hyderabad Communications</t>
  </si>
  <si>
    <t>C-SLG/800/24-25</t>
  </si>
  <si>
    <t>C-SLG/979/24-25</t>
  </si>
  <si>
    <t>C-SLG/0018/26-27</t>
  </si>
  <si>
    <t>JAGDISH BOOK CENTRE</t>
  </si>
  <si>
    <t>C-SLG/0049/26-27</t>
  </si>
  <si>
    <t>Jaya Stationery &amp; Engg Co</t>
  </si>
  <si>
    <t>C-SLG/0099/26-27</t>
  </si>
  <si>
    <t>C-SLG/1203/25-26</t>
  </si>
  <si>
    <t>Kaanuka Collection</t>
  </si>
  <si>
    <t>Credit Note</t>
  </si>
  <si>
    <t>C-SLG/0141/26-27</t>
  </si>
  <si>
    <t>C-SLG/0142/26-27</t>
  </si>
  <si>
    <t>C-SLG/0143/26-27</t>
  </si>
  <si>
    <t>C-SLG/1754/25-26</t>
  </si>
  <si>
    <t>KITSONS-GACHIBOWLI</t>
  </si>
  <si>
    <t>C-SLG/2369/25-26</t>
  </si>
  <si>
    <t>C-SLG/2398/25-26</t>
  </si>
  <si>
    <t>Bounce Charges-204</t>
  </si>
  <si>
    <t>KRANTI BOOK HOUSE</t>
  </si>
  <si>
    <t>C-SLG/2402/25-26</t>
  </si>
  <si>
    <t>Life Stationery (Bnj Hills)</t>
  </si>
  <si>
    <t>C-SLG/2494/25-26</t>
  </si>
  <si>
    <t>Mahalaxmi  Enterprises</t>
  </si>
  <si>
    <t>C-SLG/2440/25-26</t>
  </si>
  <si>
    <t>MARUTHI ENTERPRISES</t>
  </si>
  <si>
    <t>C-SLG/2409/25-26</t>
  </si>
  <si>
    <t>MASTER SAAB STATIONARY</t>
  </si>
  <si>
    <t>C-SLG/1619/25-26</t>
  </si>
  <si>
    <t>Nagesh Stationery &amp; Xerox</t>
  </si>
  <si>
    <t>Customer Out of Station</t>
  </si>
  <si>
    <t>C-SLG/2389/25-26</t>
  </si>
  <si>
    <t>NavDurga Stationery</t>
  </si>
  <si>
    <t>C-SLG/2311/25-26</t>
  </si>
  <si>
    <t>New Vidya Book Point  (Alkapur)</t>
  </si>
  <si>
    <t>C-SLG/2480/25-26</t>
  </si>
  <si>
    <t>C-SLG/2142/25-26</t>
  </si>
  <si>
    <t>Popular Book House</t>
  </si>
  <si>
    <t>C-SLG/2348/25-26</t>
  </si>
  <si>
    <t>C-SLG/1122/25-26</t>
  </si>
  <si>
    <t>RADIANT BOOK HOUSE</t>
  </si>
  <si>
    <t>C-SLG/2222/25-26</t>
  </si>
  <si>
    <t>R.B.Novelty</t>
  </si>
  <si>
    <t>Price Difference Issue - Sir will Visit</t>
  </si>
  <si>
    <t>C-SLG/1791/25-26</t>
  </si>
  <si>
    <t>Reliable Book Centre</t>
  </si>
  <si>
    <t>C-SLG/2005/25-26</t>
  </si>
  <si>
    <t>C-SLG/2102/25-26</t>
  </si>
  <si>
    <t>RR HOSIPATALITY SERVICES</t>
  </si>
  <si>
    <t>Stock Returned to Nujeed</t>
  </si>
  <si>
    <t>C-SLG/2298/25-26</t>
  </si>
  <si>
    <t>Sai Vaishnavi Book Agency</t>
  </si>
  <si>
    <t>C-SLG/2269/25-26</t>
  </si>
  <si>
    <t>Shiva Book Stall</t>
  </si>
  <si>
    <t>Some Issue - Send DSO</t>
  </si>
  <si>
    <t>C-SLG/0061/26-27</t>
  </si>
  <si>
    <t>SHRI SHARADA  BOOK DISTRIBUTERS</t>
  </si>
  <si>
    <t>C-SLG/2179/25-26</t>
  </si>
  <si>
    <t>SIDDHARTHA STATIONERY &amp; ELECRTRICAL</t>
  </si>
  <si>
    <t>C-SLG/1620/25-26</t>
  </si>
  <si>
    <t>SREE VENKATESHWARA PUBLISHERS</t>
  </si>
  <si>
    <t>After 10d Collect Payment</t>
  </si>
  <si>
    <t>C-SLG/1718/25-26</t>
  </si>
  <si>
    <t>C-SLG/1773/25-26</t>
  </si>
  <si>
    <t>C-SLG/2108/25-26</t>
  </si>
  <si>
    <t>C-SLG/2148/25-26</t>
  </si>
  <si>
    <t>SRI RAKHI BOOK CENTER</t>
  </si>
  <si>
    <t>C-SLG/1902/25-26</t>
  </si>
  <si>
    <t>Sri Shyam Enterprises</t>
  </si>
  <si>
    <t>C-SLG/0050/26-27</t>
  </si>
  <si>
    <t>SRI VENKTESHWARA BOOK HOUSE</t>
  </si>
  <si>
    <t>C-SLG/2425/25-26</t>
  </si>
  <si>
    <t>SRI VIDYA SARASWATI COLLECTION</t>
  </si>
  <si>
    <t xml:space="preserve">Not Called </t>
  </si>
  <si>
    <t>C-SLG/0027/26-27</t>
  </si>
  <si>
    <t>C-SLG/0070/26-27</t>
  </si>
  <si>
    <t>C-SLG/2197/25-26</t>
  </si>
  <si>
    <t>Stationey Xerox</t>
  </si>
  <si>
    <t>C-SLG/2430/25-26</t>
  </si>
  <si>
    <t>THE DECCAN PEN STORE</t>
  </si>
  <si>
    <t>C-SLG/002/26-27</t>
  </si>
  <si>
    <t>C-SLG/2445/25-26</t>
  </si>
  <si>
    <t>TRIBHUVAN BOOKS &amp; STATIONERY</t>
  </si>
  <si>
    <t>C-SLG/0055/26-27</t>
  </si>
  <si>
    <t>T.V Gupta</t>
  </si>
  <si>
    <t>C-SLG/0063/26-27</t>
  </si>
  <si>
    <t>United Paper &amp; Stationery</t>
  </si>
  <si>
    <t>C-SLG/1597/25-26</t>
  </si>
  <si>
    <t>Universal Book Shop</t>
  </si>
  <si>
    <t>He will Pay in 2 days</t>
  </si>
  <si>
    <t>C-SLG/2013/25-26</t>
  </si>
  <si>
    <t>C-SLG/2408/25-26</t>
  </si>
  <si>
    <t>Vidya Book Poin't</t>
  </si>
  <si>
    <t>C-SLG/2187/25-26</t>
  </si>
  <si>
    <t>Vidya Book Point(Vijaynagar Colony)</t>
  </si>
  <si>
    <t>C-SLG/2345/25-26</t>
  </si>
  <si>
    <t>C-SLG/2313/25-26</t>
  </si>
  <si>
    <t>VIDYA COLLECTION</t>
  </si>
  <si>
    <t>C-SLG/2246/25-26</t>
  </si>
  <si>
    <t>Vidya Collection (New)</t>
  </si>
  <si>
    <t>C-SLG/2254/25-26</t>
  </si>
  <si>
    <t>C-SLG/2312/25-26</t>
  </si>
  <si>
    <t>VIJAYALAKSHMI ENTERPRISES</t>
  </si>
  <si>
    <t>C-SLG/2397/25-26</t>
  </si>
  <si>
    <t>WITTYSHOP INDIA</t>
  </si>
  <si>
    <t>C-SLG/1879/25-26</t>
  </si>
  <si>
    <t>YADA LAXMAIAH BOOK SELLERS &amp; STATIONERY</t>
  </si>
  <si>
    <t>Bounce Charges-429</t>
  </si>
  <si>
    <t>BAGARIA AGENCIES</t>
  </si>
  <si>
    <t>Old Issue</t>
  </si>
  <si>
    <t>C-SLG/2322/25-26</t>
  </si>
  <si>
    <t>Sample Piece</t>
  </si>
  <si>
    <t>Bounce Charges-803</t>
  </si>
  <si>
    <t>BALAJI ENTERPRISES</t>
  </si>
  <si>
    <t>Customer Paid</t>
  </si>
  <si>
    <t>Bounce Charges-168</t>
  </si>
  <si>
    <t>C-SLG/0127/26-27</t>
  </si>
  <si>
    <t>C-SLG/2438/25-26</t>
  </si>
  <si>
    <t>BANNU ENTERPRISES</t>
  </si>
  <si>
    <t>DSO will Collect</t>
  </si>
  <si>
    <t>Bounce Charges-2567</t>
  </si>
  <si>
    <t>DHANLAKSHMI ENTERPRISES</t>
  </si>
  <si>
    <t>C-SLG/1915/25-26</t>
  </si>
  <si>
    <t>C-SLG/1933/25-26</t>
  </si>
  <si>
    <t>C-SLG/1938/25-26</t>
  </si>
  <si>
    <t>C-SLG/2380/25-26</t>
  </si>
  <si>
    <t>C-SLG/2461/25-26</t>
  </si>
  <si>
    <t>C-SLG/0042/26-27</t>
  </si>
  <si>
    <t>C-SLG/0121/26-27</t>
  </si>
  <si>
    <t>C-SLG/0134/26-27</t>
  </si>
  <si>
    <t>C-SLG/1781/25-26</t>
  </si>
  <si>
    <t>C-SLG/0030/26-27</t>
  </si>
  <si>
    <t>C-SLG/2490/25-26</t>
  </si>
  <si>
    <t>Mahadev Stationers</t>
  </si>
  <si>
    <t>Paid Cheque - Full Amt</t>
  </si>
  <si>
    <t>C-SLG/0057/26-27</t>
  </si>
  <si>
    <t>C-SLG/0072/26-27</t>
  </si>
  <si>
    <t>C-SLG/2418/25-26</t>
  </si>
  <si>
    <t>Narender Stationary</t>
  </si>
  <si>
    <t>C-SLG/0068/26-27</t>
  </si>
  <si>
    <t>C-SLG/2417/25-26</t>
  </si>
  <si>
    <t>PAVAN STATIONERY MART</t>
  </si>
  <si>
    <t>C-SLG/2325/25-26</t>
  </si>
  <si>
    <t>RAHUL STATIONERS</t>
  </si>
  <si>
    <t>C-SLG/2395/25-26</t>
  </si>
  <si>
    <t>Bounce Charges-2661</t>
  </si>
  <si>
    <t>C-SLG/0107/26-27</t>
  </si>
  <si>
    <t>Bounce Charges-170</t>
  </si>
  <si>
    <t>Rajkamal Paper Product</t>
  </si>
  <si>
    <t>Bounce Charges-172</t>
  </si>
  <si>
    <t>C-SLG/0052/26-27</t>
  </si>
  <si>
    <t>Chq Bounce-2101</t>
  </si>
  <si>
    <t>RAJLAXMI STATIONERY</t>
  </si>
  <si>
    <t>Bounce Charges-2290</t>
  </si>
  <si>
    <t>C-SLG/2306/25-26</t>
  </si>
  <si>
    <t>RAJ MARKETING</t>
  </si>
  <si>
    <t>C-SLG/2468/25-26</t>
  </si>
  <si>
    <t>C-SLG/0044/26-27</t>
  </si>
  <si>
    <t>RAM BHAGWAN CORPORATION</t>
  </si>
  <si>
    <t>C-SLG/00130/25-26</t>
  </si>
  <si>
    <t>C-SLG/508/25-26</t>
  </si>
  <si>
    <t>C-SLG/515/25-26</t>
  </si>
  <si>
    <t>C-SLG/620/25-26</t>
  </si>
  <si>
    <t>C-SLG/943/25-26</t>
  </si>
  <si>
    <t>C-SLG/1078/25-26</t>
  </si>
  <si>
    <t>C-SLG/1244/25-26</t>
  </si>
  <si>
    <t>C-SLG/1326/25-26</t>
  </si>
  <si>
    <t>C-SLG/1540/25-26</t>
  </si>
  <si>
    <t>C-SLG/1673/25-26</t>
  </si>
  <si>
    <t>C-SLG/2018/25-26</t>
  </si>
  <si>
    <t>C-SLG/2030/25-26</t>
  </si>
  <si>
    <t>C-SLG/2156/25-26</t>
  </si>
  <si>
    <t>C-SLG/0025/26-27</t>
  </si>
  <si>
    <t>C-SLG/0128/26-27</t>
  </si>
  <si>
    <t>C-SLG/2061/25-26</t>
  </si>
  <si>
    <t>REMAX ENTERPRISES</t>
  </si>
  <si>
    <t>C-SLG/2456/25-26</t>
  </si>
  <si>
    <t>Renuka Enterprises</t>
  </si>
  <si>
    <t>C-SLG/0116/26-27</t>
  </si>
  <si>
    <t>C-SLG/2473/25-26</t>
  </si>
  <si>
    <t>C-SLG/0084/26-27</t>
  </si>
  <si>
    <t>C-SLG/0115/26-27</t>
  </si>
  <si>
    <t>C-SLG/2326/25-26</t>
  </si>
  <si>
    <t>ROLEX Stationary</t>
  </si>
  <si>
    <t>C-SLG/2416/25-26</t>
  </si>
  <si>
    <t>Sha Ghewarchand &amp; Co</t>
  </si>
  <si>
    <t>C-SLG/0011/26-27</t>
  </si>
  <si>
    <t>C-SLG/2195/25-26</t>
  </si>
  <si>
    <t>SRI RAMDEV ENTERPRISES</t>
  </si>
  <si>
    <t>C-SLG/2336/25-26</t>
  </si>
  <si>
    <t>C-SLG/2467/25-26</t>
  </si>
  <si>
    <t>C-SLG/0010/26-27</t>
  </si>
  <si>
    <t>C-SLG/1650/23-24</t>
  </si>
  <si>
    <t>SRI RAM STATIONERY</t>
  </si>
  <si>
    <t>C-SLG/2327/25-26</t>
  </si>
  <si>
    <t>C-SLG/2328/25-26</t>
  </si>
  <si>
    <t>TALAWAT STATIONARY</t>
  </si>
  <si>
    <t>C-SLG/2493/25-26</t>
  </si>
  <si>
    <t>C-SLG/0069/26-27</t>
  </si>
  <si>
    <t>C-SLG/2330/25-26</t>
  </si>
  <si>
    <t>C-SLG/2466/25-26</t>
  </si>
  <si>
    <t>Chq Bounce-173</t>
  </si>
  <si>
    <t>Yash Marketing</t>
  </si>
  <si>
    <t>C-SLG/0033/26-27</t>
  </si>
  <si>
    <t>Apple Gift Gallery</t>
  </si>
  <si>
    <t>C-SLG/0059/26-27</t>
  </si>
  <si>
    <t>Ashtar Enteprises</t>
  </si>
  <si>
    <t>C-SLG/2435/25-26</t>
  </si>
  <si>
    <t>BSR EXIM</t>
  </si>
  <si>
    <t>Paid Online - Full Amount</t>
  </si>
  <si>
    <t>C-SLG/0064/26-27</t>
  </si>
  <si>
    <t>Gayathri Book Centre</t>
  </si>
  <si>
    <t>C-SLG/0109/26-27</t>
  </si>
  <si>
    <t>C-SLG/2471/25-26</t>
  </si>
  <si>
    <t>Himalaya Book Binding Works &amp; Stationery</t>
  </si>
  <si>
    <t>C-SLG/2141/25-26</t>
  </si>
  <si>
    <t>ISLAMIA BOOK DEPOT</t>
  </si>
  <si>
    <t>Pay Late (Market Down)</t>
  </si>
  <si>
    <t>C-SLG/2123/25-26</t>
  </si>
  <si>
    <t>Jyothi Book Center</t>
  </si>
  <si>
    <t xml:space="preserve">Paid Online 2,600 </t>
  </si>
  <si>
    <t>C-SLG/2034/25-26</t>
  </si>
  <si>
    <t>KAMAL WATCH COMPANY PRIVATE LIMITED</t>
  </si>
  <si>
    <t>C-SLG/2035/25-26</t>
  </si>
  <si>
    <t>C-SLG/2454/25-26</t>
  </si>
  <si>
    <t>KIRAN ENTERPRISES</t>
  </si>
  <si>
    <t>C-SLG/0067/26-27</t>
  </si>
  <si>
    <t>Krishna Stationery ( LB Nagar)</t>
  </si>
  <si>
    <t>C-SLG/0043/26-27</t>
  </si>
  <si>
    <t>MEGHA S.V STATIONERY</t>
  </si>
  <si>
    <t>Bounce Charges-174</t>
  </si>
  <si>
    <t>M.M AGENCIES</t>
  </si>
  <si>
    <t>C-SLG/2382/25-26</t>
  </si>
  <si>
    <t>C-SLG/0079/26-27</t>
  </si>
  <si>
    <t>C-SLG/0053/26-27</t>
  </si>
  <si>
    <t>MONI ENTERPRISES</t>
  </si>
  <si>
    <t>C-SLG/0093/26-27</t>
  </si>
  <si>
    <t>C-SLG/2410/25-26</t>
  </si>
  <si>
    <t>New Vidya Book Point (Saroor N)</t>
  </si>
  <si>
    <t>C-SLG/2433/25-26</t>
  </si>
  <si>
    <t>PADMAVATHI PEN STORES</t>
  </si>
  <si>
    <t>C-SLG/2492/25-26</t>
  </si>
  <si>
    <t>C-SLG/2486/25-26</t>
  </si>
  <si>
    <t>Raj Enterprises</t>
  </si>
  <si>
    <t>C-SLG/471/24-25</t>
  </si>
  <si>
    <t>Ramdev Stationery (K Puram)</t>
  </si>
  <si>
    <t>C-SLG/0037/26-27</t>
  </si>
  <si>
    <t>C-SLG/3153/23-24</t>
  </si>
  <si>
    <t>Sai Ram Book Center</t>
  </si>
  <si>
    <t>C-SLG/2449/25-26</t>
  </si>
  <si>
    <t>Sai Sujit Gifts &amp; Novelties</t>
  </si>
  <si>
    <t>C-SLG/2450/25-26</t>
  </si>
  <si>
    <t>Shiva Sai Stationery</t>
  </si>
  <si>
    <t>C-SLG/0024/26-27</t>
  </si>
  <si>
    <t>S MART STATIONERY MEGA STORE</t>
  </si>
  <si>
    <t>C-SLG/2488/25-26</t>
  </si>
  <si>
    <t>Soujanya Stationary Book Stall</t>
  </si>
  <si>
    <t>C-SLG/007/26-27</t>
  </si>
  <si>
    <t>C-SLG/0130/26-27</t>
  </si>
  <si>
    <t>C-SLG/2204/25-26</t>
  </si>
  <si>
    <t>Sri Chamunda Stationery</t>
  </si>
  <si>
    <t>C-SLG/2255/25-26</t>
  </si>
  <si>
    <t>SRI DHANALAKSHMI ENTERPRISES</t>
  </si>
  <si>
    <t>`</t>
  </si>
  <si>
    <t>C-SLG/2479/25-26</t>
  </si>
  <si>
    <t>Sri Hanu Subramanyam Book Center</t>
  </si>
  <si>
    <t>Bounce Charges-155</t>
  </si>
  <si>
    <t>Sri Laxmi Book Centre ( DSNR)</t>
  </si>
  <si>
    <t>C-SLG/0012/26-27</t>
  </si>
  <si>
    <t>C-SLG/2431/25-26</t>
  </si>
  <si>
    <t>Sri Mahalaxmi Stationary and General</t>
  </si>
  <si>
    <t>C-SLG/0040/26-27</t>
  </si>
  <si>
    <t>Srinivasa Stationery &amp; Xerox</t>
  </si>
  <si>
    <t>C-SLG/2495/25-26</t>
  </si>
  <si>
    <t>Sri Ram Plastic</t>
  </si>
  <si>
    <t>C-SLG/2413/25-26</t>
  </si>
  <si>
    <t>Sri Sai Books &amp; Gifts (Chaithanyapuri)</t>
  </si>
  <si>
    <t>C-SLG/2452/25-26</t>
  </si>
  <si>
    <t>SRI SAI RAM STATIONERY(RK PURAM)</t>
  </si>
  <si>
    <t>C-SLG/2399/25-26</t>
  </si>
  <si>
    <t>SRI SAI SARASWATHI STATIONARY</t>
  </si>
  <si>
    <t>C-SLG/1957/25-26</t>
  </si>
  <si>
    <t>Sri Sai Tirumala Book &amp; Guides - Badangpet</t>
  </si>
  <si>
    <t>C-SLG/0047/26-27</t>
  </si>
  <si>
    <t>SRI SAI TIRUMALA BOOKS &amp; GUIDES (Santhosh Nagar)</t>
  </si>
  <si>
    <t>C-SLG/2124/25-26</t>
  </si>
  <si>
    <t>Sri Siddi Vinayaka Book Center</t>
  </si>
  <si>
    <t>C-SLG/0051/26-27</t>
  </si>
  <si>
    <t>Sri Venkateshwara Book Centre.I S</t>
  </si>
  <si>
    <t>C-SLG/2406/25-26</t>
  </si>
  <si>
    <t>Sri Venkatheswara Book World</t>
  </si>
  <si>
    <t>C-SLG/2372/25-26</t>
  </si>
  <si>
    <t>SR VENKATESHWARA BOOK WORLD</t>
  </si>
  <si>
    <t>C-SLG/0114/26-27</t>
  </si>
  <si>
    <t>C-SLG/1969/25-26</t>
  </si>
  <si>
    <t>Sun Electronics Times</t>
  </si>
  <si>
    <t>C-SLG/009/26-27</t>
  </si>
  <si>
    <t>S.V.TRADERS DSNR</t>
  </si>
  <si>
    <t>C-SLG/0026/26-27</t>
  </si>
  <si>
    <t>C-SLG/0054/26-27</t>
  </si>
  <si>
    <t>C-SLG/0083/26-27</t>
  </si>
  <si>
    <t>C-SLG/0094/26-27</t>
  </si>
  <si>
    <t>C-SLG/0101/26-27</t>
  </si>
  <si>
    <t>C-SLG/0132/26-27</t>
  </si>
  <si>
    <t>C-SLG/005/26-27</t>
  </si>
  <si>
    <t>VANI BOOKS &amp; STATIONERY</t>
  </si>
  <si>
    <t>C-SLG/0032/26-27</t>
  </si>
  <si>
    <t>C-SLG/0087/26-27</t>
  </si>
  <si>
    <t>C-SLG/2475/25-26</t>
  </si>
  <si>
    <t>Venkateswara Book Bank</t>
  </si>
  <si>
    <t>C-SLG/0019/26-27</t>
  </si>
  <si>
    <t>Collection Calling List (Overdue &gt; 30 Days)</t>
  </si>
  <si>
    <t>Generated: 21-May-2026</t>
  </si>
  <si>
    <t>Invoice Date</t>
  </si>
  <si>
    <t>Previous Remarks</t>
  </si>
  <si>
    <t>New Follow-up Notes</t>
  </si>
  <si>
    <t>Next Follow-up Date</t>
  </si>
  <si>
    <t>AR Aging Report - Praveen</t>
  </si>
  <si>
    <t>AR Aging Report - Mujahid</t>
  </si>
  <si>
    <t>AR Aging Report - Vinod</t>
  </si>
  <si>
    <t>Group:</t>
  </si>
  <si>
    <t>Casio Watches</t>
  </si>
  <si>
    <t>Details of:</t>
  </si>
  <si>
    <t>Pending Bills</t>
  </si>
  <si>
    <t>Today Date:</t>
  </si>
  <si>
    <t>Ref. No.</t>
  </si>
  <si>
    <t>Party's Name</t>
  </si>
  <si>
    <t>Due on</t>
  </si>
  <si>
    <t>Pending Amount</t>
  </si>
  <si>
    <t>Remark (5/20)</t>
  </si>
  <si>
    <t>He will Pay</t>
  </si>
  <si>
    <t>TOTAL AMOUNT</t>
  </si>
  <si>
    <t>Nazeeb / Praveen</t>
  </si>
  <si>
    <t>Opening Amt</t>
  </si>
  <si>
    <t>Total Amt</t>
  </si>
  <si>
    <t>Paid Amt</t>
  </si>
  <si>
    <t>Pending Amt</t>
  </si>
  <si>
    <t>Remark (5/21)</t>
  </si>
  <si>
    <t>NUMBER BUSY | HEWILL PAYNOW | HE WILL PAY AND SEND THE DETAILS | NUMBER BUSY</t>
  </si>
  <si>
    <t>RINGING NOT RESPONDING | NUMBER NOT CONNETED | NUMBER NOT CONNETED | WE HAVE MSG INWATTUP | month end HEWILL CLEAR | NUMBER BUSY</t>
  </si>
  <si>
    <t>NUMBER BUSY | HEWILL PAY TOMMROW SEND PERSON | WILL DO PAYMENT</t>
  </si>
  <si>
    <t>Paid by Cheque</t>
  </si>
  <si>
    <t>2900 ISSUE NOT RESOVLED</t>
  </si>
  <si>
    <t>Next month send DSO for Cash - Customer Out of Station</t>
  </si>
  <si>
    <t>SENDBILL IN WATTUP HEWILLPAY | PAID</t>
  </si>
  <si>
    <t>number not their | TODAY SEND THE PERSON FOR PAYMENT | 3days | SHAKEEL  HE WILL COLLECT | SHKEEL WILL COLLECT PAYMENT</t>
  </si>
  <si>
    <t>he will pay his in out sation | HE WILL PAY 15TH | RINGING NOT RESPONDING | HE WILL GIVE CASH SEND TOMMROW PERSON</t>
  </si>
  <si>
    <t>Send DSO for Cash Collection</t>
  </si>
  <si>
    <t>HE  SAID THATHE WILL PAY WENDAY | SENDPERSON TOMMROW HE WILL GIVECHEQUE | SEND TODAY VISIT | given cheque</t>
  </si>
  <si>
    <t>Cheque Ready - Send DSO to Collect</t>
  </si>
  <si>
    <t>NUMBER BUSY | NUMBER BUSY | NUMBER BUSY | CHEQUE READY  SEND THE PERSON</t>
  </si>
  <si>
    <t>Cheque is ready of amount 37,311</t>
  </si>
  <si>
    <t xml:space="preserve">Not Responding </t>
  </si>
  <si>
    <t>HE WILL READY THE CHEQUE | NEXT WEEK</t>
  </si>
  <si>
    <t>Send DSO on Saturday for Payment Collection</t>
  </si>
  <si>
    <t>NUMBER  BUSY | RINGING NOT RESPONDING | NUMBER BUSY | NUMBERBUSY | TOMMROW  SEND PERSON</t>
  </si>
  <si>
    <t>Need to Send DSO</t>
  </si>
  <si>
    <t>RINGING NOT RESPONDING | RINGING NOT RESPONDING | RINGING NOT RESPONDING | HE  HIS  IN OUT SATION HEWILL RETURN</t>
  </si>
  <si>
    <t>NUMBER BUSY | NUMBER BUSY | NUMBER BUSY | NUMBERBUSY | MSG IN WATTUP | NUMBERBUSY</t>
  </si>
  <si>
    <t>Customer is saying NO outstanding - Send DSO</t>
  </si>
  <si>
    <t>RINGING NOT RESPONDING | RINGING NOT RESPONDING | RINGING NOT RESPONDING | NUMBERBUSY | RINGING NOT RESPONDING | RINGING NOT RESPONDING</t>
  </si>
  <si>
    <t>Sent DSO Today</t>
  </si>
  <si>
    <t>RINGING NOT RESPONDING | RINGING NOT RESPONDING | SEND PERSON WITH BILLS | TODAY SEND THE PERSON FOR PAYMENT | RINGING NOT RESPONDING</t>
  </si>
  <si>
    <t>RINGING NOT RESPONDING | RINGING NOT RESPONDING | RINGING NOT RESPONDING | TODAY SEND THE PERSON FOR PAYMENT | RINGING NOT RESPONDING | RINGING NOT RESPONDING | RINGING NOT RESPONDING</t>
  </si>
  <si>
    <t>CUSTOMER  SAID THAT SEND DSO  HE WANT TO TALK | TODAY SEND THE PERSON FOR PAYMENT | MUJHID WILL COLLECT | SIR WILL TALK</t>
  </si>
  <si>
    <t>number not conneted | NUMBER  NOT CONNETED | NUMBER  NOT CONNETED | MSG IN WATTUP | NUMBER  NOT CONNETED | NUMBER  NOT CONNETED | RINGING NOT RESPONDING</t>
  </si>
  <si>
    <t>Sent DSO</t>
  </si>
  <si>
    <t>Stock Returned - Full Amount</t>
  </si>
  <si>
    <t>RINGING NOT RESPONDING | RINGING NOT RESPONDING | RINGING NOT RESPONDING | NUMBER BUSY | HE WILL PAYNEXT WEEK ONLINE</t>
  </si>
  <si>
    <t>Sent Scanner on Whatsapp</t>
  </si>
  <si>
    <t>send bill in wattup | HE WILL PAY ON MONDAY | MONDAY  SEND THE SHAKEEL  HE WILL  RETURN THE STOCK</t>
  </si>
  <si>
    <t>RINGING NOT RESPONDING | RINGING NOT RESPONDING | NUMBER BUSY | RINGING NOT RESPONDING | RINGING NOT RESPONDING | RINGING NOT RESPONDING</t>
  </si>
  <si>
    <t>RINGING NOT RESPONDING | NUMBER BUSY | NUMBER BUSY | RINGING NOT RESPONDING | RINGING NOT RESPONDING | NUMBER BUSY | AFTER 10D HE WILL PAY</t>
  </si>
  <si>
    <t>RINGING NOT RESPONDING | RINGING NOT RESPONDING | RINGING NOT RESPONDING | RINGING NOT RESPONDING | RINGING NOT RESPONDING | RINGING NOT RESPONDING | RINGING NOT RESPONDING</t>
  </si>
  <si>
    <t>Send DSO for Stock Return Collection</t>
  </si>
  <si>
    <t>8686705353 | HE SAID THAT SENDBILLWITHPERSON</t>
  </si>
  <si>
    <t>RINGING NOT  RESPONDING | RINGING NOT  RESPONDING</t>
  </si>
  <si>
    <t>Not responding</t>
  </si>
  <si>
    <t>RINGING NOT  RESPONDING | RINGING NOT  RESPONDING | RINGING NOT  RESPONDING | RINGING NOT  RESPONDING</t>
  </si>
  <si>
    <t>NUMBER BUSY | RINGING NOT  RESPONDING | RINGING NOT  RESPONDING | BUSY</t>
  </si>
  <si>
    <t xml:space="preserve">Send DSO with Bill </t>
  </si>
  <si>
    <t>RINGING NOT RESPONDING | RINGING NOT RESPONDING | RINGING NOT RESPONDING | RINGING NOT RESPONDING | MONDAY  HE WILL PAY | RINGING NOT RESPONDING</t>
  </si>
  <si>
    <t>RINGING NOT RESPONDING | RINGING NOT RESPONDING | NUMBER BUSY | RINGING NOT RESPONDING</t>
  </si>
  <si>
    <t>RINGING NOT RESPONDING | RINGING NOT RESPONDING | RINGING NOT RESPONDING | HE SAID THAT  HE GIVEN CHEQUE | HE SAID THAT HE WILL GIVE CHEQUE | MONDAY  HE WILL GIVE CHEQUE | NUMBER BUSY</t>
  </si>
  <si>
    <t>RINGING NOT RESPONDING | NUMBER BUSY | RINGING NOT RESPONDING | RINGING NOT RESPONDING</t>
  </si>
  <si>
    <t>number busy | NUMBER BUSY | NUMBER BUSY | RINGING NOT RESPONDING | NUMBER  NOT CONNETED | RINGING NOT RESPONDING | NUMBER BUSY</t>
  </si>
  <si>
    <t>CHEQUE READY | CHEQUE READY | CHEQUE READY | CHEQUE READY | Paid by Cheque</t>
  </si>
  <si>
    <t>RINGING NOT RESPONDING | RINGING NOT RESPONDING | RINGING NOT RESPONDING | RINGING NOT RESPONDING | MSGIN WATTUP | RINGING NOT RESPONDING | NUMBER BUSY</t>
  </si>
  <si>
    <t>HE WILL PAY  CALL BACK | cheque given</t>
  </si>
  <si>
    <t>HE WILL PAY IN 2 DAYS | paid 20000 remaing he will pay</t>
  </si>
  <si>
    <t>RINGING NOT RESPONDING | RINGING NOT RESPONDING | RINGING NOT RESPONDING | CHEQUE  GIVEN | PAID</t>
  </si>
  <si>
    <t>NUMBER  BUSY | NUMBER  BUSY | NUMBER  BUSY | NUMBER  BUSY</t>
  </si>
  <si>
    <t>HE SAID THAT  SEND  THE  LEDGER | share the satement | HE WILL PAY TODAY | RINGING NOT RESPONDING | hewill pay today</t>
  </si>
  <si>
    <t>TOMMROW HE WILL PAY | waiting for cheque book | DSO TODAY VISIT | CHEQUE GIVEN</t>
  </si>
  <si>
    <t>RINGING NOT RESPONDING</t>
  </si>
  <si>
    <t>HEWILL PAY SEND PERSON | HE SAID THAT  SATURDAY HEWILL CHEQUE | MONDAY WILL PAY | RINGING NOT RESPONDING</t>
  </si>
  <si>
    <t>HE WILL GIVE TODAY CHEQUE | RINGING NOT RESPONDING | HE WILL PAY TOMMROW | GIVEN CHEQUE</t>
  </si>
  <si>
    <t>RINGING NOT RESPONDING | RINGING NOT RESPONDING | PAID TODAY 5000 | NUMBER BUSY | NUMBER BUSY | RINGING NOT RESPONDING | RINGING NOT RESPONDING | paid 5000 remaing hewill pay</t>
  </si>
  <si>
    <t>Paid 10,000 Today</t>
  </si>
  <si>
    <t>RINGING NOT RESPONDING | MONDAY HE WILL PAY | cheque given</t>
  </si>
  <si>
    <t>HE WILL   GIVE CHEQUE DSO | chequegiven | 1-2 DAYS CHEQUE GIVE</t>
  </si>
  <si>
    <t>HE WILL PAY IN 4 DAYS | HE WILL PAY ON SATURDAY | SATURDAY | RINGING NOT RESPONDING | PAYMENT AT 5:30PM</t>
  </si>
  <si>
    <t>PAID | PAID</t>
  </si>
  <si>
    <t>PAID | PAID | OUT OF REACH</t>
  </si>
  <si>
    <t>RINGING NOT RESPONDING | HE  WILL PAY IN 2 DAYS | RINGING NOT RESPONDING | he his hospital | 3 DAYS HE GET THE AMOUNT | RINGING NOT RESPONDING</t>
  </si>
  <si>
    <t>RINGING NOT RESPONDING | HE WILL PAY TOMMROW | HE WILLPAY  TODAY | ringing   not respond | CALL  DISCONNETED | hewill  pay today</t>
  </si>
  <si>
    <t>SEND THE PERSON FOR PAYMENT | DSO WILL COLLECT | DSO WILL COLLECT</t>
  </si>
  <si>
    <t>HE WILLPAY HIS IN OUT SATION | HE HIS IN OUT SATION IN 2 DAYS HE WILL PAY | HE NEED TIME TO PAY HIS IN HOSPITAL | CUSTOMER IN HOSPITAL</t>
  </si>
  <si>
    <t>RINGING NOT RESPONDING | OUT SATION  AFTER COMING  HEWILL PAY | RINGING NOT RESPONDING</t>
  </si>
  <si>
    <t>HE HIS IN OUT SATION HE WILL PAY | HE HIS OUT SATION HE WILL COME AFTER 22 | AFTER 10 DAYS HE WILL PAY</t>
  </si>
  <si>
    <t>paid online</t>
  </si>
  <si>
    <t>RINGING NOT RESPONDING | RINGING NOT RESPONDING | RINGING NOT RESPONDING | RINGING NOT RESPONDING</t>
  </si>
  <si>
    <t>ringing not responding | HE SAID THAT AFTER  SCHOOLS OPEN HE WILL PAY</t>
  </si>
  <si>
    <t>ringing not responding | ringing not responding | ringing not responding | ringing not responding | paid online 2600 / RINGING NOT RESPONDING</t>
  </si>
  <si>
    <t>Stock Returned</t>
  </si>
  <si>
    <t>ringing not responding | paid  given cheque | PAID</t>
  </si>
  <si>
    <t>HE SAID THAT HE WILL GIVE CHEQUE SEND THE PERSON | given cheque remaining apr pending</t>
  </si>
  <si>
    <t>ringing not resonding | HE SAID THAT  HE  WILL  PAY  IN 2 DAYS | ringing not resonding | MONDAY  HE WILL PAY ONLINE | ringing not resonding</t>
  </si>
  <si>
    <t>HE SAID THATHE WILL PAY NEED  SOMETIME | RINGING NOT RESPONDING</t>
  </si>
  <si>
    <t>HE HIS  BUSY  CALL BACK | HE WILLPAY IN 3DAYS | HE WILL NEXT MONTH FIRST WEEK</t>
  </si>
  <si>
    <t>expried</t>
  </si>
  <si>
    <t>NUMBER BUSY | NUMBER BUSY | NUMBER BUSY | RINGING NOT RESPONDING</t>
  </si>
  <si>
    <t>CALL DISCONNETED  THE CALL | RINGING NOT RESPONDING | MONDAY SEND VINOD HE WILL GIVE CHEQUE | RINGING NOT RESPONDING</t>
  </si>
  <si>
    <t>2 DAYS</t>
  </si>
  <si>
    <t>ringing not resonding | ringing not resonding | NUMBER  BUSY | HE HIS  IN OUTSATION  AFTER COMING WILL PAY | NUMBER BUSY</t>
  </si>
  <si>
    <t>Customer is Out of Station</t>
  </si>
  <si>
    <t>NUMBER  BUSY | NUMBER  BUSY | NUMBER BUSY | NUMBER  BUSY</t>
  </si>
  <si>
    <t>HEWILLPAY IN 2 DAYS | TOMMROW ONLINE | RINGING NOT RESPONDING | RINGING NOT RESPONDING</t>
  </si>
  <si>
    <t>NUMBER BUSY | NUMBER NOT CONNETED | HE SAID THAT HE WILL PAY WHEN VINOD COME | NUMBER BUSY</t>
  </si>
  <si>
    <t>NUMBER NOT THIER | NUMBER NOT THIER</t>
  </si>
  <si>
    <t>NUMBER NOT CONNETED | HE WILL  PAY IN 1 WEEK  NO SEASON | RINGING  NOT RESPONDING | AFTER 10 DAYS HE WILL PAY</t>
  </si>
  <si>
    <t>number not their | HE WILL PAY ONSATURDAY | THEY WILL PAY</t>
  </si>
  <si>
    <t>number not their | number not their | paid online</t>
  </si>
  <si>
    <t>he will pay in today eveng | ringing not resonding | ringing not resonding | ringing not resonding | ringing not resonding</t>
  </si>
  <si>
    <t>ringing not resonding | NUMBER BUSY | HEWILL PAYTODAY EOD | ringing not resonding | paid online</t>
  </si>
  <si>
    <t>ringing not resonding | ringing not resonding | ringing not resonding | ringing not resonding | ringing not resonding</t>
  </si>
  <si>
    <t>ringing not resonding | ringing not resonding | ringing not resonding | ringing not resonding</t>
  </si>
  <si>
    <t>ringing not resonding | ringing not resonding | HE GOT THE ACCIDENT HEWILL PAY 2DAYS | ringing not resonding</t>
  </si>
  <si>
    <t>NUMBER NOT CONNETED | RINGING NOT RESPONDING | NUMBER NOT CONNETED</t>
  </si>
  <si>
    <t>1% discount</t>
  </si>
  <si>
    <t>PAY ONLINEremaing one bill  arp bill pending | paid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</si>
</sst>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\-mmm\-yyyy"/>
    <numFmt numFmtId="166" formatCode="d\-mmm\-yy;@"/>
    <numFmt numFmtId="167" formatCode="_ [$₹-4009]\ * #,##0.00_ ;_ [$₹-4009]\ * \-#,##0.00_ ;_ [$₹-4009]\ * &quot;-&quot;??_ ;_ @_ "/>
  </numFmts>
  <fonts count="3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8"/>
      <color rgb="FF1F3864"/>
      <name val="Calibri"/>
    </font>
    <font>
      <b/>
      <sz val="12"/>
      <color rgb="FF2F5496"/>
      <name val="Calibri"/>
    </font>
    <font>
      <b/>
      <sz val="10"/>
      <name val="Calibri"/>
    </font>
    <font>
      <b/>
      <sz val="24"/>
      <color rgb="FF1F3864"/>
      <name val="Calibri"/>
    </font>
    <font>
      <sz val="12"/>
      <color rgb="FF2F5496"/>
      <name val="Calibri"/>
    </font>
    <font>
      <sz val="9"/>
      <color rgb="FFFFFFFF"/>
      <name val="Calibri"/>
    </font>
    <font>
      <b/>
      <sz val="20"/>
      <color rgb="FFFFFFFF"/>
      <name val="Calibri"/>
    </font>
    <font>
      <b/>
      <sz val="14"/>
      <color rgb="FF1F3864"/>
      <name val="Calibri"/>
    </font>
    <font>
      <sz val="7.5"/>
      <name val="Arial MT"/>
      <family val="2"/>
    </font>
    <font>
      <b/>
      <sz val="7.5"/>
      <name val="Arial"/>
      <family val="2"/>
    </font>
    <font>
      <sz val="10"/>
      <color rgb="FF000000"/>
      <name val="Times New Roman"/>
      <charset val="204"/>
    </font>
    <font>
      <i/>
      <sz val="7.5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  <font>
      <sz val="7"/>
      <color rgb="FF000000"/>
      <name val="Arial"/>
      <family val="2"/>
    </font>
    <font>
      <i/>
      <sz val="7"/>
      <name val="Arial"/>
      <family val="2"/>
    </font>
    <font>
      <b/>
      <sz val="7"/>
      <color rgb="FF000000"/>
      <name val="Arial"/>
      <family val="2"/>
    </font>
    <font>
      <sz val="7"/>
      <name val="Arial"/>
      <family val="2"/>
    </font>
    <font>
      <i/>
      <sz val="7"/>
      <color rgb="FF000000"/>
      <name val="Arial"/>
      <family val="2"/>
    </font>
    <font>
      <b/>
      <sz val="7.5"/>
      <color rgb="FF000000"/>
      <name val="Arial"/>
      <family val="2"/>
    </font>
    <font>
      <sz val="7.5"/>
      <name val="Arial MT"/>
    </font>
    <font>
      <b/>
      <sz val="7.5"/>
      <name val="Arial MT"/>
    </font>
    <font>
      <sz val="10"/>
      <color rgb="FF000000"/>
      <name val="Times New Roman"/>
      <family val="1"/>
    </font>
    <font>
      <b/>
      <sz val="7.5"/>
      <name val="Arial MT"/>
      <family val="2"/>
    </font>
    <font>
      <b/>
      <i/>
      <sz val="7.5"/>
      <name val="Arial"/>
      <family val="2"/>
    </font>
    <font>
      <b/>
      <sz val="7.5"/>
      <color rgb="FF000000"/>
      <name val="Times New Roman"/>
      <family val="1"/>
    </font>
    <font>
      <sz val="7.5"/>
      <color rgb="FF000000"/>
      <name val="Times New Roman"/>
      <family val="1"/>
    </font>
    <font>
      <sz val="7.5"/>
      <color rgb="FF000000"/>
      <name val="Arial"/>
      <family val="2"/>
    </font>
    <font>
      <b/>
      <sz val="10"/>
      <color rgb="FF000000"/>
      <name val="Times New Roman"/>
      <family val="1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7"/>
      <color rgb="FF000000"/>
      <name val="Times New Roman"/>
      <family val="1"/>
    </font>
    <font>
      <sz val="10"/>
      <name val="Calibri"/>
      <family val="2"/>
    </font>
    <font>
      <b/>
      <sz val="11"/>
      <name val="Calibri"/>
      <family val="2"/>
    </font>
    <font>
      <sz val="10"/>
      <color theme="6" tint="-0.49998474074526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4" fontId="2" fillId="4" borderId="1" xfId="0" applyNumberFormat="1" applyFont="1" applyFill="1" applyBorder="1"/>
    <xf numFmtId="164" fontId="2" fillId="4" borderId="1" xfId="0" applyNumberFormat="1" applyFont="1" applyFill="1" applyBorder="1"/>
    <xf numFmtId="0" fontId="2" fillId="3" borderId="1" xfId="0" applyFont="1" applyFill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164" fontId="5" fillId="5" borderId="1" xfId="0" applyNumberFormat="1" applyFont="1" applyFill="1" applyBorder="1"/>
    <xf numFmtId="165" fontId="2" fillId="3" borderId="1" xfId="0" applyNumberFormat="1" applyFont="1" applyFill="1" applyBorder="1"/>
    <xf numFmtId="165" fontId="2" fillId="4" borderId="1" xfId="0" applyNumberFormat="1" applyFont="1" applyFill="1" applyBorder="1"/>
    <xf numFmtId="0" fontId="0" fillId="5" borderId="1" xfId="0" applyFill="1" applyBorder="1"/>
    <xf numFmtId="0" fontId="11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4" fontId="14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2" fontId="13" fillId="0" borderId="0" xfId="0" applyNumberFormat="1" applyFont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2" fontId="16" fillId="12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right" vertical="center" wrapText="1"/>
    </xf>
    <xf numFmtId="0" fontId="18" fillId="0" borderId="2" xfId="0" applyFont="1" applyBorder="1" applyAlignment="1">
      <alignment horizontal="right" vertical="center" wrapText="1"/>
    </xf>
    <xf numFmtId="2" fontId="17" fillId="0" borderId="2" xfId="0" applyNumberFormat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166" fontId="19" fillId="0" borderId="2" xfId="0" applyNumberFormat="1" applyFont="1" applyBorder="1" applyAlignment="1">
      <alignment horizontal="left" vertical="center" shrinkToFit="1"/>
    </xf>
    <xf numFmtId="0" fontId="20" fillId="0" borderId="2" xfId="0" applyFont="1" applyBorder="1" applyAlignment="1">
      <alignment horizontal="left" vertical="center" wrapText="1"/>
    </xf>
    <xf numFmtId="2" fontId="19" fillId="0" borderId="2" xfId="0" applyNumberFormat="1" applyFont="1" applyBorder="1" applyAlignment="1">
      <alignment horizontal="right" vertical="center" shrinkToFit="1"/>
    </xf>
    <xf numFmtId="166" fontId="17" fillId="0" borderId="2" xfId="0" applyNumberFormat="1" applyFont="1" applyBorder="1" applyAlignment="1">
      <alignment horizontal="right" vertical="center" shrinkToFit="1"/>
    </xf>
    <xf numFmtId="1" fontId="21" fillId="0" borderId="2" xfId="0" applyNumberFormat="1" applyFont="1" applyBorder="1" applyAlignment="1">
      <alignment horizontal="right" vertical="center" shrinkToFit="1"/>
    </xf>
    <xf numFmtId="0" fontId="20" fillId="0" borderId="2" xfId="0" applyFont="1" applyBorder="1" applyAlignment="1">
      <alignment horizontal="right" vertical="center" wrapText="1"/>
    </xf>
    <xf numFmtId="2" fontId="17" fillId="0" borderId="2" xfId="0" applyNumberFormat="1" applyFont="1" applyBorder="1" applyAlignment="1">
      <alignment horizontal="right" vertical="center" shrinkToFit="1"/>
    </xf>
    <xf numFmtId="0" fontId="2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14" fontId="14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5" fillId="12" borderId="2" xfId="0" applyFont="1" applyFill="1" applyBorder="1" applyAlignment="1">
      <alignment horizontal="center" vertical="top" wrapText="1"/>
    </xf>
    <xf numFmtId="0" fontId="15" fillId="12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top" wrapText="1"/>
    </xf>
    <xf numFmtId="2" fontId="16" fillId="12" borderId="2" xfId="0" applyNumberFormat="1" applyFont="1" applyFill="1" applyBorder="1" applyAlignment="1">
      <alignment horizontal="center" vertical="top" wrapText="1"/>
    </xf>
    <xf numFmtId="0" fontId="16" fillId="12" borderId="2" xfId="0" applyFont="1" applyFill="1" applyBorder="1" applyAlignment="1">
      <alignment horizontal="center" vertical="top"/>
    </xf>
    <xf numFmtId="0" fontId="17" fillId="0" borderId="2" xfId="0" applyFont="1" applyBorder="1" applyAlignment="1">
      <alignment horizontal="left" wrapText="1"/>
    </xf>
    <xf numFmtId="0" fontId="20" fillId="0" borderId="2" xfId="0" applyFont="1" applyBorder="1" applyAlignment="1">
      <alignment horizontal="right" vertical="top" wrapText="1"/>
    </xf>
    <xf numFmtId="2" fontId="15" fillId="0" borderId="2" xfId="0" applyNumberFormat="1" applyFont="1" applyBorder="1" applyAlignment="1">
      <alignment horizontal="right" vertical="top" wrapText="1"/>
    </xf>
    <xf numFmtId="0" fontId="18" fillId="0" borderId="2" xfId="0" applyFont="1" applyBorder="1" applyAlignment="1">
      <alignment horizontal="right" vertical="top" wrapText="1"/>
    </xf>
    <xf numFmtId="2" fontId="17" fillId="0" borderId="2" xfId="0" applyNumberFormat="1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 wrapText="1"/>
    </xf>
    <xf numFmtId="2" fontId="17" fillId="0" borderId="2" xfId="0" applyNumberFormat="1" applyFont="1" applyBorder="1" applyAlignment="1">
      <alignment horizontal="left" wrapText="1"/>
    </xf>
    <xf numFmtId="2" fontId="17" fillId="0" borderId="2" xfId="0" applyNumberFormat="1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166" fontId="19" fillId="0" borderId="2" xfId="0" applyNumberFormat="1" applyFont="1" applyBorder="1" applyAlignment="1">
      <alignment horizontal="left" shrinkToFit="1"/>
    </xf>
    <xf numFmtId="0" fontId="20" fillId="0" borderId="2" xfId="0" applyFont="1" applyBorder="1" applyAlignment="1">
      <alignment horizontal="left" wrapText="1"/>
    </xf>
    <xf numFmtId="2" fontId="20" fillId="0" borderId="2" xfId="0" applyNumberFormat="1" applyFont="1" applyBorder="1" applyAlignment="1">
      <alignment horizontal="right" wrapText="1"/>
    </xf>
    <xf numFmtId="2" fontId="15" fillId="0" borderId="2" xfId="0" applyNumberFormat="1" applyFont="1" applyBorder="1" applyAlignment="1">
      <alignment horizontal="right" wrapText="1"/>
    </xf>
    <xf numFmtId="166" fontId="17" fillId="0" borderId="2" xfId="0" applyNumberFormat="1" applyFont="1" applyBorder="1" applyAlignment="1">
      <alignment horizontal="right" shrinkToFit="1"/>
    </xf>
    <xf numFmtId="1" fontId="21" fillId="0" borderId="2" xfId="0" applyNumberFormat="1" applyFont="1" applyBorder="1" applyAlignment="1">
      <alignment horizontal="right" shrinkToFit="1"/>
    </xf>
    <xf numFmtId="0" fontId="20" fillId="0" borderId="2" xfId="0" applyFont="1" applyBorder="1" applyAlignment="1">
      <alignment horizontal="right" wrapText="1"/>
    </xf>
    <xf numFmtId="0" fontId="17" fillId="13" borderId="2" xfId="0" applyFont="1" applyFill="1" applyBorder="1" applyAlignment="1">
      <alignment horizontal="left"/>
    </xf>
    <xf numFmtId="0" fontId="15" fillId="14" borderId="2" xfId="0" applyFont="1" applyFill="1" applyBorder="1" applyAlignment="1">
      <alignment horizontal="left" wrapText="1"/>
    </xf>
    <xf numFmtId="0" fontId="17" fillId="15" borderId="2" xfId="0" applyFont="1" applyFill="1" applyBorder="1" applyAlignment="1">
      <alignment horizontal="left"/>
    </xf>
    <xf numFmtId="0" fontId="17" fillId="14" borderId="2" xfId="0" applyFont="1" applyFill="1" applyBorder="1" applyAlignment="1">
      <alignment horizontal="left"/>
    </xf>
    <xf numFmtId="0" fontId="15" fillId="16" borderId="2" xfId="0" applyFont="1" applyFill="1" applyBorder="1" applyAlignment="1">
      <alignment horizontal="left" wrapText="1"/>
    </xf>
    <xf numFmtId="0" fontId="15" fillId="0" borderId="2" xfId="0" applyFont="1" applyBorder="1" applyAlignment="1">
      <alignment horizontal="right" wrapText="1"/>
    </xf>
    <xf numFmtId="0" fontId="22" fillId="0" borderId="2" xfId="0" applyFont="1" applyBorder="1" applyAlignment="1">
      <alignment horizontal="center"/>
    </xf>
    <xf numFmtId="2" fontId="17" fillId="15" borderId="2" xfId="0" applyNumberFormat="1" applyFont="1" applyFill="1" applyBorder="1" applyAlignment="1">
      <alignment horizontal="left"/>
    </xf>
    <xf numFmtId="2" fontId="17" fillId="14" borderId="2" xfId="0" applyNumberFormat="1" applyFont="1" applyFill="1" applyBorder="1" applyAlignment="1">
      <alignment horizontal="left"/>
    </xf>
    <xf numFmtId="0" fontId="23" fillId="0" borderId="2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14" fontId="25" fillId="0" borderId="0" xfId="0" applyNumberFormat="1" applyFont="1" applyAlignment="1">
      <alignment horizontal="left" vertical="top"/>
    </xf>
    <xf numFmtId="0" fontId="12" fillId="12" borderId="2" xfId="0" applyFont="1" applyFill="1" applyBorder="1" applyAlignment="1">
      <alignment horizontal="center" vertical="top"/>
    </xf>
    <xf numFmtId="0" fontId="24" fillId="12" borderId="2" xfId="0" applyFont="1" applyFill="1" applyBorder="1" applyAlignment="1">
      <alignment horizontal="center" vertical="top"/>
    </xf>
    <xf numFmtId="0" fontId="26" fillId="12" borderId="2" xfId="0" applyFont="1" applyFill="1" applyBorder="1" applyAlignment="1">
      <alignment horizontal="center" vertical="top"/>
    </xf>
    <xf numFmtId="0" fontId="27" fillId="12" borderId="2" xfId="0" applyFont="1" applyFill="1" applyBorder="1" applyAlignment="1">
      <alignment horizontal="center" vertical="top"/>
    </xf>
    <xf numFmtId="0" fontId="28" fillId="0" borderId="2" xfId="0" applyFont="1" applyBorder="1" applyAlignment="1">
      <alignment horizontal="left" vertical="top"/>
    </xf>
    <xf numFmtId="0" fontId="29" fillId="0" borderId="2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15" fontId="22" fillId="0" borderId="2" xfId="0" applyNumberFormat="1" applyFont="1" applyBorder="1" applyAlignment="1">
      <alignment horizontal="left" vertical="center"/>
    </xf>
    <xf numFmtId="15" fontId="30" fillId="0" borderId="2" xfId="0" applyNumberFormat="1" applyFont="1" applyBorder="1" applyAlignment="1">
      <alignment horizontal="left" vertical="center"/>
    </xf>
    <xf numFmtId="0" fontId="22" fillId="17" borderId="2" xfId="0" applyFont="1" applyFill="1" applyBorder="1" applyAlignment="1">
      <alignment horizontal="left" vertical="center"/>
    </xf>
    <xf numFmtId="0" fontId="31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23" fillId="0" borderId="2" xfId="0" applyFont="1" applyBorder="1" applyAlignment="1">
      <alignment horizontal="left" vertical="top"/>
    </xf>
    <xf numFmtId="0" fontId="24" fillId="0" borderId="2" xfId="0" applyFont="1" applyBorder="1" applyAlignment="1">
      <alignment horizontal="left" vertical="top"/>
    </xf>
    <xf numFmtId="14" fontId="32" fillId="0" borderId="0" xfId="0" applyNumberFormat="1" applyFont="1" applyAlignment="1">
      <alignment horizontal="left" vertical="top"/>
    </xf>
    <xf numFmtId="2" fontId="27" fillId="12" borderId="2" xfId="0" applyNumberFormat="1" applyFont="1" applyFill="1" applyBorder="1" applyAlignment="1">
      <alignment horizontal="center" vertical="top"/>
    </xf>
    <xf numFmtId="0" fontId="33" fillId="0" borderId="0" xfId="0" applyFont="1" applyAlignment="1">
      <alignment horizontal="left" vertical="top"/>
    </xf>
    <xf numFmtId="0" fontId="34" fillId="0" borderId="2" xfId="0" applyFont="1" applyBorder="1" applyAlignment="1">
      <alignment horizontal="left"/>
    </xf>
    <xf numFmtId="0" fontId="33" fillId="0" borderId="2" xfId="0" applyFont="1" applyBorder="1"/>
    <xf numFmtId="2" fontId="17" fillId="0" borderId="2" xfId="0" applyNumberFormat="1" applyFont="1" applyBorder="1"/>
    <xf numFmtId="0" fontId="17" fillId="0" borderId="2" xfId="0" applyFont="1" applyBorder="1"/>
    <xf numFmtId="0" fontId="17" fillId="0" borderId="0" xfId="0" applyFont="1"/>
    <xf numFmtId="0" fontId="33" fillId="0" borderId="0" xfId="0" applyFont="1"/>
    <xf numFmtId="0" fontId="34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top"/>
    </xf>
    <xf numFmtId="166" fontId="17" fillId="0" borderId="2" xfId="0" applyNumberFormat="1" applyFont="1" applyBorder="1" applyAlignment="1">
      <alignment horizontal="center" vertical="center" shrinkToFit="1"/>
    </xf>
    <xf numFmtId="0" fontId="15" fillId="16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2" fontId="35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7" fillId="18" borderId="1" xfId="0" applyFont="1" applyFill="1" applyBorder="1" applyAlignment="1">
      <alignment horizontal="center" vertical="center" wrapText="1"/>
    </xf>
    <xf numFmtId="0" fontId="36" fillId="3" borderId="1" xfId="0" applyFont="1" applyFill="1" applyBorder="1"/>
    <xf numFmtId="0" fontId="36" fillId="4" borderId="1" xfId="0" applyFont="1" applyFill="1" applyBorder="1"/>
    <xf numFmtId="0" fontId="38" fillId="4" borderId="1" xfId="0" applyFont="1" applyFill="1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8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0" borderId="0" xfId="0" applyFont="1"/>
    <xf numFmtId="167" fontId="9" fillId="7" borderId="1" xfId="0" applyNumberFormat="1" applyFont="1" applyFill="1" applyBorder="1" applyAlignment="1">
      <alignment horizontal="center" vertical="center" wrapText="1"/>
    </xf>
    <xf numFmtId="167" fontId="9" fillId="6" borderId="1" xfId="0" applyNumberFormat="1" applyFont="1" applyFill="1" applyBorder="1" applyAlignment="1">
      <alignment horizontal="center" vertical="center" wrapText="1"/>
    </xf>
    <xf numFmtId="167" fontId="9" fillId="8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11" borderId="1" xfId="0" applyFont="1" applyFill="1" applyBorder="1" applyAlignment="1">
      <alignment horizontal="center" vertical="center" wrapText="1"/>
    </xf>
    <xf numFmtId="167" fontId="9" fillId="9" borderId="6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12" fillId="0" borderId="2" xfId="0" applyFont="1" applyBorder="1" applyAlignment="1">
      <alignment horizontal="left" vertical="center" wrapText="1"/>
    </xf>
    <xf numFmtId="0" fontId="0" fillId="0" borderId="3" xfId="0" applyBorder="1"/>
    <xf numFmtId="0" fontId="12" fillId="0" borderId="4" xfId="0" applyFont="1" applyBorder="1" applyAlignment="1">
      <alignment horizontal="left" vertical="center" wrapText="1"/>
    </xf>
    <xf numFmtId="0" fontId="0" fillId="0" borderId="4" xfId="0" applyBorder="1"/>
    <xf numFmtId="0" fontId="12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 indent="12"/>
    </xf>
    <xf numFmtId="0" fontId="12" fillId="0" borderId="2" xfId="0" applyFont="1" applyBorder="1" applyAlignment="1">
      <alignment horizontal="left" vertical="top"/>
    </xf>
  </cellXfs>
  <cellStyles count="1">
    <cellStyle name="Normal" xfId="0" builtinId="0"/>
  </cellStyles>
  <dxfs count="24">
    <dxf>
      <font>
        <sz val="10"/>
        <color rgb="FF006100"/>
        <name val="Calibri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CE4D6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006100"/>
        <name val="Calibri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CE4D6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006100"/>
        <name val="Calibri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CE4D6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006100"/>
        <name val="Calibri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CE4D6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CE4D6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808080"/>
        <name val="Calibri"/>
      </font>
      <fill>
        <patternFill patternType="solid">
          <fgColor rgb="FFE8E8E8"/>
        </patternFill>
      </fill>
    </dxf>
    <dxf>
      <font>
        <sz val="10"/>
        <color rgb="FF006100"/>
        <name val="Calibri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CE4D6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Aging Distribution</a:t>
            </a:r>
          </a:p>
        </c:rich>
      </c:tx>
      <c:layout>
        <c:manualLayout>
          <c:xMode val="edge"/>
          <c:yMode val="edge"/>
          <c:x val="7.5305034722222206E-2"/>
          <c:y val="3.821759259259258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Invoice 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52-413D-BA7E-F2B09303D30B}"/>
              </c:ext>
            </c:extLst>
          </c:dPt>
          <c:dPt>
            <c:idx val="1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52-413D-BA7E-F2B09303D30B}"/>
              </c:ext>
            </c:extLst>
          </c:dPt>
          <c:dPt>
            <c:idx val="2"/>
            <c:bubble3D val="0"/>
            <c:spPr>
              <a:solidFill>
                <a:srgbClr val="FFD96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52-413D-BA7E-F2B09303D30B}"/>
              </c:ext>
            </c:extLst>
          </c:dPt>
          <c:dPt>
            <c:idx val="3"/>
            <c:bubble3D val="0"/>
            <c:spPr>
              <a:solidFill>
                <a:srgbClr val="F4B18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952-413D-BA7E-F2B09303D30B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952-413D-BA7E-F2B09303D30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DASHBOARD!$A$13:$A$17</c:f>
              <c:strCache>
                <c:ptCount val="5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11</c:v>
                </c:pt>
                <c:pt idx="1">
                  <c:v>114</c:v>
                </c:pt>
                <c:pt idx="2">
                  <c:v>57</c:v>
                </c:pt>
                <c:pt idx="3">
                  <c:v>24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52-413D-BA7E-F2B09303D30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Outstanding by Collector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DASHBOARD!$C$21</c:f>
              <c:strCache>
                <c:ptCount val="1"/>
                <c:pt idx="0">
                  <c:v>Total Outstanding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44-45AD-A991-78AB7A551B1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44-45AD-A991-78AB7A551B1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44-45AD-A991-78AB7A551B12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44-45AD-A991-78AB7A551B12}"/>
              </c:ext>
            </c:extLst>
          </c:dPt>
          <c:cat>
            <c:strRef>
              <c:f>DASHBOARD!$A$22:$A$25</c:f>
              <c:strCache>
                <c:ptCount val="4"/>
                <c:pt idx="0">
                  <c:v>Watches</c:v>
                </c:pt>
                <c:pt idx="1">
                  <c:v>Praveen</c:v>
                </c:pt>
                <c:pt idx="2">
                  <c:v>Mujahid</c:v>
                </c:pt>
                <c:pt idx="3">
                  <c:v>Vinod</c:v>
                </c:pt>
              </c:strCache>
            </c:strRef>
          </c:cat>
          <c:val>
            <c:numRef>
              <c:f>DASHBOARD!$C$22:$C$25</c:f>
              <c:numCache>
                <c:formatCode>#,##0.00</c:formatCode>
                <c:ptCount val="4"/>
                <c:pt idx="0">
                  <c:v>5709071.0300000003</c:v>
                </c:pt>
                <c:pt idx="1">
                  <c:v>644027</c:v>
                </c:pt>
                <c:pt idx="2">
                  <c:v>4527690.9799999995</c:v>
                </c:pt>
                <c:pt idx="3">
                  <c:v>639426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44-45AD-A991-78AB7A55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4154392"/>
        <c:axId val="124156744"/>
      </c:barChart>
      <c:catAx>
        <c:axId val="12415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6744"/>
        <c:crosses val="autoZero"/>
        <c:auto val="1"/>
        <c:lblAlgn val="ctr"/>
        <c:lblOffset val="100"/>
        <c:noMultiLvlLbl val="1"/>
      </c:catAx>
      <c:valAx>
        <c:axId val="124156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43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Risk by Collector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DASHBOARD!$D$21</c:f>
              <c:strCache>
                <c:ptCount val="1"/>
                <c:pt idx="0">
                  <c:v>High Risk Amt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B958-4E86-8C0A-71F4F43A061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B958-4E86-8C0A-71F4F43A061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B958-4E86-8C0A-71F4F43A061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B958-4E86-8C0A-71F4F43A061E}"/>
              </c:ext>
            </c:extLst>
          </c:dPt>
          <c:cat>
            <c:strRef>
              <c:f>DASHBOARD!$A$22:$A$25</c:f>
              <c:strCache>
                <c:ptCount val="4"/>
                <c:pt idx="0">
                  <c:v>Watches</c:v>
                </c:pt>
                <c:pt idx="1">
                  <c:v>Praveen</c:v>
                </c:pt>
                <c:pt idx="2">
                  <c:v>Mujahid</c:v>
                </c:pt>
                <c:pt idx="3">
                  <c:v>Vinod</c:v>
                </c:pt>
              </c:strCache>
            </c:strRef>
          </c:cat>
          <c:val>
            <c:numRef>
              <c:f>DASHBOARD!$D$22:$D$25</c:f>
              <c:numCache>
                <c:formatCode>#,##0.00</c:formatCode>
                <c:ptCount val="4"/>
                <c:pt idx="0">
                  <c:v>96601.03</c:v>
                </c:pt>
                <c:pt idx="1">
                  <c:v>192283</c:v>
                </c:pt>
                <c:pt idx="2">
                  <c:v>1604965.98</c:v>
                </c:pt>
                <c:pt idx="3">
                  <c:v>44560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58-4E86-8C0A-71F4F43A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157136"/>
        <c:axId val="124155568"/>
      </c:barChart>
      <c:catAx>
        <c:axId val="1241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5568"/>
        <c:crosses val="autoZero"/>
        <c:auto val="1"/>
        <c:lblAlgn val="ctr"/>
        <c:lblOffset val="100"/>
        <c:noMultiLvlLbl val="1"/>
      </c:catAx>
      <c:valAx>
        <c:axId val="1241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1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396240</xdr:colOff>
      <xdr:row>10</xdr:row>
      <xdr:rowOff>68580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350520</xdr:colOff>
      <xdr:row>10</xdr:row>
      <xdr:rowOff>60960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434340</xdr:colOff>
      <xdr:row>31</xdr:row>
      <xdr:rowOff>30480</xdr:rowOff>
    </xdr:from>
    <xdr:ext cx="57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workbookViewId="0">
      <pane ySplit="2" topLeftCell="A9" activePane="bottomLeft" state="frozen"/>
      <selection pane="bottomLeft" activeCell="C17" sqref="C17"/>
    </sheetView>
  </sheetViews>
  <sheetFormatPr defaultRowHeight="14.4"/>
  <cols>
    <col min="1" max="1" width="32.33203125" bestFit="1" customWidth="1"/>
    <col min="2" max="7" width="20" customWidth="1"/>
    <col min="8" max="10" width="28" customWidth="1"/>
  </cols>
  <sheetData>
    <row r="1" spans="1:10" ht="43.95" customHeight="1">
      <c r="A1" s="121" t="s">
        <v>18</v>
      </c>
      <c r="B1" s="116"/>
      <c r="C1" s="116"/>
      <c r="D1" s="116"/>
      <c r="E1" s="116"/>
      <c r="F1" s="116"/>
      <c r="G1" s="116"/>
      <c r="H1" s="116"/>
      <c r="I1" s="116"/>
      <c r="J1" s="116"/>
    </row>
    <row r="2" spans="1:10" ht="22.2" customHeight="1">
      <c r="A2" s="131" t="s">
        <v>19</v>
      </c>
      <c r="B2" s="116"/>
      <c r="C2" s="116"/>
      <c r="D2" s="116"/>
      <c r="E2" s="116"/>
      <c r="F2" s="116"/>
      <c r="G2" s="116"/>
      <c r="H2" s="116"/>
      <c r="I2" s="116"/>
      <c r="J2" s="116"/>
    </row>
    <row r="4" spans="1:10" ht="22.2" customHeight="1">
      <c r="A4" s="118" t="s">
        <v>20</v>
      </c>
      <c r="B4" s="119"/>
      <c r="D4" s="130" t="s">
        <v>21</v>
      </c>
      <c r="E4" s="119"/>
      <c r="G4" s="120" t="s">
        <v>22</v>
      </c>
      <c r="H4" s="119"/>
    </row>
    <row r="5" spans="1:10" ht="43.95" customHeight="1">
      <c r="A5" s="128">
        <f>SUMIFS(MASTER_AR_REPORT!I:I,MASTER_AR_REPORT!I:I,"&gt;0")</f>
        <v>11520215.01</v>
      </c>
      <c r="B5" s="119"/>
      <c r="D5" s="127">
        <f>SUM(MASTER_AR_REPORT!H:H)</f>
        <v>403187</v>
      </c>
      <c r="E5" s="119"/>
      <c r="G5" s="129">
        <f>SUMIFS(MASTER_AR_REPORT!I:I,MASTER_AR_REPORT!I:I,"&gt;0")</f>
        <v>11520215.01</v>
      </c>
      <c r="H5" s="119"/>
    </row>
    <row r="7" spans="1:10" ht="22.2" customHeight="1">
      <c r="A7" s="124" t="s">
        <v>23</v>
      </c>
      <c r="B7" s="119"/>
      <c r="D7" s="123" t="s">
        <v>24</v>
      </c>
      <c r="E7" s="119"/>
      <c r="G7" s="125" t="s">
        <v>25</v>
      </c>
      <c r="H7" s="119"/>
    </row>
    <row r="8" spans="1:10" ht="43.95" customHeight="1">
      <c r="A8" s="133">
        <f ca="1">SUMIFS(MASTER_AR_REPORT!I:I,MASTER_AR_REPORT!L:L,"HIGH RISK")</f>
        <v>1938410.0100000002</v>
      </c>
      <c r="B8" s="134"/>
      <c r="D8" s="122">
        <f t="array" ref="D8">SUMPRODUCT((MASTER_AR_REPORT!E2:E99999&lt;&gt;"")/COUNTIF(MASTER_AR_REPORT!E2:E99999,MASTER_AR_REPORT!E2:E99999&amp;""))</f>
        <v>133.99999999999989</v>
      </c>
      <c r="E8" s="119"/>
      <c r="G8" s="132">
        <f>COUNTA(MASTER_AR_REPORT!A2:A99999)</f>
        <v>265</v>
      </c>
      <c r="H8" s="119"/>
    </row>
    <row r="10" spans="1:10" ht="7.95" customHeight="1"/>
    <row r="11" spans="1:10" ht="30" customHeight="1">
      <c r="A11" s="126" t="s">
        <v>26</v>
      </c>
      <c r="B11" s="116"/>
      <c r="C11" s="116"/>
      <c r="D11" s="116"/>
    </row>
    <row r="12" spans="1:10">
      <c r="A12" s="1" t="s">
        <v>12</v>
      </c>
      <c r="B12" s="1" t="s">
        <v>27</v>
      </c>
      <c r="C12" s="1" t="s">
        <v>28</v>
      </c>
      <c r="D12" s="1" t="s">
        <v>29</v>
      </c>
    </row>
    <row r="13" spans="1:10">
      <c r="A13" s="2" t="s">
        <v>30</v>
      </c>
      <c r="B13" s="2">
        <f ca="1">COUNTIFS(MASTER_AR_REPORT!K:K,"Current")</f>
        <v>11</v>
      </c>
      <c r="C13" s="3">
        <f ca="1">SUMIFS(MASTER_AR_REPORT!I:I,MASTER_AR_REPORT!K:K,"Current")</f>
        <v>0</v>
      </c>
      <c r="D13" s="4">
        <f ca="1">IF(C17=0,0,C13/C17)</f>
        <v>0</v>
      </c>
    </row>
    <row r="14" spans="1:10">
      <c r="A14" s="5" t="s">
        <v>31</v>
      </c>
      <c r="B14" s="5">
        <f ca="1">COUNTIFS(MASTER_AR_REPORT!K:K,"0-30 Days")</f>
        <v>114</v>
      </c>
      <c r="C14" s="6">
        <f ca="1">SUMIFS(MASTER_AR_REPORT!I:I,MASTER_AR_REPORT!K:K,"0-30 Days")</f>
        <v>7393638</v>
      </c>
      <c r="D14" s="7">
        <f ca="1">IF(C17=0,0,C14/C17)</f>
        <v>3.8142797250618816</v>
      </c>
    </row>
    <row r="15" spans="1:10">
      <c r="A15" s="2" t="s">
        <v>32</v>
      </c>
      <c r="B15" s="2">
        <f ca="1">COUNTIFS(MASTER_AR_REPORT!K:K,"31-60 Days")</f>
        <v>57</v>
      </c>
      <c r="C15" s="3">
        <f ca="1">SUMIFS(MASTER_AR_REPORT!I:I,MASTER_AR_REPORT!K:K,"31-60 Days")</f>
        <v>1057014</v>
      </c>
      <c r="D15" s="4">
        <f ca="1">IF(C17=0,0,C15/C17)</f>
        <v>0.54529949522908205</v>
      </c>
    </row>
    <row r="16" spans="1:10">
      <c r="A16" s="5" t="s">
        <v>33</v>
      </c>
      <c r="B16" s="5">
        <f ca="1">COUNTIFS(MASTER_AR_REPORT!K:K,"61-90 Days")</f>
        <v>24</v>
      </c>
      <c r="C16" s="6">
        <f ca="1">SUMIFS(MASTER_AR_REPORT!I:I,MASTER_AR_REPORT!K:K,"61-90 Days")</f>
        <v>1131153</v>
      </c>
      <c r="D16" s="7">
        <f ca="1">IF(C17=0,0,C16/C17)</f>
        <v>0.58354682144878101</v>
      </c>
    </row>
    <row r="17" spans="1:4">
      <c r="A17" s="2" t="s">
        <v>34</v>
      </c>
      <c r="B17" s="2">
        <f ca="1">COUNTIFS(MASTER_AR_REPORT!K:K,"90+ Days")</f>
        <v>59</v>
      </c>
      <c r="C17" s="3">
        <f ca="1">SUMIFS(MASTER_AR_REPORT!I:I,MASTER_AR_REPORT!K:K,"90+ Days")</f>
        <v>1938410.0100000002</v>
      </c>
      <c r="D17" s="4">
        <f ca="1">IF(C17=0,0,C17/C17)</f>
        <v>1</v>
      </c>
    </row>
    <row r="18" spans="1:4">
      <c r="A18" s="8" t="s">
        <v>17</v>
      </c>
      <c r="B18" s="8">
        <f ca="1">SUM(B13:B17)</f>
        <v>265</v>
      </c>
      <c r="C18" s="9">
        <f ca="1">SUM(C13:C17)</f>
        <v>11520215.01</v>
      </c>
      <c r="D18" s="10">
        <f ca="1">SUM(D13:D17)</f>
        <v>5.9431260417397445</v>
      </c>
    </row>
    <row r="20" spans="1:4" ht="30" customHeight="1">
      <c r="A20" s="126" t="s">
        <v>35</v>
      </c>
      <c r="B20" s="116"/>
      <c r="C20" s="116"/>
      <c r="D20" s="116"/>
    </row>
    <row r="21" spans="1:4">
      <c r="A21" s="1" t="s">
        <v>36</v>
      </c>
      <c r="B21" s="1" t="s">
        <v>27</v>
      </c>
      <c r="C21" s="1" t="s">
        <v>20</v>
      </c>
      <c r="D21" s="1" t="s">
        <v>37</v>
      </c>
    </row>
    <row r="22" spans="1:4">
      <c r="A22" s="5" t="s">
        <v>38</v>
      </c>
      <c r="B22" s="5">
        <f>COUNTIFS(MASTER_AR_REPORT!B:B,"Watches",MASTER_AR_REPORT!I:I,"&gt;0")</f>
        <v>55</v>
      </c>
      <c r="C22" s="6">
        <f>Watches_Report!I62</f>
        <v>5709071.0300000003</v>
      </c>
      <c r="D22" s="6">
        <f ca="1">SUMIFS(MASTER_AR_REPORT!I:I,MASTER_AR_REPORT!B:B,"Watches",MASTER_AR_REPORT!L:L,"HIGH RISK")</f>
        <v>96601.03</v>
      </c>
    </row>
    <row r="23" spans="1:4">
      <c r="A23" s="2" t="s">
        <v>39</v>
      </c>
      <c r="B23" s="2">
        <f>COUNTIFS(MASTER_AR_REPORT!B:B,"Praveen",MASTER_AR_REPORT!I:I,"&gt;0")</f>
        <v>75</v>
      </c>
      <c r="C23" s="3">
        <f>Praveen_Report!I80</f>
        <v>644027</v>
      </c>
      <c r="D23" s="3">
        <f ca="1">SUMIFS(MASTER_AR_REPORT!I:I,MASTER_AR_REPORT!B:B,"Praveen",MASTER_AR_REPORT!L:L,"HIGH RISK")</f>
        <v>192283</v>
      </c>
    </row>
    <row r="24" spans="1:4">
      <c r="A24" s="5" t="s">
        <v>40</v>
      </c>
      <c r="B24" s="5">
        <f>COUNTIFS(MASTER_AR_REPORT!B:B,"Mujahid",MASTER_AR_REPORT!I:I,"&gt;0")</f>
        <v>69</v>
      </c>
      <c r="C24" s="6">
        <f>Mujahid_Report!I76</f>
        <v>4527690.9799999995</v>
      </c>
      <c r="D24" s="6">
        <f ca="1">SUMIFS(MASTER_AR_REPORT!I:I,MASTER_AR_REPORT!B:B,"Mujahid",MASTER_AR_REPORT!L:L,"HIGH RISK")</f>
        <v>1604965.98</v>
      </c>
    </row>
    <row r="25" spans="1:4">
      <c r="A25" s="2" t="s">
        <v>41</v>
      </c>
      <c r="B25" s="2">
        <f>COUNTIFS(MASTER_AR_REPORT!B:B,"Vinod",MASTER_AR_REPORT!I:I,"&gt;0")</f>
        <v>55</v>
      </c>
      <c r="C25" s="3">
        <f>Vinod_Report!I67</f>
        <v>639426</v>
      </c>
      <c r="D25" s="3">
        <f ca="1">SUMIFS(MASTER_AR_REPORT!I:I,MASTER_AR_REPORT!B:B,"Vinod",MASTER_AR_REPORT!L:L,"HIGH RISK")</f>
        <v>44560</v>
      </c>
    </row>
    <row r="26" spans="1:4">
      <c r="A26" s="8" t="s">
        <v>17</v>
      </c>
      <c r="B26" s="8">
        <f>SUM(B22:B25)</f>
        <v>254</v>
      </c>
      <c r="C26" s="9">
        <f>SUM(C22:C25)</f>
        <v>11520215.01</v>
      </c>
      <c r="D26" s="9">
        <f ca="1">SUM(D22:D25)</f>
        <v>1938410.01</v>
      </c>
    </row>
    <row r="28" spans="1:4" ht="30" customHeight="1">
      <c r="A28" s="126" t="s">
        <v>42</v>
      </c>
      <c r="B28" s="116"/>
      <c r="C28" s="116"/>
      <c r="D28" s="116"/>
    </row>
    <row r="29" spans="1:4">
      <c r="A29" s="1" t="s">
        <v>6</v>
      </c>
      <c r="B29" s="1" t="s">
        <v>27</v>
      </c>
      <c r="C29" s="1" t="s">
        <v>20</v>
      </c>
      <c r="D29" s="1" t="s">
        <v>13</v>
      </c>
    </row>
    <row r="30" spans="1:4">
      <c r="A30" s="5" t="s">
        <v>43</v>
      </c>
      <c r="B30" s="5">
        <v>33</v>
      </c>
      <c r="C30" s="6">
        <v>5136364</v>
      </c>
      <c r="D30" s="5" t="s">
        <v>44</v>
      </c>
    </row>
    <row r="31" spans="1:4">
      <c r="A31" s="2" t="s">
        <v>45</v>
      </c>
      <c r="B31" s="2">
        <v>15</v>
      </c>
      <c r="C31" s="3">
        <v>1387750.88</v>
      </c>
      <c r="D31" s="2" t="s">
        <v>44</v>
      </c>
    </row>
    <row r="32" spans="1:4">
      <c r="A32" s="5" t="s">
        <v>46</v>
      </c>
      <c r="B32" s="5">
        <v>8</v>
      </c>
      <c r="C32" s="6">
        <v>760353</v>
      </c>
      <c r="D32" s="5" t="s">
        <v>44</v>
      </c>
    </row>
    <row r="33" spans="1:4">
      <c r="A33" s="2" t="s">
        <v>47</v>
      </c>
      <c r="B33" s="2">
        <v>1</v>
      </c>
      <c r="C33" s="3">
        <v>743012</v>
      </c>
      <c r="D33" s="2" t="s">
        <v>48</v>
      </c>
    </row>
    <row r="34" spans="1:4">
      <c r="A34" s="5" t="s">
        <v>49</v>
      </c>
      <c r="B34" s="5">
        <v>3</v>
      </c>
      <c r="C34" s="6">
        <v>289589</v>
      </c>
      <c r="D34" s="5" t="s">
        <v>48</v>
      </c>
    </row>
    <row r="35" spans="1:4">
      <c r="A35" s="2" t="s">
        <v>50</v>
      </c>
      <c r="B35" s="2">
        <v>4</v>
      </c>
      <c r="C35" s="3">
        <v>228285</v>
      </c>
      <c r="D35" s="2" t="s">
        <v>44</v>
      </c>
    </row>
    <row r="36" spans="1:4">
      <c r="A36" s="5" t="s">
        <v>51</v>
      </c>
      <c r="B36" s="5">
        <v>2</v>
      </c>
      <c r="C36" s="6">
        <v>202181</v>
      </c>
      <c r="D36" s="5" t="s">
        <v>44</v>
      </c>
    </row>
    <row r="37" spans="1:4">
      <c r="A37" s="2" t="s">
        <v>52</v>
      </c>
      <c r="B37" s="2">
        <v>1</v>
      </c>
      <c r="C37" s="3">
        <v>149682</v>
      </c>
      <c r="D37" s="2" t="s">
        <v>48</v>
      </c>
    </row>
    <row r="38" spans="1:4">
      <c r="A38" s="5" t="s">
        <v>53</v>
      </c>
      <c r="B38" s="5">
        <v>2</v>
      </c>
      <c r="C38" s="6">
        <v>146106</v>
      </c>
      <c r="D38" s="5" t="s">
        <v>48</v>
      </c>
    </row>
    <row r="39" spans="1:4">
      <c r="A39" s="2" t="s">
        <v>54</v>
      </c>
      <c r="B39" s="2">
        <v>2</v>
      </c>
      <c r="C39" s="3">
        <v>141197</v>
      </c>
      <c r="D39" s="2" t="s">
        <v>55</v>
      </c>
    </row>
    <row r="40" spans="1:4">
      <c r="A40" s="5" t="s">
        <v>56</v>
      </c>
      <c r="B40" s="5">
        <v>2</v>
      </c>
      <c r="C40" s="6">
        <v>137021</v>
      </c>
      <c r="D40" s="5" t="s">
        <v>48</v>
      </c>
    </row>
    <row r="41" spans="1:4">
      <c r="A41" s="2" t="s">
        <v>57</v>
      </c>
      <c r="B41" s="2">
        <v>1</v>
      </c>
      <c r="C41" s="3">
        <v>135197</v>
      </c>
      <c r="D41" s="2" t="s">
        <v>48</v>
      </c>
    </row>
    <row r="42" spans="1:4">
      <c r="A42" s="5" t="s">
        <v>58</v>
      </c>
      <c r="B42" s="5">
        <v>3</v>
      </c>
      <c r="C42" s="6">
        <v>133711</v>
      </c>
      <c r="D42" s="5" t="s">
        <v>55</v>
      </c>
    </row>
    <row r="43" spans="1:4">
      <c r="A43" s="2" t="s">
        <v>59</v>
      </c>
      <c r="B43" s="2">
        <v>2</v>
      </c>
      <c r="C43" s="3">
        <v>131826</v>
      </c>
      <c r="D43" s="2" t="s">
        <v>48</v>
      </c>
    </row>
    <row r="44" spans="1:4">
      <c r="A44" s="5" t="s">
        <v>60</v>
      </c>
      <c r="B44" s="5">
        <v>6</v>
      </c>
      <c r="C44" s="6">
        <v>111503</v>
      </c>
      <c r="D44" s="5" t="s">
        <v>48</v>
      </c>
    </row>
  </sheetData>
  <mergeCells count="17">
    <mergeCell ref="A11:D11"/>
    <mergeCell ref="A28:D28"/>
    <mergeCell ref="A20:D20"/>
    <mergeCell ref="D5:E5"/>
    <mergeCell ref="A5:B5"/>
    <mergeCell ref="A8:B8"/>
    <mergeCell ref="A4:B4"/>
    <mergeCell ref="G4:H4"/>
    <mergeCell ref="A1:J1"/>
    <mergeCell ref="D8:E8"/>
    <mergeCell ref="D7:E7"/>
    <mergeCell ref="A7:B7"/>
    <mergeCell ref="G7:H7"/>
    <mergeCell ref="G5:H5"/>
    <mergeCell ref="D4:E4"/>
    <mergeCell ref="A2:J2"/>
    <mergeCell ref="G8:H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266"/>
  <sheetViews>
    <sheetView workbookViewId="0">
      <pane ySplit="1" topLeftCell="A77" activePane="bottomLeft" state="frozen"/>
      <selection pane="bottomLeft" activeCell="A80" sqref="A80"/>
    </sheetView>
  </sheetViews>
  <sheetFormatPr defaultRowHeight="14.4"/>
  <cols>
    <col min="1" max="1" width="6" customWidth="1"/>
    <col min="2" max="3" width="14" customWidth="1"/>
    <col min="4" max="4" width="20" customWidth="1"/>
    <col min="5" max="5" width="43.33203125" bestFit="1" customWidth="1"/>
    <col min="6" max="8" width="14" customWidth="1"/>
    <col min="9" max="9" width="16" customWidth="1"/>
    <col min="10" max="10" width="14" customWidth="1"/>
    <col min="11" max="11" width="16" customWidth="1"/>
    <col min="12" max="12" width="14" customWidth="1"/>
    <col min="13" max="13" width="18" customWidth="1"/>
    <col min="14" max="14" width="12" customWidth="1"/>
    <col min="15" max="15" width="40" bestFit="1" customWidth="1"/>
  </cols>
  <sheetData>
    <row r="1" spans="1:15" ht="30" customHeight="1">
      <c r="A1" s="108" t="s">
        <v>2</v>
      </c>
      <c r="B1" s="108" t="s">
        <v>3</v>
      </c>
      <c r="C1" s="108" t="s">
        <v>4</v>
      </c>
      <c r="D1" s="108" t="s">
        <v>5</v>
      </c>
      <c r="E1" s="108" t="s">
        <v>6</v>
      </c>
      <c r="F1" s="108" t="s">
        <v>7</v>
      </c>
      <c r="G1" s="108" t="s">
        <v>8</v>
      </c>
      <c r="H1" s="108" t="s">
        <v>9</v>
      </c>
      <c r="I1" s="108" t="s">
        <v>10</v>
      </c>
      <c r="J1" s="108" t="s">
        <v>11</v>
      </c>
      <c r="K1" s="108" t="s">
        <v>12</v>
      </c>
      <c r="L1" s="108" t="s">
        <v>13</v>
      </c>
      <c r="M1" s="108" t="s">
        <v>14</v>
      </c>
      <c r="N1" s="108" t="s">
        <v>15</v>
      </c>
      <c r="O1" s="108" t="s">
        <v>16</v>
      </c>
    </row>
    <row r="2" spans="1:15" hidden="1">
      <c r="A2" s="5">
        <v>1</v>
      </c>
      <c r="B2" s="5" t="s">
        <v>38</v>
      </c>
      <c r="C2" s="11">
        <v>46144</v>
      </c>
      <c r="D2" s="5" t="s">
        <v>61</v>
      </c>
      <c r="E2" s="5" t="s">
        <v>62</v>
      </c>
      <c r="F2" s="6">
        <v>1400</v>
      </c>
      <c r="G2" s="11">
        <v>46144</v>
      </c>
      <c r="H2" s="6">
        <v>0</v>
      </c>
      <c r="I2" s="6">
        <f t="shared" ref="I2:I65" si="0">MAX(0,F2-H2)</f>
        <v>1400</v>
      </c>
      <c r="J2" s="5">
        <f t="shared" ref="J2:J65" ca="1" si="1">IF(G2="",0,MAX(0,TODAY()-G2))</f>
        <v>20</v>
      </c>
      <c r="K2" s="5" t="str">
        <f t="shared" ref="K2:K65" ca="1" si="2">IF(I2&lt;=0,"Current",IF(J2&lt;=30,"0-30 Days",IF(J2&lt;=60,"31-60 Days",IF(J2&lt;=90,"61-90 Days","90+ Days"))))</f>
        <v>0-30 Days</v>
      </c>
      <c r="L2" s="5" t="str">
        <f t="shared" ref="L2:L65" ca="1" si="3">IF(I2&lt;=0,"-",IF(J2&lt;=30,"Low",IF(J2&lt;=60,"Low-Medium",IF(J2&lt;=90,"Medium","HIGH RISK"))))</f>
        <v>Low</v>
      </c>
      <c r="M2" s="5" t="str">
        <f t="shared" ref="M2:M65" ca="1" si="4">IF(I2&lt;=0,"-",IF(J2&lt;=30,"Normal",IF(J2&lt;=60,"Medium",IF(J2&lt;=90,"Urgent","Immediate Action"))))</f>
        <v>Normal</v>
      </c>
      <c r="N2" s="5" t="s">
        <v>63</v>
      </c>
      <c r="O2" s="5" t="s">
        <v>64</v>
      </c>
    </row>
    <row r="3" spans="1:15" hidden="1">
      <c r="A3" s="2">
        <v>2</v>
      </c>
      <c r="B3" s="2" t="s">
        <v>38</v>
      </c>
      <c r="C3" s="12">
        <v>45716</v>
      </c>
      <c r="D3" s="2" t="s">
        <v>65</v>
      </c>
      <c r="E3" s="2" t="s">
        <v>66</v>
      </c>
      <c r="F3" s="3">
        <v>159.66999999999999</v>
      </c>
      <c r="G3" s="12">
        <v>45716</v>
      </c>
      <c r="H3" s="3">
        <v>0</v>
      </c>
      <c r="I3" s="3">
        <f t="shared" si="0"/>
        <v>159.66999999999999</v>
      </c>
      <c r="J3" s="2">
        <f t="shared" ca="1" si="1"/>
        <v>448</v>
      </c>
      <c r="K3" s="2" t="str">
        <f t="shared" ca="1" si="2"/>
        <v>90+ Days</v>
      </c>
      <c r="L3" s="2" t="str">
        <f t="shared" ca="1" si="3"/>
        <v>HIGH RISK</v>
      </c>
      <c r="M3" s="2" t="str">
        <f t="shared" ca="1" si="4"/>
        <v>Immediate Action</v>
      </c>
      <c r="N3" s="2" t="s">
        <v>63</v>
      </c>
      <c r="O3" s="2" t="s">
        <v>67</v>
      </c>
    </row>
    <row r="4" spans="1:15" hidden="1">
      <c r="A4" s="5">
        <v>3</v>
      </c>
      <c r="B4" s="5" t="s">
        <v>38</v>
      </c>
      <c r="C4" s="11">
        <v>46013</v>
      </c>
      <c r="D4" s="5" t="s">
        <v>68</v>
      </c>
      <c r="E4" s="5" t="s">
        <v>66</v>
      </c>
      <c r="F4" s="6">
        <v>383</v>
      </c>
      <c r="G4" s="11">
        <v>46043</v>
      </c>
      <c r="H4" s="6">
        <v>0</v>
      </c>
      <c r="I4" s="6">
        <f t="shared" si="0"/>
        <v>383</v>
      </c>
      <c r="J4" s="5">
        <f t="shared" ca="1" si="1"/>
        <v>121</v>
      </c>
      <c r="K4" s="5" t="str">
        <f t="shared" ca="1" si="2"/>
        <v>90+ Days</v>
      </c>
      <c r="L4" s="5" t="str">
        <f t="shared" ca="1" si="3"/>
        <v>HIGH RISK</v>
      </c>
      <c r="M4" s="5" t="str">
        <f t="shared" ca="1" si="4"/>
        <v>Immediate Action</v>
      </c>
      <c r="N4" s="5" t="s">
        <v>63</v>
      </c>
      <c r="O4" s="109" t="s">
        <v>69</v>
      </c>
    </row>
    <row r="5" spans="1:15" hidden="1">
      <c r="A5" s="2">
        <v>4</v>
      </c>
      <c r="B5" s="2" t="s">
        <v>38</v>
      </c>
      <c r="C5" s="12">
        <v>45996</v>
      </c>
      <c r="D5" s="2" t="s">
        <v>70</v>
      </c>
      <c r="E5" s="2" t="s">
        <v>50</v>
      </c>
      <c r="F5" s="3">
        <v>2852</v>
      </c>
      <c r="G5" s="12">
        <v>46041</v>
      </c>
      <c r="H5" s="3">
        <v>0</v>
      </c>
      <c r="I5" s="3">
        <f t="shared" si="0"/>
        <v>2852</v>
      </c>
      <c r="J5" s="2">
        <f t="shared" ca="1" si="1"/>
        <v>123</v>
      </c>
      <c r="K5" s="2" t="str">
        <f t="shared" ca="1" si="2"/>
        <v>90+ Days</v>
      </c>
      <c r="L5" s="2" t="str">
        <f t="shared" ca="1" si="3"/>
        <v>HIGH RISK</v>
      </c>
      <c r="M5" s="2" t="str">
        <f t="shared" ca="1" si="4"/>
        <v>Immediate Action</v>
      </c>
      <c r="N5" s="2" t="s">
        <v>63</v>
      </c>
      <c r="O5" s="2" t="s">
        <v>71</v>
      </c>
    </row>
    <row r="6" spans="1:15" hidden="1">
      <c r="A6" s="5">
        <v>5</v>
      </c>
      <c r="B6" s="5" t="s">
        <v>38</v>
      </c>
      <c r="C6" s="11">
        <v>46139</v>
      </c>
      <c r="D6" s="5" t="s">
        <v>72</v>
      </c>
      <c r="E6" s="5" t="s">
        <v>50</v>
      </c>
      <c r="F6" s="6">
        <v>196667</v>
      </c>
      <c r="G6" s="11">
        <v>46184</v>
      </c>
      <c r="H6" s="6">
        <v>0</v>
      </c>
      <c r="I6" s="6">
        <f t="shared" si="0"/>
        <v>196667</v>
      </c>
      <c r="J6" s="5">
        <f t="shared" ca="1" si="1"/>
        <v>0</v>
      </c>
      <c r="K6" s="5" t="str">
        <f t="shared" ca="1" si="2"/>
        <v>0-30 Days</v>
      </c>
      <c r="L6" s="5" t="str">
        <f t="shared" ca="1" si="3"/>
        <v>Low</v>
      </c>
      <c r="M6" s="5" t="str">
        <f t="shared" ca="1" si="4"/>
        <v>Normal</v>
      </c>
      <c r="N6" s="5" t="s">
        <v>63</v>
      </c>
      <c r="O6" s="5"/>
    </row>
    <row r="7" spans="1:15" hidden="1">
      <c r="A7" s="2">
        <v>6</v>
      </c>
      <c r="B7" s="2" t="s">
        <v>38</v>
      </c>
      <c r="C7" s="12">
        <v>46144</v>
      </c>
      <c r="D7" s="2" t="s">
        <v>73</v>
      </c>
      <c r="E7" s="2" t="s">
        <v>50</v>
      </c>
      <c r="F7" s="3">
        <v>9035</v>
      </c>
      <c r="G7" s="12">
        <v>46189</v>
      </c>
      <c r="H7" s="3">
        <v>0</v>
      </c>
      <c r="I7" s="3">
        <f t="shared" si="0"/>
        <v>9035</v>
      </c>
      <c r="J7" s="2">
        <f t="shared" ca="1" si="1"/>
        <v>0</v>
      </c>
      <c r="K7" s="2" t="str">
        <f t="shared" ca="1" si="2"/>
        <v>0-30 Days</v>
      </c>
      <c r="L7" s="2" t="str">
        <f t="shared" ca="1" si="3"/>
        <v>Low</v>
      </c>
      <c r="M7" s="2" t="str">
        <f t="shared" ca="1" si="4"/>
        <v>Normal</v>
      </c>
      <c r="N7" s="2" t="s">
        <v>63</v>
      </c>
      <c r="O7" s="2"/>
    </row>
    <row r="8" spans="1:15" hidden="1">
      <c r="A8" s="5">
        <v>7</v>
      </c>
      <c r="B8" s="5" t="s">
        <v>38</v>
      </c>
      <c r="C8" s="11">
        <v>46148</v>
      </c>
      <c r="D8" s="5" t="s">
        <v>74</v>
      </c>
      <c r="E8" s="5" t="s">
        <v>50</v>
      </c>
      <c r="F8" s="6">
        <v>19731</v>
      </c>
      <c r="G8" s="11">
        <v>46193</v>
      </c>
      <c r="H8" s="6">
        <v>0</v>
      </c>
      <c r="I8" s="6">
        <f t="shared" si="0"/>
        <v>19731</v>
      </c>
      <c r="J8" s="5">
        <f t="shared" ca="1" si="1"/>
        <v>0</v>
      </c>
      <c r="K8" s="5" t="str">
        <f t="shared" ca="1" si="2"/>
        <v>0-30 Days</v>
      </c>
      <c r="L8" s="5" t="str">
        <f t="shared" ca="1" si="3"/>
        <v>Low</v>
      </c>
      <c r="M8" s="5" t="str">
        <f t="shared" ca="1" si="4"/>
        <v>Normal</v>
      </c>
      <c r="N8" s="5" t="s">
        <v>63</v>
      </c>
      <c r="O8" s="5"/>
    </row>
    <row r="9" spans="1:15" hidden="1">
      <c r="A9" s="2">
        <v>8</v>
      </c>
      <c r="B9" s="2" t="s">
        <v>38</v>
      </c>
      <c r="C9" s="12">
        <v>46136</v>
      </c>
      <c r="D9" s="2" t="s">
        <v>75</v>
      </c>
      <c r="E9" s="2" t="s">
        <v>60</v>
      </c>
      <c r="F9" s="3">
        <v>13163</v>
      </c>
      <c r="G9" s="12">
        <v>46181</v>
      </c>
      <c r="H9" s="3">
        <v>0</v>
      </c>
      <c r="I9" s="3">
        <f t="shared" si="0"/>
        <v>13163</v>
      </c>
      <c r="J9" s="2">
        <f t="shared" ca="1" si="1"/>
        <v>0</v>
      </c>
      <c r="K9" s="2" t="str">
        <f t="shared" ca="1" si="2"/>
        <v>0-30 Days</v>
      </c>
      <c r="L9" s="2" t="str">
        <f t="shared" ca="1" si="3"/>
        <v>Low</v>
      </c>
      <c r="M9" s="2" t="str">
        <f t="shared" ca="1" si="4"/>
        <v>Normal</v>
      </c>
      <c r="N9" s="2" t="s">
        <v>63</v>
      </c>
      <c r="O9" s="2"/>
    </row>
    <row r="10" spans="1:15" hidden="1">
      <c r="A10" s="5">
        <v>9</v>
      </c>
      <c r="B10" s="5" t="s">
        <v>38</v>
      </c>
      <c r="C10" s="11">
        <v>46142</v>
      </c>
      <c r="D10" s="5" t="s">
        <v>76</v>
      </c>
      <c r="E10" s="5" t="s">
        <v>60</v>
      </c>
      <c r="F10" s="6">
        <v>48979</v>
      </c>
      <c r="G10" s="11">
        <v>46187</v>
      </c>
      <c r="H10" s="6">
        <v>0</v>
      </c>
      <c r="I10" s="6">
        <f t="shared" si="0"/>
        <v>48979</v>
      </c>
      <c r="J10" s="5">
        <f t="shared" ca="1" si="1"/>
        <v>0</v>
      </c>
      <c r="K10" s="5" t="str">
        <f t="shared" ca="1" si="2"/>
        <v>0-30 Days</v>
      </c>
      <c r="L10" s="5" t="str">
        <f t="shared" ca="1" si="3"/>
        <v>Low</v>
      </c>
      <c r="M10" s="5" t="str">
        <f t="shared" ca="1" si="4"/>
        <v>Normal</v>
      </c>
      <c r="N10" s="5" t="s">
        <v>63</v>
      </c>
      <c r="O10" s="5"/>
    </row>
    <row r="11" spans="1:15" hidden="1">
      <c r="A11" s="2">
        <v>10</v>
      </c>
      <c r="B11" s="2" t="s">
        <v>38</v>
      </c>
      <c r="C11" s="12">
        <v>46144</v>
      </c>
      <c r="D11" s="2" t="s">
        <v>77</v>
      </c>
      <c r="E11" s="2" t="s">
        <v>60</v>
      </c>
      <c r="F11" s="3">
        <v>22969</v>
      </c>
      <c r="G11" s="12">
        <v>46189</v>
      </c>
      <c r="H11" s="3">
        <v>0</v>
      </c>
      <c r="I11" s="3">
        <f t="shared" si="0"/>
        <v>22969</v>
      </c>
      <c r="J11" s="2">
        <f t="shared" ca="1" si="1"/>
        <v>0</v>
      </c>
      <c r="K11" s="2" t="str">
        <f t="shared" ca="1" si="2"/>
        <v>0-30 Days</v>
      </c>
      <c r="L11" s="2" t="str">
        <f t="shared" ca="1" si="3"/>
        <v>Low</v>
      </c>
      <c r="M11" s="2" t="str">
        <f t="shared" ca="1" si="4"/>
        <v>Normal</v>
      </c>
      <c r="N11" s="2" t="s">
        <v>63</v>
      </c>
      <c r="O11" s="2"/>
    </row>
    <row r="12" spans="1:15" hidden="1">
      <c r="A12" s="5">
        <v>11</v>
      </c>
      <c r="B12" s="5" t="s">
        <v>38</v>
      </c>
      <c r="C12" s="11">
        <v>46149</v>
      </c>
      <c r="D12" s="5" t="s">
        <v>78</v>
      </c>
      <c r="E12" s="5" t="s">
        <v>60</v>
      </c>
      <c r="F12" s="6">
        <v>14355</v>
      </c>
      <c r="G12" s="11">
        <v>46150</v>
      </c>
      <c r="H12" s="6">
        <v>0</v>
      </c>
      <c r="I12" s="6">
        <f t="shared" si="0"/>
        <v>14355</v>
      </c>
      <c r="J12" s="5">
        <f t="shared" ca="1" si="1"/>
        <v>14</v>
      </c>
      <c r="K12" s="5" t="str">
        <f t="shared" ca="1" si="2"/>
        <v>0-30 Days</v>
      </c>
      <c r="L12" s="5" t="str">
        <f t="shared" ca="1" si="3"/>
        <v>Low</v>
      </c>
      <c r="M12" s="5" t="str">
        <f t="shared" ca="1" si="4"/>
        <v>Normal</v>
      </c>
      <c r="N12" s="5" t="s">
        <v>63</v>
      </c>
      <c r="O12" s="5" t="s">
        <v>79</v>
      </c>
    </row>
    <row r="13" spans="1:15" hidden="1">
      <c r="A13" s="2">
        <v>12</v>
      </c>
      <c r="B13" s="2" t="s">
        <v>38</v>
      </c>
      <c r="C13" s="12">
        <v>46157</v>
      </c>
      <c r="D13" s="2" t="s">
        <v>80</v>
      </c>
      <c r="E13" s="2" t="s">
        <v>60</v>
      </c>
      <c r="F13" s="3">
        <v>3281</v>
      </c>
      <c r="G13" s="12">
        <v>46158</v>
      </c>
      <c r="H13" s="3">
        <v>0</v>
      </c>
      <c r="I13" s="3">
        <f t="shared" si="0"/>
        <v>3281</v>
      </c>
      <c r="J13" s="2">
        <f t="shared" ca="1" si="1"/>
        <v>6</v>
      </c>
      <c r="K13" s="2" t="str">
        <f t="shared" ca="1" si="2"/>
        <v>0-30 Days</v>
      </c>
      <c r="L13" s="2" t="str">
        <f t="shared" ca="1" si="3"/>
        <v>Low</v>
      </c>
      <c r="M13" s="2" t="str">
        <f t="shared" ca="1" si="4"/>
        <v>Normal</v>
      </c>
      <c r="N13" s="2" t="s">
        <v>63</v>
      </c>
      <c r="O13" s="2" t="s">
        <v>79</v>
      </c>
    </row>
    <row r="14" spans="1:15" hidden="1">
      <c r="A14" s="5">
        <v>13</v>
      </c>
      <c r="B14" s="5" t="s">
        <v>38</v>
      </c>
      <c r="C14" s="11">
        <v>46158</v>
      </c>
      <c r="D14" s="5" t="s">
        <v>81</v>
      </c>
      <c r="E14" s="5" t="s">
        <v>60</v>
      </c>
      <c r="F14" s="6">
        <v>8756</v>
      </c>
      <c r="G14" s="11">
        <v>46159</v>
      </c>
      <c r="H14" s="6">
        <v>0</v>
      </c>
      <c r="I14" s="6">
        <f t="shared" si="0"/>
        <v>8756</v>
      </c>
      <c r="J14" s="5">
        <f t="shared" ca="1" si="1"/>
        <v>5</v>
      </c>
      <c r="K14" s="5" t="str">
        <f t="shared" ca="1" si="2"/>
        <v>0-30 Days</v>
      </c>
      <c r="L14" s="5" t="str">
        <f t="shared" ca="1" si="3"/>
        <v>Low</v>
      </c>
      <c r="M14" s="5" t="str">
        <f t="shared" ca="1" si="4"/>
        <v>Normal</v>
      </c>
      <c r="N14" s="5" t="s">
        <v>63</v>
      </c>
      <c r="O14" s="5" t="s">
        <v>79</v>
      </c>
    </row>
    <row r="15" spans="1:15" hidden="1">
      <c r="A15" s="2">
        <v>14</v>
      </c>
      <c r="B15" s="2" t="s">
        <v>38</v>
      </c>
      <c r="C15" s="12">
        <v>45705</v>
      </c>
      <c r="D15" s="2" t="s">
        <v>82</v>
      </c>
      <c r="E15" s="2" t="s">
        <v>83</v>
      </c>
      <c r="F15" s="3">
        <v>560</v>
      </c>
      <c r="G15" s="12">
        <v>45705</v>
      </c>
      <c r="H15" s="3">
        <v>0</v>
      </c>
      <c r="I15" s="3">
        <f t="shared" si="0"/>
        <v>560</v>
      </c>
      <c r="J15" s="2">
        <f t="shared" ca="1" si="1"/>
        <v>459</v>
      </c>
      <c r="K15" s="2" t="str">
        <f t="shared" ca="1" si="2"/>
        <v>90+ Days</v>
      </c>
      <c r="L15" s="2" t="str">
        <f t="shared" ca="1" si="3"/>
        <v>HIGH RISK</v>
      </c>
      <c r="M15" s="2" t="str">
        <f t="shared" ca="1" si="4"/>
        <v>Immediate Action</v>
      </c>
      <c r="N15" s="2" t="s">
        <v>63</v>
      </c>
      <c r="O15" s="2" t="s">
        <v>84</v>
      </c>
    </row>
    <row r="16" spans="1:15" hidden="1">
      <c r="A16" s="5">
        <v>15</v>
      </c>
      <c r="B16" s="5" t="s">
        <v>38</v>
      </c>
      <c r="C16" s="11">
        <v>45708</v>
      </c>
      <c r="D16" s="5" t="s">
        <v>85</v>
      </c>
      <c r="E16" s="5" t="s">
        <v>83</v>
      </c>
      <c r="F16" s="6">
        <v>103.36</v>
      </c>
      <c r="G16" s="11">
        <v>45708</v>
      </c>
      <c r="H16" s="6">
        <v>0</v>
      </c>
      <c r="I16" s="6">
        <f t="shared" si="0"/>
        <v>103.36</v>
      </c>
      <c r="J16" s="5">
        <f t="shared" ca="1" si="1"/>
        <v>456</v>
      </c>
      <c r="K16" s="5" t="str">
        <f t="shared" ca="1" si="2"/>
        <v>90+ Days</v>
      </c>
      <c r="L16" s="5" t="str">
        <f t="shared" ca="1" si="3"/>
        <v>HIGH RISK</v>
      </c>
      <c r="M16" s="5" t="str">
        <f t="shared" ca="1" si="4"/>
        <v>Immediate Action</v>
      </c>
      <c r="N16" s="5" t="s">
        <v>63</v>
      </c>
      <c r="O16" s="5" t="s">
        <v>84</v>
      </c>
    </row>
    <row r="17" spans="1:15" hidden="1">
      <c r="A17" s="2">
        <v>16</v>
      </c>
      <c r="B17" s="2" t="s">
        <v>38</v>
      </c>
      <c r="C17" s="12">
        <v>46144</v>
      </c>
      <c r="D17" s="2" t="s">
        <v>86</v>
      </c>
      <c r="E17" s="2" t="s">
        <v>87</v>
      </c>
      <c r="F17" s="3">
        <v>14781</v>
      </c>
      <c r="G17" s="12">
        <v>46174</v>
      </c>
      <c r="H17" s="3">
        <v>0</v>
      </c>
      <c r="I17" s="3">
        <f t="shared" si="0"/>
        <v>14781</v>
      </c>
      <c r="J17" s="2">
        <f t="shared" ca="1" si="1"/>
        <v>0</v>
      </c>
      <c r="K17" s="2" t="str">
        <f t="shared" ca="1" si="2"/>
        <v>0-30 Days</v>
      </c>
      <c r="L17" s="2" t="str">
        <f t="shared" ca="1" si="3"/>
        <v>Low</v>
      </c>
      <c r="M17" s="2" t="str">
        <f t="shared" ca="1" si="4"/>
        <v>Normal</v>
      </c>
      <c r="N17" s="2" t="s">
        <v>63</v>
      </c>
      <c r="O17" s="2"/>
    </row>
    <row r="18" spans="1:15" hidden="1">
      <c r="A18" s="5">
        <v>17</v>
      </c>
      <c r="B18" s="5" t="s">
        <v>38</v>
      </c>
      <c r="C18" s="11">
        <v>46150</v>
      </c>
      <c r="D18" s="5" t="s">
        <v>88</v>
      </c>
      <c r="E18" s="5" t="s">
        <v>87</v>
      </c>
      <c r="F18" s="6">
        <v>12783</v>
      </c>
      <c r="G18" s="11">
        <v>46151</v>
      </c>
      <c r="H18" s="6">
        <v>12783</v>
      </c>
      <c r="I18" s="6">
        <f t="shared" si="0"/>
        <v>0</v>
      </c>
      <c r="J18" s="5">
        <f t="shared" ca="1" si="1"/>
        <v>13</v>
      </c>
      <c r="K18" s="5" t="str">
        <f t="shared" si="2"/>
        <v>Current</v>
      </c>
      <c r="L18" s="5" t="str">
        <f t="shared" si="3"/>
        <v>-</v>
      </c>
      <c r="M18" s="5" t="str">
        <f t="shared" si="4"/>
        <v>-</v>
      </c>
      <c r="N18" s="5" t="s">
        <v>63</v>
      </c>
      <c r="O18" s="5" t="s">
        <v>89</v>
      </c>
    </row>
    <row r="19" spans="1:15" hidden="1">
      <c r="A19" s="2">
        <v>18</v>
      </c>
      <c r="B19" s="2" t="s">
        <v>38</v>
      </c>
      <c r="C19" s="12">
        <v>45667</v>
      </c>
      <c r="D19" s="2" t="s">
        <v>90</v>
      </c>
      <c r="E19" s="2" t="s">
        <v>43</v>
      </c>
      <c r="F19" s="3">
        <v>92000</v>
      </c>
      <c r="G19" s="12">
        <v>45667</v>
      </c>
      <c r="H19" s="3">
        <v>0</v>
      </c>
      <c r="I19" s="3">
        <f t="shared" si="0"/>
        <v>92000</v>
      </c>
      <c r="J19" s="2">
        <f t="shared" ca="1" si="1"/>
        <v>497</v>
      </c>
      <c r="K19" s="2" t="str">
        <f t="shared" ca="1" si="2"/>
        <v>90+ Days</v>
      </c>
      <c r="L19" s="2" t="str">
        <f t="shared" ca="1" si="3"/>
        <v>HIGH RISK</v>
      </c>
      <c r="M19" s="2" t="str">
        <f t="shared" ca="1" si="4"/>
        <v>Immediate Action</v>
      </c>
      <c r="N19" s="2" t="s">
        <v>63</v>
      </c>
      <c r="O19" s="2" t="s">
        <v>91</v>
      </c>
    </row>
    <row r="20" spans="1:15" hidden="1">
      <c r="A20" s="5">
        <v>19</v>
      </c>
      <c r="B20" s="5" t="s">
        <v>38</v>
      </c>
      <c r="C20" s="11">
        <v>46044</v>
      </c>
      <c r="D20" s="5" t="s">
        <v>92</v>
      </c>
      <c r="E20" s="5" t="s">
        <v>43</v>
      </c>
      <c r="F20" s="6">
        <v>74393</v>
      </c>
      <c r="G20" s="11">
        <v>46089</v>
      </c>
      <c r="H20" s="6">
        <v>0</v>
      </c>
      <c r="I20" s="6">
        <f t="shared" si="0"/>
        <v>74393</v>
      </c>
      <c r="J20" s="5">
        <f t="shared" ca="1" si="1"/>
        <v>75</v>
      </c>
      <c r="K20" s="5" t="str">
        <f t="shared" ca="1" si="2"/>
        <v>61-90 Days</v>
      </c>
      <c r="L20" s="5" t="str">
        <f t="shared" ca="1" si="3"/>
        <v>Medium</v>
      </c>
      <c r="M20" s="5" t="str">
        <f t="shared" ca="1" si="4"/>
        <v>Urgent</v>
      </c>
      <c r="N20" s="5" t="s">
        <v>63</v>
      </c>
      <c r="O20" s="5" t="s">
        <v>93</v>
      </c>
    </row>
    <row r="21" spans="1:15" hidden="1">
      <c r="A21" s="2">
        <v>20</v>
      </c>
      <c r="B21" s="2" t="s">
        <v>38</v>
      </c>
      <c r="C21" s="12">
        <v>46045</v>
      </c>
      <c r="D21" s="2" t="s">
        <v>94</v>
      </c>
      <c r="E21" s="2" t="s">
        <v>43</v>
      </c>
      <c r="F21" s="3">
        <v>263334</v>
      </c>
      <c r="G21" s="12">
        <v>46090</v>
      </c>
      <c r="H21" s="3">
        <v>0</v>
      </c>
      <c r="I21" s="3">
        <f t="shared" si="0"/>
        <v>263334</v>
      </c>
      <c r="J21" s="2">
        <f t="shared" ca="1" si="1"/>
        <v>74</v>
      </c>
      <c r="K21" s="2" t="str">
        <f t="shared" ca="1" si="2"/>
        <v>61-90 Days</v>
      </c>
      <c r="L21" s="2" t="str">
        <f t="shared" ca="1" si="3"/>
        <v>Medium</v>
      </c>
      <c r="M21" s="2" t="str">
        <f t="shared" ca="1" si="4"/>
        <v>Urgent</v>
      </c>
      <c r="N21" s="2" t="s">
        <v>63</v>
      </c>
      <c r="O21" s="2" t="s">
        <v>93</v>
      </c>
    </row>
    <row r="22" spans="1:15" hidden="1">
      <c r="A22" s="5">
        <v>21</v>
      </c>
      <c r="B22" s="5" t="s">
        <v>38</v>
      </c>
      <c r="C22" s="11">
        <v>46045</v>
      </c>
      <c r="D22" s="5" t="s">
        <v>95</v>
      </c>
      <c r="E22" s="5" t="s">
        <v>43</v>
      </c>
      <c r="F22" s="6">
        <v>60364</v>
      </c>
      <c r="G22" s="11">
        <v>46090</v>
      </c>
      <c r="H22" s="6">
        <v>0</v>
      </c>
      <c r="I22" s="6">
        <f t="shared" si="0"/>
        <v>60364</v>
      </c>
      <c r="J22" s="5">
        <f t="shared" ca="1" si="1"/>
        <v>74</v>
      </c>
      <c r="K22" s="5" t="str">
        <f t="shared" ca="1" si="2"/>
        <v>61-90 Days</v>
      </c>
      <c r="L22" s="5" t="str">
        <f t="shared" ca="1" si="3"/>
        <v>Medium</v>
      </c>
      <c r="M22" s="5" t="str">
        <f t="shared" ca="1" si="4"/>
        <v>Urgent</v>
      </c>
      <c r="N22" s="5" t="s">
        <v>63</v>
      </c>
      <c r="O22" s="5" t="s">
        <v>93</v>
      </c>
    </row>
    <row r="23" spans="1:15" hidden="1">
      <c r="A23" s="2">
        <v>22</v>
      </c>
      <c r="B23" s="2" t="s">
        <v>38</v>
      </c>
      <c r="C23" s="12">
        <v>46045</v>
      </c>
      <c r="D23" s="2" t="s">
        <v>96</v>
      </c>
      <c r="E23" s="2" t="s">
        <v>43</v>
      </c>
      <c r="F23" s="3">
        <v>30132</v>
      </c>
      <c r="G23" s="12">
        <v>46090</v>
      </c>
      <c r="H23" s="3">
        <v>0</v>
      </c>
      <c r="I23" s="3">
        <f t="shared" si="0"/>
        <v>30132</v>
      </c>
      <c r="J23" s="2">
        <f t="shared" ca="1" si="1"/>
        <v>74</v>
      </c>
      <c r="K23" s="2" t="str">
        <f t="shared" ca="1" si="2"/>
        <v>61-90 Days</v>
      </c>
      <c r="L23" s="2" t="str">
        <f t="shared" ca="1" si="3"/>
        <v>Medium</v>
      </c>
      <c r="M23" s="2" t="str">
        <f t="shared" ca="1" si="4"/>
        <v>Urgent</v>
      </c>
      <c r="N23" s="2" t="s">
        <v>63</v>
      </c>
      <c r="O23" s="2" t="s">
        <v>93</v>
      </c>
    </row>
    <row r="24" spans="1:15" hidden="1">
      <c r="A24" s="5">
        <v>23</v>
      </c>
      <c r="B24" s="5" t="s">
        <v>38</v>
      </c>
      <c r="C24" s="11">
        <v>46055</v>
      </c>
      <c r="D24" s="5" t="s">
        <v>97</v>
      </c>
      <c r="E24" s="5" t="s">
        <v>43</v>
      </c>
      <c r="F24" s="6">
        <v>304908</v>
      </c>
      <c r="G24" s="11">
        <v>46100</v>
      </c>
      <c r="H24" s="6">
        <v>0</v>
      </c>
      <c r="I24" s="6">
        <f t="shared" si="0"/>
        <v>304908</v>
      </c>
      <c r="J24" s="5">
        <f t="shared" ca="1" si="1"/>
        <v>64</v>
      </c>
      <c r="K24" s="5" t="str">
        <f t="shared" ca="1" si="2"/>
        <v>61-90 Days</v>
      </c>
      <c r="L24" s="5" t="str">
        <f t="shared" ca="1" si="3"/>
        <v>Medium</v>
      </c>
      <c r="M24" s="5" t="str">
        <f t="shared" ca="1" si="4"/>
        <v>Urgent</v>
      </c>
      <c r="N24" s="5" t="s">
        <v>63</v>
      </c>
      <c r="O24" s="5" t="s">
        <v>93</v>
      </c>
    </row>
    <row r="25" spans="1:15" hidden="1">
      <c r="A25" s="2">
        <v>24</v>
      </c>
      <c r="B25" s="2" t="s">
        <v>38</v>
      </c>
      <c r="C25" s="12">
        <v>46067</v>
      </c>
      <c r="D25" s="2" t="s">
        <v>98</v>
      </c>
      <c r="E25" s="2" t="s">
        <v>43</v>
      </c>
      <c r="F25" s="3">
        <v>51332</v>
      </c>
      <c r="G25" s="12">
        <v>46112</v>
      </c>
      <c r="H25" s="3">
        <v>0</v>
      </c>
      <c r="I25" s="3">
        <f t="shared" si="0"/>
        <v>51332</v>
      </c>
      <c r="J25" s="2">
        <f t="shared" ca="1" si="1"/>
        <v>52</v>
      </c>
      <c r="K25" s="2" t="str">
        <f t="shared" ca="1" si="2"/>
        <v>31-60 Days</v>
      </c>
      <c r="L25" s="2" t="str">
        <f t="shared" ca="1" si="3"/>
        <v>Low-Medium</v>
      </c>
      <c r="M25" s="2" t="str">
        <f t="shared" ca="1" si="4"/>
        <v>Medium</v>
      </c>
      <c r="N25" s="2" t="s">
        <v>63</v>
      </c>
      <c r="O25" s="2" t="s">
        <v>93</v>
      </c>
    </row>
    <row r="26" spans="1:15" hidden="1">
      <c r="A26" s="5">
        <v>25</v>
      </c>
      <c r="B26" s="5" t="s">
        <v>38</v>
      </c>
      <c r="C26" s="11">
        <v>46076</v>
      </c>
      <c r="D26" s="5" t="s">
        <v>99</v>
      </c>
      <c r="E26" s="5" t="s">
        <v>43</v>
      </c>
      <c r="F26" s="6">
        <v>11979</v>
      </c>
      <c r="G26" s="11">
        <v>46121</v>
      </c>
      <c r="H26" s="6">
        <v>0</v>
      </c>
      <c r="I26" s="6">
        <f t="shared" si="0"/>
        <v>11979</v>
      </c>
      <c r="J26" s="5">
        <f t="shared" ca="1" si="1"/>
        <v>43</v>
      </c>
      <c r="K26" s="5" t="str">
        <f t="shared" ca="1" si="2"/>
        <v>31-60 Days</v>
      </c>
      <c r="L26" s="5" t="str">
        <f t="shared" ca="1" si="3"/>
        <v>Low-Medium</v>
      </c>
      <c r="M26" s="5" t="str">
        <f t="shared" ca="1" si="4"/>
        <v>Medium</v>
      </c>
      <c r="N26" s="5" t="s">
        <v>63</v>
      </c>
      <c r="O26" s="5" t="s">
        <v>93</v>
      </c>
    </row>
    <row r="27" spans="1:15" hidden="1">
      <c r="A27" s="2">
        <v>26</v>
      </c>
      <c r="B27" s="2" t="s">
        <v>38</v>
      </c>
      <c r="C27" s="12">
        <v>46076</v>
      </c>
      <c r="D27" s="2" t="s">
        <v>100</v>
      </c>
      <c r="E27" s="2" t="s">
        <v>43</v>
      </c>
      <c r="F27" s="3">
        <v>6291</v>
      </c>
      <c r="G27" s="12">
        <v>46121</v>
      </c>
      <c r="H27" s="3">
        <v>0</v>
      </c>
      <c r="I27" s="3">
        <f t="shared" si="0"/>
        <v>6291</v>
      </c>
      <c r="J27" s="2">
        <f t="shared" ca="1" si="1"/>
        <v>43</v>
      </c>
      <c r="K27" s="2" t="str">
        <f t="shared" ca="1" si="2"/>
        <v>31-60 Days</v>
      </c>
      <c r="L27" s="2" t="str">
        <f t="shared" ca="1" si="3"/>
        <v>Low-Medium</v>
      </c>
      <c r="M27" s="2" t="str">
        <f t="shared" ca="1" si="4"/>
        <v>Medium</v>
      </c>
      <c r="N27" s="2" t="s">
        <v>63</v>
      </c>
      <c r="O27" s="2" t="s">
        <v>93</v>
      </c>
    </row>
    <row r="28" spans="1:15" hidden="1">
      <c r="A28" s="5">
        <v>27</v>
      </c>
      <c r="B28" s="5" t="s">
        <v>38</v>
      </c>
      <c r="C28" s="11">
        <v>46076</v>
      </c>
      <c r="D28" s="5" t="s">
        <v>101</v>
      </c>
      <c r="E28" s="5" t="s">
        <v>43</v>
      </c>
      <c r="F28" s="6">
        <v>7296</v>
      </c>
      <c r="G28" s="11">
        <v>46121</v>
      </c>
      <c r="H28" s="6">
        <v>0</v>
      </c>
      <c r="I28" s="6">
        <f t="shared" si="0"/>
        <v>7296</v>
      </c>
      <c r="J28" s="5">
        <f t="shared" ca="1" si="1"/>
        <v>43</v>
      </c>
      <c r="K28" s="5" t="str">
        <f t="shared" ca="1" si="2"/>
        <v>31-60 Days</v>
      </c>
      <c r="L28" s="5" t="str">
        <f t="shared" ca="1" si="3"/>
        <v>Low-Medium</v>
      </c>
      <c r="M28" s="5" t="str">
        <f t="shared" ca="1" si="4"/>
        <v>Medium</v>
      </c>
      <c r="N28" s="5" t="s">
        <v>63</v>
      </c>
      <c r="O28" s="5" t="s">
        <v>93</v>
      </c>
    </row>
    <row r="29" spans="1:15" hidden="1">
      <c r="A29" s="2">
        <v>28</v>
      </c>
      <c r="B29" s="2" t="s">
        <v>38</v>
      </c>
      <c r="C29" s="12">
        <v>46090</v>
      </c>
      <c r="D29" s="2" t="s">
        <v>102</v>
      </c>
      <c r="E29" s="2" t="s">
        <v>43</v>
      </c>
      <c r="F29" s="3">
        <v>17417</v>
      </c>
      <c r="G29" s="12">
        <v>46135</v>
      </c>
      <c r="H29" s="3">
        <v>0</v>
      </c>
      <c r="I29" s="3">
        <f t="shared" si="0"/>
        <v>17417</v>
      </c>
      <c r="J29" s="2">
        <f t="shared" ca="1" si="1"/>
        <v>29</v>
      </c>
      <c r="K29" s="2" t="str">
        <f t="shared" ca="1" si="2"/>
        <v>0-30 Days</v>
      </c>
      <c r="L29" s="2" t="str">
        <f t="shared" ca="1" si="3"/>
        <v>Low</v>
      </c>
      <c r="M29" s="2" t="str">
        <f t="shared" ca="1" si="4"/>
        <v>Normal</v>
      </c>
      <c r="N29" s="2" t="s">
        <v>63</v>
      </c>
      <c r="O29" s="2" t="s">
        <v>93</v>
      </c>
    </row>
    <row r="30" spans="1:15" hidden="1">
      <c r="A30" s="5">
        <v>29</v>
      </c>
      <c r="B30" s="5" t="s">
        <v>38</v>
      </c>
      <c r="C30" s="11">
        <v>46121</v>
      </c>
      <c r="D30" s="5" t="s">
        <v>103</v>
      </c>
      <c r="E30" s="5" t="s">
        <v>43</v>
      </c>
      <c r="F30" s="6">
        <v>188677</v>
      </c>
      <c r="G30" s="11">
        <v>46166</v>
      </c>
      <c r="H30" s="6">
        <v>0</v>
      </c>
      <c r="I30" s="6">
        <f t="shared" si="0"/>
        <v>188677</v>
      </c>
      <c r="J30" s="5">
        <f t="shared" ca="1" si="1"/>
        <v>0</v>
      </c>
      <c r="K30" s="5" t="str">
        <f t="shared" ca="1" si="2"/>
        <v>0-30 Days</v>
      </c>
      <c r="L30" s="5" t="str">
        <f t="shared" ca="1" si="3"/>
        <v>Low</v>
      </c>
      <c r="M30" s="5" t="str">
        <f t="shared" ca="1" si="4"/>
        <v>Normal</v>
      </c>
      <c r="N30" s="5" t="s">
        <v>63</v>
      </c>
      <c r="O30" s="5" t="s">
        <v>93</v>
      </c>
    </row>
    <row r="31" spans="1:15" hidden="1">
      <c r="A31" s="2">
        <v>30</v>
      </c>
      <c r="B31" s="2" t="s">
        <v>38</v>
      </c>
      <c r="C31" s="12">
        <v>46121</v>
      </c>
      <c r="D31" s="2" t="s">
        <v>104</v>
      </c>
      <c r="E31" s="2" t="s">
        <v>43</v>
      </c>
      <c r="F31" s="3">
        <v>125895</v>
      </c>
      <c r="G31" s="12">
        <v>46166</v>
      </c>
      <c r="H31" s="3">
        <v>0</v>
      </c>
      <c r="I31" s="3">
        <f t="shared" si="0"/>
        <v>125895</v>
      </c>
      <c r="J31" s="2">
        <f t="shared" ca="1" si="1"/>
        <v>0</v>
      </c>
      <c r="K31" s="2" t="str">
        <f t="shared" ca="1" si="2"/>
        <v>0-30 Days</v>
      </c>
      <c r="L31" s="2" t="str">
        <f t="shared" ca="1" si="3"/>
        <v>Low</v>
      </c>
      <c r="M31" s="2" t="str">
        <f t="shared" ca="1" si="4"/>
        <v>Normal</v>
      </c>
      <c r="N31" s="2" t="s">
        <v>63</v>
      </c>
      <c r="O31" s="2" t="s">
        <v>93</v>
      </c>
    </row>
    <row r="32" spans="1:15" hidden="1">
      <c r="A32" s="5">
        <v>31</v>
      </c>
      <c r="B32" s="5" t="s">
        <v>38</v>
      </c>
      <c r="C32" s="11">
        <v>46121</v>
      </c>
      <c r="D32" s="5" t="s">
        <v>105</v>
      </c>
      <c r="E32" s="5" t="s">
        <v>43</v>
      </c>
      <c r="F32" s="6">
        <v>176081</v>
      </c>
      <c r="G32" s="11">
        <v>46166</v>
      </c>
      <c r="H32" s="6">
        <v>0</v>
      </c>
      <c r="I32" s="6">
        <f t="shared" si="0"/>
        <v>176081</v>
      </c>
      <c r="J32" s="5">
        <f t="shared" ca="1" si="1"/>
        <v>0</v>
      </c>
      <c r="K32" s="5" t="str">
        <f t="shared" ca="1" si="2"/>
        <v>0-30 Days</v>
      </c>
      <c r="L32" s="5" t="str">
        <f t="shared" ca="1" si="3"/>
        <v>Low</v>
      </c>
      <c r="M32" s="5" t="str">
        <f t="shared" ca="1" si="4"/>
        <v>Normal</v>
      </c>
      <c r="N32" s="5" t="s">
        <v>63</v>
      </c>
      <c r="O32" s="5" t="s">
        <v>93</v>
      </c>
    </row>
    <row r="33" spans="1:15" hidden="1">
      <c r="A33" s="2">
        <v>32</v>
      </c>
      <c r="B33" s="2" t="s">
        <v>38</v>
      </c>
      <c r="C33" s="12">
        <v>46121</v>
      </c>
      <c r="D33" s="2" t="s">
        <v>106</v>
      </c>
      <c r="E33" s="2" t="s">
        <v>43</v>
      </c>
      <c r="F33" s="3">
        <v>101373</v>
      </c>
      <c r="G33" s="12">
        <v>46166</v>
      </c>
      <c r="H33" s="3">
        <v>0</v>
      </c>
      <c r="I33" s="3">
        <f t="shared" si="0"/>
        <v>101373</v>
      </c>
      <c r="J33" s="2">
        <f t="shared" ca="1" si="1"/>
        <v>0</v>
      </c>
      <c r="K33" s="2" t="str">
        <f t="shared" ca="1" si="2"/>
        <v>0-30 Days</v>
      </c>
      <c r="L33" s="2" t="str">
        <f t="shared" ca="1" si="3"/>
        <v>Low</v>
      </c>
      <c r="M33" s="2" t="str">
        <f t="shared" ca="1" si="4"/>
        <v>Normal</v>
      </c>
      <c r="N33" s="2" t="s">
        <v>63</v>
      </c>
      <c r="O33" s="2" t="s">
        <v>93</v>
      </c>
    </row>
    <row r="34" spans="1:15" hidden="1">
      <c r="A34" s="5">
        <v>33</v>
      </c>
      <c r="B34" s="5" t="s">
        <v>38</v>
      </c>
      <c r="C34" s="11">
        <v>46121</v>
      </c>
      <c r="D34" s="5" t="s">
        <v>107</v>
      </c>
      <c r="E34" s="5" t="s">
        <v>43</v>
      </c>
      <c r="F34" s="6">
        <v>16740</v>
      </c>
      <c r="G34" s="11">
        <v>46166</v>
      </c>
      <c r="H34" s="6">
        <v>0</v>
      </c>
      <c r="I34" s="6">
        <f t="shared" si="0"/>
        <v>16740</v>
      </c>
      <c r="J34" s="5">
        <f t="shared" ca="1" si="1"/>
        <v>0</v>
      </c>
      <c r="K34" s="5" t="str">
        <f t="shared" ca="1" si="2"/>
        <v>0-30 Days</v>
      </c>
      <c r="L34" s="5" t="str">
        <f t="shared" ca="1" si="3"/>
        <v>Low</v>
      </c>
      <c r="M34" s="5" t="str">
        <f t="shared" ca="1" si="4"/>
        <v>Normal</v>
      </c>
      <c r="N34" s="5" t="s">
        <v>63</v>
      </c>
      <c r="O34" s="5" t="s">
        <v>93</v>
      </c>
    </row>
    <row r="35" spans="1:15" hidden="1">
      <c r="A35" s="2">
        <v>34</v>
      </c>
      <c r="B35" s="2" t="s">
        <v>38</v>
      </c>
      <c r="C35" s="12">
        <v>46121</v>
      </c>
      <c r="D35" s="2" t="s">
        <v>108</v>
      </c>
      <c r="E35" s="2" t="s">
        <v>43</v>
      </c>
      <c r="F35" s="3">
        <v>34833</v>
      </c>
      <c r="G35" s="12">
        <v>46166</v>
      </c>
      <c r="H35" s="3">
        <v>0</v>
      </c>
      <c r="I35" s="3">
        <f t="shared" si="0"/>
        <v>34833</v>
      </c>
      <c r="J35" s="2">
        <f t="shared" ca="1" si="1"/>
        <v>0</v>
      </c>
      <c r="K35" s="2" t="str">
        <f t="shared" ca="1" si="2"/>
        <v>0-30 Days</v>
      </c>
      <c r="L35" s="2" t="str">
        <f t="shared" ca="1" si="3"/>
        <v>Low</v>
      </c>
      <c r="M35" s="2" t="str">
        <f t="shared" ca="1" si="4"/>
        <v>Normal</v>
      </c>
      <c r="N35" s="2" t="s">
        <v>63</v>
      </c>
      <c r="O35" s="2" t="s">
        <v>93</v>
      </c>
    </row>
    <row r="36" spans="1:15" hidden="1">
      <c r="A36" s="5">
        <v>35</v>
      </c>
      <c r="B36" s="5" t="s">
        <v>38</v>
      </c>
      <c r="C36" s="11">
        <v>46121</v>
      </c>
      <c r="D36" s="5" t="s">
        <v>109</v>
      </c>
      <c r="E36" s="5" t="s">
        <v>43</v>
      </c>
      <c r="F36" s="6">
        <v>743415</v>
      </c>
      <c r="G36" s="11">
        <v>46166</v>
      </c>
      <c r="H36" s="6">
        <v>0</v>
      </c>
      <c r="I36" s="6">
        <f t="shared" si="0"/>
        <v>743415</v>
      </c>
      <c r="J36" s="5">
        <f t="shared" ca="1" si="1"/>
        <v>0</v>
      </c>
      <c r="K36" s="5" t="str">
        <f t="shared" ca="1" si="2"/>
        <v>0-30 Days</v>
      </c>
      <c r="L36" s="5" t="str">
        <f t="shared" ca="1" si="3"/>
        <v>Low</v>
      </c>
      <c r="M36" s="5" t="str">
        <f t="shared" ca="1" si="4"/>
        <v>Normal</v>
      </c>
      <c r="N36" s="5" t="s">
        <v>63</v>
      </c>
      <c r="O36" s="5" t="s">
        <v>93</v>
      </c>
    </row>
    <row r="37" spans="1:15" hidden="1">
      <c r="A37" s="2">
        <v>36</v>
      </c>
      <c r="B37" s="2" t="s">
        <v>38</v>
      </c>
      <c r="C37" s="12">
        <v>46121</v>
      </c>
      <c r="D37" s="2" t="s">
        <v>110</v>
      </c>
      <c r="E37" s="2" t="s">
        <v>43</v>
      </c>
      <c r="F37" s="3">
        <v>371398</v>
      </c>
      <c r="G37" s="12">
        <v>46166</v>
      </c>
      <c r="H37" s="3">
        <v>0</v>
      </c>
      <c r="I37" s="3">
        <f t="shared" si="0"/>
        <v>371398</v>
      </c>
      <c r="J37" s="2">
        <f t="shared" ca="1" si="1"/>
        <v>0</v>
      </c>
      <c r="K37" s="2" t="str">
        <f t="shared" ca="1" si="2"/>
        <v>0-30 Days</v>
      </c>
      <c r="L37" s="2" t="str">
        <f t="shared" ca="1" si="3"/>
        <v>Low</v>
      </c>
      <c r="M37" s="2" t="str">
        <f t="shared" ca="1" si="4"/>
        <v>Normal</v>
      </c>
      <c r="N37" s="2" t="s">
        <v>63</v>
      </c>
      <c r="O37" s="2" t="s">
        <v>93</v>
      </c>
    </row>
    <row r="38" spans="1:15" hidden="1">
      <c r="A38" s="5">
        <v>37</v>
      </c>
      <c r="B38" s="5" t="s">
        <v>38</v>
      </c>
      <c r="C38" s="11">
        <v>46137</v>
      </c>
      <c r="D38" s="5" t="s">
        <v>111</v>
      </c>
      <c r="E38" s="5" t="s">
        <v>43</v>
      </c>
      <c r="F38" s="6">
        <v>111145</v>
      </c>
      <c r="G38" s="11">
        <v>46182</v>
      </c>
      <c r="H38" s="6">
        <v>0</v>
      </c>
      <c r="I38" s="6">
        <f t="shared" si="0"/>
        <v>111145</v>
      </c>
      <c r="J38" s="5">
        <f t="shared" ca="1" si="1"/>
        <v>0</v>
      </c>
      <c r="K38" s="5" t="str">
        <f t="shared" ca="1" si="2"/>
        <v>0-30 Days</v>
      </c>
      <c r="L38" s="5" t="str">
        <f t="shared" ca="1" si="3"/>
        <v>Low</v>
      </c>
      <c r="M38" s="5" t="str">
        <f t="shared" ca="1" si="4"/>
        <v>Normal</v>
      </c>
      <c r="N38" s="5" t="s">
        <v>63</v>
      </c>
      <c r="O38" s="5" t="s">
        <v>93</v>
      </c>
    </row>
    <row r="39" spans="1:15" hidden="1">
      <c r="A39" s="2">
        <v>38</v>
      </c>
      <c r="B39" s="2" t="s">
        <v>38</v>
      </c>
      <c r="C39" s="12">
        <v>46137</v>
      </c>
      <c r="D39" s="2" t="s">
        <v>112</v>
      </c>
      <c r="E39" s="2" t="s">
        <v>43</v>
      </c>
      <c r="F39" s="3">
        <v>119259</v>
      </c>
      <c r="G39" s="12">
        <v>46182</v>
      </c>
      <c r="H39" s="3">
        <v>0</v>
      </c>
      <c r="I39" s="3">
        <f t="shared" si="0"/>
        <v>119259</v>
      </c>
      <c r="J39" s="2">
        <f t="shared" ca="1" si="1"/>
        <v>0</v>
      </c>
      <c r="K39" s="2" t="str">
        <f t="shared" ca="1" si="2"/>
        <v>0-30 Days</v>
      </c>
      <c r="L39" s="2" t="str">
        <f t="shared" ca="1" si="3"/>
        <v>Low</v>
      </c>
      <c r="M39" s="2" t="str">
        <f t="shared" ca="1" si="4"/>
        <v>Normal</v>
      </c>
      <c r="N39" s="2" t="s">
        <v>63</v>
      </c>
      <c r="O39" s="2" t="s">
        <v>93</v>
      </c>
    </row>
    <row r="40" spans="1:15" hidden="1">
      <c r="A40" s="5">
        <v>39</v>
      </c>
      <c r="B40" s="5" t="s">
        <v>38</v>
      </c>
      <c r="C40" s="11">
        <v>46139</v>
      </c>
      <c r="D40" s="5" t="s">
        <v>113</v>
      </c>
      <c r="E40" s="5" t="s">
        <v>43</v>
      </c>
      <c r="F40" s="6">
        <v>547720</v>
      </c>
      <c r="G40" s="11">
        <v>46140</v>
      </c>
      <c r="H40" s="6">
        <v>0</v>
      </c>
      <c r="I40" s="6">
        <f t="shared" si="0"/>
        <v>547720</v>
      </c>
      <c r="J40" s="5">
        <f t="shared" ca="1" si="1"/>
        <v>24</v>
      </c>
      <c r="K40" s="5" t="str">
        <f t="shared" ca="1" si="2"/>
        <v>0-30 Days</v>
      </c>
      <c r="L40" s="5" t="str">
        <f t="shared" ca="1" si="3"/>
        <v>Low</v>
      </c>
      <c r="M40" s="5" t="str">
        <f t="shared" ca="1" si="4"/>
        <v>Normal</v>
      </c>
      <c r="N40" s="5" t="s">
        <v>63</v>
      </c>
      <c r="O40" s="5" t="s">
        <v>93</v>
      </c>
    </row>
    <row r="41" spans="1:15" hidden="1">
      <c r="A41" s="2">
        <v>40</v>
      </c>
      <c r="B41" s="2" t="s">
        <v>38</v>
      </c>
      <c r="C41" s="12">
        <v>46140</v>
      </c>
      <c r="D41" s="2" t="s">
        <v>114</v>
      </c>
      <c r="E41" s="2" t="s">
        <v>43</v>
      </c>
      <c r="F41" s="3">
        <v>348093</v>
      </c>
      <c r="G41" s="12">
        <v>46185</v>
      </c>
      <c r="H41" s="3">
        <v>0</v>
      </c>
      <c r="I41" s="3">
        <f t="shared" si="0"/>
        <v>348093</v>
      </c>
      <c r="J41" s="2">
        <f t="shared" ca="1" si="1"/>
        <v>0</v>
      </c>
      <c r="K41" s="2" t="str">
        <f t="shared" ca="1" si="2"/>
        <v>0-30 Days</v>
      </c>
      <c r="L41" s="2" t="str">
        <f t="shared" ca="1" si="3"/>
        <v>Low</v>
      </c>
      <c r="M41" s="2" t="str">
        <f t="shared" ca="1" si="4"/>
        <v>Normal</v>
      </c>
      <c r="N41" s="2" t="s">
        <v>63</v>
      </c>
      <c r="O41" s="2" t="s">
        <v>93</v>
      </c>
    </row>
    <row r="42" spans="1:15" hidden="1">
      <c r="A42" s="5">
        <v>41</v>
      </c>
      <c r="B42" s="5" t="s">
        <v>38</v>
      </c>
      <c r="C42" s="11">
        <v>46140</v>
      </c>
      <c r="D42" s="5" t="s">
        <v>115</v>
      </c>
      <c r="E42" s="5" t="s">
        <v>43</v>
      </c>
      <c r="F42" s="6">
        <v>90650</v>
      </c>
      <c r="G42" s="11">
        <v>46141</v>
      </c>
      <c r="H42" s="6">
        <v>0</v>
      </c>
      <c r="I42" s="6">
        <f t="shared" si="0"/>
        <v>90650</v>
      </c>
      <c r="J42" s="5">
        <f t="shared" ca="1" si="1"/>
        <v>23</v>
      </c>
      <c r="K42" s="5" t="str">
        <f t="shared" ca="1" si="2"/>
        <v>0-30 Days</v>
      </c>
      <c r="L42" s="5" t="str">
        <f t="shared" ca="1" si="3"/>
        <v>Low</v>
      </c>
      <c r="M42" s="5" t="str">
        <f t="shared" ca="1" si="4"/>
        <v>Normal</v>
      </c>
      <c r="N42" s="5" t="s">
        <v>63</v>
      </c>
      <c r="O42" s="5" t="s">
        <v>93</v>
      </c>
    </row>
    <row r="43" spans="1:15" hidden="1">
      <c r="A43" s="2">
        <v>42</v>
      </c>
      <c r="B43" s="2" t="s">
        <v>38</v>
      </c>
      <c r="C43" s="12">
        <v>46140</v>
      </c>
      <c r="D43" s="2" t="s">
        <v>116</v>
      </c>
      <c r="E43" s="2" t="s">
        <v>43</v>
      </c>
      <c r="F43" s="3">
        <v>292469</v>
      </c>
      <c r="G43" s="12">
        <v>46185</v>
      </c>
      <c r="H43" s="3">
        <v>0</v>
      </c>
      <c r="I43" s="3">
        <f t="shared" si="0"/>
        <v>292469</v>
      </c>
      <c r="J43" s="2">
        <f t="shared" ca="1" si="1"/>
        <v>0</v>
      </c>
      <c r="K43" s="2" t="str">
        <f t="shared" ca="1" si="2"/>
        <v>0-30 Days</v>
      </c>
      <c r="L43" s="2" t="str">
        <f t="shared" ca="1" si="3"/>
        <v>Low</v>
      </c>
      <c r="M43" s="2" t="str">
        <f t="shared" ca="1" si="4"/>
        <v>Normal</v>
      </c>
      <c r="N43" s="2" t="s">
        <v>63</v>
      </c>
      <c r="O43" s="2" t="s">
        <v>93</v>
      </c>
    </row>
    <row r="44" spans="1:15" hidden="1">
      <c r="A44" s="5">
        <v>43</v>
      </c>
      <c r="B44" s="5" t="s">
        <v>38</v>
      </c>
      <c r="C44" s="11">
        <v>46140</v>
      </c>
      <c r="D44" s="5" t="s">
        <v>117</v>
      </c>
      <c r="E44" s="5" t="s">
        <v>43</v>
      </c>
      <c r="F44" s="6">
        <v>132528</v>
      </c>
      <c r="G44" s="11">
        <v>46185</v>
      </c>
      <c r="H44" s="6">
        <v>0</v>
      </c>
      <c r="I44" s="6">
        <f t="shared" si="0"/>
        <v>132528</v>
      </c>
      <c r="J44" s="5">
        <f t="shared" ca="1" si="1"/>
        <v>0</v>
      </c>
      <c r="K44" s="5" t="str">
        <f t="shared" ca="1" si="2"/>
        <v>0-30 Days</v>
      </c>
      <c r="L44" s="5" t="str">
        <f t="shared" ca="1" si="3"/>
        <v>Low</v>
      </c>
      <c r="M44" s="5" t="str">
        <f t="shared" ca="1" si="4"/>
        <v>Normal</v>
      </c>
      <c r="N44" s="5" t="s">
        <v>63</v>
      </c>
      <c r="O44" s="5" t="s">
        <v>93</v>
      </c>
    </row>
    <row r="45" spans="1:15" hidden="1">
      <c r="A45" s="2">
        <v>44</v>
      </c>
      <c r="B45" s="2" t="s">
        <v>38</v>
      </c>
      <c r="C45" s="12">
        <v>46140</v>
      </c>
      <c r="D45" s="2" t="s">
        <v>118</v>
      </c>
      <c r="E45" s="2" t="s">
        <v>43</v>
      </c>
      <c r="F45" s="3">
        <v>240230</v>
      </c>
      <c r="G45" s="12">
        <v>46185</v>
      </c>
      <c r="H45" s="3">
        <v>0</v>
      </c>
      <c r="I45" s="3">
        <f t="shared" si="0"/>
        <v>240230</v>
      </c>
      <c r="J45" s="2">
        <f t="shared" ca="1" si="1"/>
        <v>0</v>
      </c>
      <c r="K45" s="2" t="str">
        <f t="shared" ca="1" si="2"/>
        <v>0-30 Days</v>
      </c>
      <c r="L45" s="2" t="str">
        <f t="shared" ca="1" si="3"/>
        <v>Low</v>
      </c>
      <c r="M45" s="2" t="str">
        <f t="shared" ca="1" si="4"/>
        <v>Normal</v>
      </c>
      <c r="N45" s="2" t="s">
        <v>63</v>
      </c>
      <c r="O45" s="2" t="s">
        <v>93</v>
      </c>
    </row>
    <row r="46" spans="1:15" hidden="1">
      <c r="A46" s="5">
        <v>45</v>
      </c>
      <c r="B46" s="5" t="s">
        <v>38</v>
      </c>
      <c r="C46" s="11">
        <v>46140</v>
      </c>
      <c r="D46" s="5" t="s">
        <v>119</v>
      </c>
      <c r="E46" s="5" t="s">
        <v>43</v>
      </c>
      <c r="F46" s="6">
        <v>204171</v>
      </c>
      <c r="G46" s="11">
        <v>46185</v>
      </c>
      <c r="H46" s="6">
        <v>0</v>
      </c>
      <c r="I46" s="6">
        <f t="shared" si="0"/>
        <v>204171</v>
      </c>
      <c r="J46" s="5">
        <f t="shared" ca="1" si="1"/>
        <v>0</v>
      </c>
      <c r="K46" s="5" t="str">
        <f t="shared" ca="1" si="2"/>
        <v>0-30 Days</v>
      </c>
      <c r="L46" s="5" t="str">
        <f t="shared" ca="1" si="3"/>
        <v>Low</v>
      </c>
      <c r="M46" s="5" t="str">
        <f t="shared" ca="1" si="4"/>
        <v>Normal</v>
      </c>
      <c r="N46" s="5" t="s">
        <v>63</v>
      </c>
      <c r="O46" s="5" t="s">
        <v>93</v>
      </c>
    </row>
    <row r="47" spans="1:15" hidden="1">
      <c r="A47" s="2">
        <v>46</v>
      </c>
      <c r="B47" s="2" t="s">
        <v>38</v>
      </c>
      <c r="C47" s="12">
        <v>46141</v>
      </c>
      <c r="D47" s="2" t="s">
        <v>120</v>
      </c>
      <c r="E47" s="2" t="s">
        <v>43</v>
      </c>
      <c r="F47" s="3">
        <v>65314</v>
      </c>
      <c r="G47" s="12">
        <v>46142</v>
      </c>
      <c r="H47" s="3">
        <v>0</v>
      </c>
      <c r="I47" s="3">
        <f t="shared" si="0"/>
        <v>65314</v>
      </c>
      <c r="J47" s="2">
        <f t="shared" ca="1" si="1"/>
        <v>22</v>
      </c>
      <c r="K47" s="2" t="str">
        <f t="shared" ca="1" si="2"/>
        <v>0-30 Days</v>
      </c>
      <c r="L47" s="2" t="str">
        <f t="shared" ca="1" si="3"/>
        <v>Low</v>
      </c>
      <c r="M47" s="2" t="str">
        <f t="shared" ca="1" si="4"/>
        <v>Normal</v>
      </c>
      <c r="N47" s="2" t="s">
        <v>63</v>
      </c>
      <c r="O47" s="2" t="s">
        <v>93</v>
      </c>
    </row>
    <row r="48" spans="1:15" hidden="1">
      <c r="A48" s="5">
        <v>47</v>
      </c>
      <c r="B48" s="5" t="s">
        <v>38</v>
      </c>
      <c r="C48" s="11">
        <v>46141</v>
      </c>
      <c r="D48" s="5" t="s">
        <v>121</v>
      </c>
      <c r="E48" s="5" t="s">
        <v>43</v>
      </c>
      <c r="F48" s="6">
        <v>107008</v>
      </c>
      <c r="G48" s="11">
        <v>46142</v>
      </c>
      <c r="H48" s="6">
        <v>0</v>
      </c>
      <c r="I48" s="6">
        <f t="shared" si="0"/>
        <v>107008</v>
      </c>
      <c r="J48" s="5">
        <f t="shared" ca="1" si="1"/>
        <v>22</v>
      </c>
      <c r="K48" s="5" t="str">
        <f t="shared" ca="1" si="2"/>
        <v>0-30 Days</v>
      </c>
      <c r="L48" s="5" t="str">
        <f t="shared" ca="1" si="3"/>
        <v>Low</v>
      </c>
      <c r="M48" s="5" t="str">
        <f t="shared" ca="1" si="4"/>
        <v>Normal</v>
      </c>
      <c r="N48" s="5" t="s">
        <v>63</v>
      </c>
      <c r="O48" s="5" t="s">
        <v>93</v>
      </c>
    </row>
    <row r="49" spans="1:15" hidden="1">
      <c r="A49" s="2">
        <v>48</v>
      </c>
      <c r="B49" s="2" t="s">
        <v>38</v>
      </c>
      <c r="C49" s="12">
        <v>46142</v>
      </c>
      <c r="D49" s="2" t="s">
        <v>122</v>
      </c>
      <c r="E49" s="2" t="s">
        <v>43</v>
      </c>
      <c r="F49" s="3">
        <v>105959</v>
      </c>
      <c r="G49" s="12">
        <v>46187</v>
      </c>
      <c r="H49" s="3">
        <v>0</v>
      </c>
      <c r="I49" s="3">
        <f t="shared" si="0"/>
        <v>105959</v>
      </c>
      <c r="J49" s="2">
        <f t="shared" ca="1" si="1"/>
        <v>0</v>
      </c>
      <c r="K49" s="2" t="str">
        <f t="shared" ca="1" si="2"/>
        <v>0-30 Days</v>
      </c>
      <c r="L49" s="2" t="str">
        <f t="shared" ca="1" si="3"/>
        <v>Low</v>
      </c>
      <c r="M49" s="2" t="str">
        <f t="shared" ca="1" si="4"/>
        <v>Normal</v>
      </c>
      <c r="N49" s="2" t="s">
        <v>63</v>
      </c>
      <c r="O49" s="2" t="s">
        <v>93</v>
      </c>
    </row>
    <row r="50" spans="1:15" hidden="1">
      <c r="A50" s="5">
        <v>49</v>
      </c>
      <c r="B50" s="5" t="s">
        <v>38</v>
      </c>
      <c r="C50" s="11">
        <v>46144</v>
      </c>
      <c r="D50" s="5" t="s">
        <v>123</v>
      </c>
      <c r="E50" s="5" t="s">
        <v>43</v>
      </c>
      <c r="F50" s="6">
        <v>84325</v>
      </c>
      <c r="G50" s="11">
        <v>46189</v>
      </c>
      <c r="H50" s="6">
        <v>0</v>
      </c>
      <c r="I50" s="6">
        <f t="shared" si="0"/>
        <v>84325</v>
      </c>
      <c r="J50" s="5">
        <f t="shared" ca="1" si="1"/>
        <v>0</v>
      </c>
      <c r="K50" s="5" t="str">
        <f t="shared" ca="1" si="2"/>
        <v>0-30 Days</v>
      </c>
      <c r="L50" s="5" t="str">
        <f t="shared" ca="1" si="3"/>
        <v>Low</v>
      </c>
      <c r="M50" s="5" t="str">
        <f t="shared" ca="1" si="4"/>
        <v>Normal</v>
      </c>
      <c r="N50" s="5" t="s">
        <v>63</v>
      </c>
      <c r="O50" s="5" t="s">
        <v>93</v>
      </c>
    </row>
    <row r="51" spans="1:15" hidden="1">
      <c r="A51" s="2">
        <v>50</v>
      </c>
      <c r="B51" s="2" t="s">
        <v>38</v>
      </c>
      <c r="C51" s="12">
        <v>46148</v>
      </c>
      <c r="D51" s="2" t="s">
        <v>124</v>
      </c>
      <c r="E51" s="2" t="s">
        <v>43</v>
      </c>
      <c r="F51" s="3">
        <v>9635</v>
      </c>
      <c r="G51" s="12">
        <v>46193</v>
      </c>
      <c r="H51" s="3">
        <v>0</v>
      </c>
      <c r="I51" s="3">
        <f t="shared" si="0"/>
        <v>9635</v>
      </c>
      <c r="J51" s="2">
        <f t="shared" ca="1" si="1"/>
        <v>0</v>
      </c>
      <c r="K51" s="2" t="str">
        <f t="shared" ca="1" si="2"/>
        <v>0-30 Days</v>
      </c>
      <c r="L51" s="2" t="str">
        <f t="shared" ca="1" si="3"/>
        <v>Low</v>
      </c>
      <c r="M51" s="2" t="str">
        <f t="shared" ca="1" si="4"/>
        <v>Normal</v>
      </c>
      <c r="N51" s="2" t="s">
        <v>63</v>
      </c>
      <c r="O51" s="2" t="s">
        <v>93</v>
      </c>
    </row>
    <row r="52" spans="1:15" hidden="1">
      <c r="A52" s="5">
        <v>51</v>
      </c>
      <c r="B52" s="5" t="s">
        <v>38</v>
      </c>
      <c r="C52" s="11">
        <v>45682</v>
      </c>
      <c r="D52" s="5" t="s">
        <v>125</v>
      </c>
      <c r="E52" s="5" t="s">
        <v>126</v>
      </c>
      <c r="F52" s="6">
        <v>271</v>
      </c>
      <c r="G52" s="11">
        <v>45682</v>
      </c>
      <c r="H52" s="6">
        <v>0</v>
      </c>
      <c r="I52" s="6">
        <f t="shared" si="0"/>
        <v>271</v>
      </c>
      <c r="J52" s="5">
        <f t="shared" ca="1" si="1"/>
        <v>482</v>
      </c>
      <c r="K52" s="5" t="str">
        <f t="shared" ca="1" si="2"/>
        <v>90+ Days</v>
      </c>
      <c r="L52" s="5" t="str">
        <f t="shared" ca="1" si="3"/>
        <v>HIGH RISK</v>
      </c>
      <c r="M52" s="5" t="str">
        <f t="shared" ca="1" si="4"/>
        <v>Immediate Action</v>
      </c>
      <c r="N52" s="5" t="s">
        <v>63</v>
      </c>
      <c r="O52" s="5" t="s">
        <v>127</v>
      </c>
    </row>
    <row r="53" spans="1:15" hidden="1">
      <c r="A53" s="2">
        <v>52</v>
      </c>
      <c r="B53" s="2" t="s">
        <v>38</v>
      </c>
      <c r="C53" s="12">
        <v>45951</v>
      </c>
      <c r="D53" s="2" t="s">
        <v>128</v>
      </c>
      <c r="E53" s="2" t="s">
        <v>126</v>
      </c>
      <c r="F53" s="3">
        <v>272</v>
      </c>
      <c r="G53" s="12">
        <v>45952</v>
      </c>
      <c r="H53" s="3">
        <v>0</v>
      </c>
      <c r="I53" s="3">
        <f t="shared" si="0"/>
        <v>272</v>
      </c>
      <c r="J53" s="2">
        <f t="shared" ca="1" si="1"/>
        <v>212</v>
      </c>
      <c r="K53" s="2" t="str">
        <f t="shared" ca="1" si="2"/>
        <v>90+ Days</v>
      </c>
      <c r="L53" s="2" t="str">
        <f t="shared" ca="1" si="3"/>
        <v>HIGH RISK</v>
      </c>
      <c r="M53" s="2" t="str">
        <f t="shared" ca="1" si="4"/>
        <v>Immediate Action</v>
      </c>
      <c r="N53" s="2" t="s">
        <v>63</v>
      </c>
      <c r="O53" s="2" t="s">
        <v>127</v>
      </c>
    </row>
    <row r="54" spans="1:15" hidden="1">
      <c r="A54" s="5">
        <v>53</v>
      </c>
      <c r="B54" s="5" t="s">
        <v>38</v>
      </c>
      <c r="C54" s="11">
        <v>46142</v>
      </c>
      <c r="D54" s="5" t="s">
        <v>129</v>
      </c>
      <c r="E54" s="5" t="s">
        <v>52</v>
      </c>
      <c r="F54" s="6">
        <v>149682</v>
      </c>
      <c r="G54" s="11">
        <v>46143</v>
      </c>
      <c r="H54" s="6">
        <v>149682</v>
      </c>
      <c r="I54" s="6">
        <f t="shared" si="0"/>
        <v>0</v>
      </c>
      <c r="J54" s="5">
        <f t="shared" ca="1" si="1"/>
        <v>21</v>
      </c>
      <c r="K54" s="5" t="str">
        <f t="shared" si="2"/>
        <v>Current</v>
      </c>
      <c r="L54" s="5" t="str">
        <f t="shared" si="3"/>
        <v>-</v>
      </c>
      <c r="M54" s="5" t="str">
        <f t="shared" si="4"/>
        <v>-</v>
      </c>
      <c r="N54" s="109" t="s">
        <v>130</v>
      </c>
      <c r="O54" s="5" t="s">
        <v>131</v>
      </c>
    </row>
    <row r="55" spans="1:15" hidden="1">
      <c r="A55" s="2">
        <v>54</v>
      </c>
      <c r="B55" s="2" t="s">
        <v>38</v>
      </c>
      <c r="C55" s="12">
        <v>46102</v>
      </c>
      <c r="D55" s="2" t="s">
        <v>132</v>
      </c>
      <c r="E55" s="2" t="s">
        <v>133</v>
      </c>
      <c r="F55" s="3">
        <v>12806</v>
      </c>
      <c r="G55" s="12">
        <v>46102</v>
      </c>
      <c r="H55" s="3">
        <v>0</v>
      </c>
      <c r="I55" s="3">
        <f t="shared" si="0"/>
        <v>12806</v>
      </c>
      <c r="J55" s="2">
        <f t="shared" ca="1" si="1"/>
        <v>62</v>
      </c>
      <c r="K55" s="2" t="str">
        <f t="shared" ca="1" si="2"/>
        <v>61-90 Days</v>
      </c>
      <c r="L55" s="2" t="str">
        <f t="shared" ca="1" si="3"/>
        <v>Medium</v>
      </c>
      <c r="M55" s="2" t="str">
        <f t="shared" ca="1" si="4"/>
        <v>Urgent</v>
      </c>
      <c r="N55" s="2" t="s">
        <v>63</v>
      </c>
      <c r="O55" s="2"/>
    </row>
    <row r="56" spans="1:15" hidden="1">
      <c r="A56" s="5">
        <v>55</v>
      </c>
      <c r="B56" s="5" t="s">
        <v>38</v>
      </c>
      <c r="C56" s="11">
        <v>46137</v>
      </c>
      <c r="D56" s="5" t="s">
        <v>134</v>
      </c>
      <c r="E56" s="5" t="s">
        <v>59</v>
      </c>
      <c r="F56" s="6">
        <v>111599</v>
      </c>
      <c r="G56" s="11">
        <v>46138</v>
      </c>
      <c r="H56" s="6">
        <v>0</v>
      </c>
      <c r="I56" s="6">
        <f t="shared" si="0"/>
        <v>111599</v>
      </c>
      <c r="J56" s="5">
        <f t="shared" ca="1" si="1"/>
        <v>26</v>
      </c>
      <c r="K56" s="5" t="str">
        <f t="shared" ca="1" si="2"/>
        <v>0-30 Days</v>
      </c>
      <c r="L56" s="5" t="str">
        <f t="shared" ca="1" si="3"/>
        <v>Low</v>
      </c>
      <c r="M56" s="5" t="str">
        <f t="shared" ca="1" si="4"/>
        <v>Normal</v>
      </c>
      <c r="N56" s="5" t="s">
        <v>63</v>
      </c>
      <c r="O56" s="5" t="s">
        <v>135</v>
      </c>
    </row>
    <row r="57" spans="1:15" hidden="1">
      <c r="A57" s="2">
        <v>56</v>
      </c>
      <c r="B57" s="2" t="s">
        <v>38</v>
      </c>
      <c r="C57" s="12">
        <v>46144</v>
      </c>
      <c r="D57" s="2" t="s">
        <v>136</v>
      </c>
      <c r="E57" s="2" t="s">
        <v>59</v>
      </c>
      <c r="F57" s="3">
        <v>20227</v>
      </c>
      <c r="G57" s="12">
        <v>46169</v>
      </c>
      <c r="H57" s="3">
        <v>0</v>
      </c>
      <c r="I57" s="3">
        <f t="shared" si="0"/>
        <v>20227</v>
      </c>
      <c r="J57" s="2">
        <f t="shared" ca="1" si="1"/>
        <v>0</v>
      </c>
      <c r="K57" s="2" t="str">
        <f t="shared" ca="1" si="2"/>
        <v>0-30 Days</v>
      </c>
      <c r="L57" s="2" t="str">
        <f t="shared" ca="1" si="3"/>
        <v>Low</v>
      </c>
      <c r="M57" s="2" t="str">
        <f t="shared" ca="1" si="4"/>
        <v>Normal</v>
      </c>
      <c r="N57" s="2" t="s">
        <v>63</v>
      </c>
      <c r="O57" s="2"/>
    </row>
    <row r="58" spans="1:15" hidden="1">
      <c r="A58" s="5">
        <v>57</v>
      </c>
      <c r="B58" s="5" t="s">
        <v>38</v>
      </c>
      <c r="C58" s="11">
        <v>46137</v>
      </c>
      <c r="D58" s="5" t="s">
        <v>137</v>
      </c>
      <c r="E58" s="5" t="s">
        <v>138</v>
      </c>
      <c r="F58" s="6">
        <v>70357</v>
      </c>
      <c r="G58" s="11">
        <v>46137</v>
      </c>
      <c r="H58" s="6">
        <v>0</v>
      </c>
      <c r="I58" s="6">
        <f t="shared" si="0"/>
        <v>70357</v>
      </c>
      <c r="J58" s="5">
        <f t="shared" ca="1" si="1"/>
        <v>27</v>
      </c>
      <c r="K58" s="5" t="str">
        <f t="shared" ca="1" si="2"/>
        <v>0-30 Days</v>
      </c>
      <c r="L58" s="5" t="str">
        <f t="shared" ca="1" si="3"/>
        <v>Low</v>
      </c>
      <c r="M58" s="5" t="str">
        <f t="shared" ca="1" si="4"/>
        <v>Normal</v>
      </c>
      <c r="N58" s="5" t="s">
        <v>63</v>
      </c>
      <c r="O58" s="5" t="s">
        <v>139</v>
      </c>
    </row>
    <row r="59" spans="1:15">
      <c r="A59" s="2">
        <v>58</v>
      </c>
      <c r="B59" s="2" t="s">
        <v>39</v>
      </c>
      <c r="C59" s="12">
        <v>46095</v>
      </c>
      <c r="D59" s="2" t="s">
        <v>140</v>
      </c>
      <c r="E59" s="2" t="s">
        <v>141</v>
      </c>
      <c r="F59" s="3">
        <v>8075</v>
      </c>
      <c r="G59" s="12">
        <v>46120</v>
      </c>
      <c r="H59" s="3">
        <v>0</v>
      </c>
      <c r="I59" s="3">
        <f t="shared" si="0"/>
        <v>8075</v>
      </c>
      <c r="J59" s="2">
        <f t="shared" ca="1" si="1"/>
        <v>44</v>
      </c>
      <c r="K59" s="2" t="str">
        <f t="shared" ca="1" si="2"/>
        <v>31-60 Days</v>
      </c>
      <c r="L59" s="2" t="str">
        <f t="shared" ca="1" si="3"/>
        <v>Low-Medium</v>
      </c>
      <c r="M59" s="2" t="str">
        <f t="shared" ca="1" si="4"/>
        <v>Medium</v>
      </c>
      <c r="N59" s="2" t="s">
        <v>63</v>
      </c>
      <c r="O59" s="2" t="s">
        <v>79</v>
      </c>
    </row>
    <row r="60" spans="1:15">
      <c r="A60" s="5">
        <v>59</v>
      </c>
      <c r="B60" s="5" t="s">
        <v>39</v>
      </c>
      <c r="C60" s="11">
        <v>45996</v>
      </c>
      <c r="D60" s="5" t="s">
        <v>142</v>
      </c>
      <c r="E60" s="5" t="s">
        <v>143</v>
      </c>
      <c r="F60" s="6">
        <v>30511</v>
      </c>
      <c r="G60" s="11">
        <v>46021</v>
      </c>
      <c r="H60" s="6">
        <v>0</v>
      </c>
      <c r="I60" s="6">
        <f t="shared" si="0"/>
        <v>30511</v>
      </c>
      <c r="J60" s="5">
        <f t="shared" ca="1" si="1"/>
        <v>143</v>
      </c>
      <c r="K60" s="5" t="str">
        <f t="shared" ca="1" si="2"/>
        <v>90+ Days</v>
      </c>
      <c r="L60" s="5" t="str">
        <f t="shared" ca="1" si="3"/>
        <v>HIGH RISK</v>
      </c>
      <c r="M60" s="5" t="str">
        <f t="shared" ca="1" si="4"/>
        <v>Immediate Action</v>
      </c>
      <c r="N60" s="5" t="s">
        <v>63</v>
      </c>
      <c r="O60" s="5" t="s">
        <v>144</v>
      </c>
    </row>
    <row r="61" spans="1:15">
      <c r="A61" s="2">
        <v>60</v>
      </c>
      <c r="B61" s="2" t="s">
        <v>39</v>
      </c>
      <c r="C61" s="12">
        <v>46105</v>
      </c>
      <c r="D61" s="2" t="s">
        <v>145</v>
      </c>
      <c r="E61" s="2" t="s">
        <v>146</v>
      </c>
      <c r="F61" s="3">
        <v>1186</v>
      </c>
      <c r="G61" s="12">
        <v>46130</v>
      </c>
      <c r="H61" s="3">
        <v>0</v>
      </c>
      <c r="I61" s="3">
        <f t="shared" si="0"/>
        <v>1186</v>
      </c>
      <c r="J61" s="2">
        <f t="shared" ca="1" si="1"/>
        <v>34</v>
      </c>
      <c r="K61" s="2" t="str">
        <f t="shared" ca="1" si="2"/>
        <v>31-60 Days</v>
      </c>
      <c r="L61" s="2" t="str">
        <f t="shared" ca="1" si="3"/>
        <v>Low-Medium</v>
      </c>
      <c r="M61" s="2" t="str">
        <f t="shared" ca="1" si="4"/>
        <v>Medium</v>
      </c>
      <c r="N61" s="2" t="s">
        <v>63</v>
      </c>
      <c r="O61" s="2"/>
    </row>
    <row r="62" spans="1:15">
      <c r="A62" s="5">
        <v>61</v>
      </c>
      <c r="B62" s="5" t="s">
        <v>39</v>
      </c>
      <c r="C62" s="11">
        <v>46156</v>
      </c>
      <c r="D62" s="5" t="s">
        <v>147</v>
      </c>
      <c r="E62" s="5" t="s">
        <v>146</v>
      </c>
      <c r="F62" s="6">
        <v>2941</v>
      </c>
      <c r="G62" s="11">
        <v>46181</v>
      </c>
      <c r="H62" s="6">
        <v>0</v>
      </c>
      <c r="I62" s="6">
        <f t="shared" si="0"/>
        <v>2941</v>
      </c>
      <c r="J62" s="5">
        <f t="shared" ca="1" si="1"/>
        <v>0</v>
      </c>
      <c r="K62" s="5" t="str">
        <f t="shared" ca="1" si="2"/>
        <v>0-30 Days</v>
      </c>
      <c r="L62" s="5" t="str">
        <f t="shared" ca="1" si="3"/>
        <v>Low</v>
      </c>
      <c r="M62" s="5" t="str">
        <f t="shared" ca="1" si="4"/>
        <v>Normal</v>
      </c>
      <c r="N62" s="5" t="s">
        <v>63</v>
      </c>
      <c r="O62" s="5"/>
    </row>
    <row r="63" spans="1:15">
      <c r="A63" s="2">
        <v>62</v>
      </c>
      <c r="B63" s="2" t="s">
        <v>39</v>
      </c>
      <c r="C63" s="12">
        <v>46105</v>
      </c>
      <c r="D63" s="2" t="s">
        <v>148</v>
      </c>
      <c r="E63" s="2" t="s">
        <v>149</v>
      </c>
      <c r="F63" s="3">
        <v>5152</v>
      </c>
      <c r="G63" s="12">
        <v>46130</v>
      </c>
      <c r="H63" s="3">
        <v>0</v>
      </c>
      <c r="I63" s="3">
        <f t="shared" si="0"/>
        <v>5152</v>
      </c>
      <c r="J63" s="2">
        <f t="shared" ca="1" si="1"/>
        <v>34</v>
      </c>
      <c r="K63" s="2" t="str">
        <f t="shared" ca="1" si="2"/>
        <v>31-60 Days</v>
      </c>
      <c r="L63" s="2" t="str">
        <f t="shared" ca="1" si="3"/>
        <v>Low-Medium</v>
      </c>
      <c r="M63" s="2" t="str">
        <f t="shared" ca="1" si="4"/>
        <v>Medium</v>
      </c>
      <c r="N63" s="2" t="s">
        <v>63</v>
      </c>
      <c r="O63" s="2" t="s">
        <v>150</v>
      </c>
    </row>
    <row r="64" spans="1:15">
      <c r="A64" s="5">
        <v>63</v>
      </c>
      <c r="B64" s="5" t="s">
        <v>39</v>
      </c>
      <c r="C64" s="11">
        <v>45975</v>
      </c>
      <c r="D64" s="5" t="s">
        <v>151</v>
      </c>
      <c r="E64" s="5" t="s">
        <v>152</v>
      </c>
      <c r="F64" s="6">
        <v>2900</v>
      </c>
      <c r="G64" s="11">
        <v>46000</v>
      </c>
      <c r="H64" s="6">
        <v>0</v>
      </c>
      <c r="I64" s="6">
        <f t="shared" si="0"/>
        <v>2900</v>
      </c>
      <c r="J64" s="5">
        <f t="shared" ca="1" si="1"/>
        <v>164</v>
      </c>
      <c r="K64" s="5" t="str">
        <f t="shared" ca="1" si="2"/>
        <v>90+ Days</v>
      </c>
      <c r="L64" s="5" t="str">
        <f t="shared" ca="1" si="3"/>
        <v>HIGH RISK</v>
      </c>
      <c r="M64" s="5" t="str">
        <f t="shared" ca="1" si="4"/>
        <v>Immediate Action</v>
      </c>
      <c r="N64" s="5" t="s">
        <v>63</v>
      </c>
      <c r="O64" s="5" t="s">
        <v>153</v>
      </c>
    </row>
    <row r="65" spans="1:15">
      <c r="A65" s="2">
        <v>64</v>
      </c>
      <c r="B65" s="2" t="s">
        <v>39</v>
      </c>
      <c r="C65" s="12">
        <v>46069</v>
      </c>
      <c r="D65" s="2" t="s">
        <v>154</v>
      </c>
      <c r="E65" s="2" t="s">
        <v>152</v>
      </c>
      <c r="F65" s="3">
        <v>2044</v>
      </c>
      <c r="G65" s="12">
        <v>46094</v>
      </c>
      <c r="H65" s="3">
        <v>0</v>
      </c>
      <c r="I65" s="3">
        <f t="shared" si="0"/>
        <v>2044</v>
      </c>
      <c r="J65" s="2">
        <f t="shared" ca="1" si="1"/>
        <v>70</v>
      </c>
      <c r="K65" s="2" t="str">
        <f t="shared" ca="1" si="2"/>
        <v>61-90 Days</v>
      </c>
      <c r="L65" s="2" t="str">
        <f t="shared" ca="1" si="3"/>
        <v>Medium</v>
      </c>
      <c r="M65" s="2" t="str">
        <f t="shared" ca="1" si="4"/>
        <v>Urgent</v>
      </c>
      <c r="N65" s="2" t="s">
        <v>63</v>
      </c>
      <c r="O65" s="2" t="s">
        <v>153</v>
      </c>
    </row>
    <row r="66" spans="1:15">
      <c r="A66" s="5">
        <v>65</v>
      </c>
      <c r="B66" s="5" t="s">
        <v>39</v>
      </c>
      <c r="C66" s="11">
        <v>46088</v>
      </c>
      <c r="D66" s="5" t="s">
        <v>155</v>
      </c>
      <c r="E66" s="5" t="s">
        <v>156</v>
      </c>
      <c r="F66" s="6">
        <v>2472</v>
      </c>
      <c r="G66" s="11">
        <v>46113</v>
      </c>
      <c r="H66" s="6">
        <v>0</v>
      </c>
      <c r="I66" s="6">
        <f t="shared" ref="I66:I129" si="5">MAX(0,F66-H66)</f>
        <v>2472</v>
      </c>
      <c r="J66" s="5">
        <f t="shared" ref="J66:J129" ca="1" si="6">IF(G66="",0,MAX(0,TODAY()-G66))</f>
        <v>51</v>
      </c>
      <c r="K66" s="5" t="str">
        <f t="shared" ref="K66:K129" ca="1" si="7">IF(I66&lt;=0,"Current",IF(J66&lt;=30,"0-30 Days",IF(J66&lt;=60,"31-60 Days",IF(J66&lt;=90,"61-90 Days","90+ Days"))))</f>
        <v>31-60 Days</v>
      </c>
      <c r="L66" s="5" t="str">
        <f t="shared" ref="L66:L129" ca="1" si="8">IF(I66&lt;=0,"-",IF(J66&lt;=30,"Low",IF(J66&lt;=60,"Low-Medium",IF(J66&lt;=90,"Medium","HIGH RISK"))))</f>
        <v>Low-Medium</v>
      </c>
      <c r="M66" s="5" t="str">
        <f t="shared" ref="M66:M129" ca="1" si="9">IF(I66&lt;=0,"-",IF(J66&lt;=30,"Normal",IF(J66&lt;=60,"Medium",IF(J66&lt;=90,"Urgent","Immediate Action"))))</f>
        <v>Medium</v>
      </c>
      <c r="N66" s="5" t="s">
        <v>63</v>
      </c>
      <c r="O66" s="5" t="s">
        <v>157</v>
      </c>
    </row>
    <row r="67" spans="1:15">
      <c r="A67" s="2">
        <v>66</v>
      </c>
      <c r="B67" s="2" t="s">
        <v>39</v>
      </c>
      <c r="C67" s="12">
        <v>46105</v>
      </c>
      <c r="D67" s="2" t="s">
        <v>158</v>
      </c>
      <c r="E67" s="2" t="s">
        <v>159</v>
      </c>
      <c r="F67" s="3">
        <v>381</v>
      </c>
      <c r="G67" s="12">
        <v>46130</v>
      </c>
      <c r="H67" s="3">
        <v>0</v>
      </c>
      <c r="I67" s="3">
        <f t="shared" si="5"/>
        <v>381</v>
      </c>
      <c r="J67" s="2">
        <f t="shared" ca="1" si="6"/>
        <v>34</v>
      </c>
      <c r="K67" s="2" t="str">
        <f t="shared" ca="1" si="7"/>
        <v>31-60 Days</v>
      </c>
      <c r="L67" s="2" t="str">
        <f t="shared" ca="1" si="8"/>
        <v>Low-Medium</v>
      </c>
      <c r="M67" s="2" t="str">
        <f t="shared" ca="1" si="9"/>
        <v>Medium</v>
      </c>
      <c r="N67" s="2" t="s">
        <v>63</v>
      </c>
      <c r="O67" s="2"/>
    </row>
    <row r="68" spans="1:15">
      <c r="A68" s="5">
        <v>67</v>
      </c>
      <c r="B68" s="5" t="s">
        <v>39</v>
      </c>
      <c r="C68" s="11">
        <v>46123</v>
      </c>
      <c r="D68" s="5" t="s">
        <v>160</v>
      </c>
      <c r="E68" s="5" t="s">
        <v>159</v>
      </c>
      <c r="F68" s="6">
        <v>8874</v>
      </c>
      <c r="G68" s="11">
        <v>46148</v>
      </c>
      <c r="H68" s="6">
        <v>0</v>
      </c>
      <c r="I68" s="6">
        <f t="shared" si="5"/>
        <v>8874</v>
      </c>
      <c r="J68" s="5">
        <f t="shared" ca="1" si="6"/>
        <v>16</v>
      </c>
      <c r="K68" s="5" t="str">
        <f t="shared" ca="1" si="7"/>
        <v>0-30 Days</v>
      </c>
      <c r="L68" s="5" t="str">
        <f t="shared" ca="1" si="8"/>
        <v>Low</v>
      </c>
      <c r="M68" s="5" t="str">
        <f t="shared" ca="1" si="9"/>
        <v>Normal</v>
      </c>
      <c r="N68" s="5" t="s">
        <v>63</v>
      </c>
      <c r="O68" s="5"/>
    </row>
    <row r="69" spans="1:15">
      <c r="A69" s="2">
        <v>68</v>
      </c>
      <c r="B69" s="2" t="s">
        <v>39</v>
      </c>
      <c r="C69" s="12">
        <v>46104</v>
      </c>
      <c r="D69" s="2" t="s">
        <v>161</v>
      </c>
      <c r="E69" s="2" t="s">
        <v>162</v>
      </c>
      <c r="F69" s="3">
        <v>2</v>
      </c>
      <c r="G69" s="12">
        <v>46129</v>
      </c>
      <c r="H69" s="3">
        <v>0</v>
      </c>
      <c r="I69" s="3">
        <f t="shared" si="5"/>
        <v>2</v>
      </c>
      <c r="J69" s="2">
        <f t="shared" ca="1" si="6"/>
        <v>35</v>
      </c>
      <c r="K69" s="2" t="str">
        <f t="shared" ca="1" si="7"/>
        <v>31-60 Days</v>
      </c>
      <c r="L69" s="2" t="str">
        <f t="shared" ca="1" si="8"/>
        <v>Low-Medium</v>
      </c>
      <c r="M69" s="2" t="str">
        <f t="shared" ca="1" si="9"/>
        <v>Medium</v>
      </c>
      <c r="N69" s="2" t="s">
        <v>63</v>
      </c>
      <c r="O69" s="2"/>
    </row>
    <row r="70" spans="1:15">
      <c r="A70" s="5">
        <v>69</v>
      </c>
      <c r="B70" s="5" t="s">
        <v>39</v>
      </c>
      <c r="C70" s="11">
        <v>46095</v>
      </c>
      <c r="D70" s="5" t="s">
        <v>163</v>
      </c>
      <c r="E70" s="5" t="s">
        <v>164</v>
      </c>
      <c r="F70" s="6">
        <v>2561</v>
      </c>
      <c r="G70" s="11">
        <v>46120</v>
      </c>
      <c r="H70" s="6">
        <v>0</v>
      </c>
      <c r="I70" s="6">
        <f t="shared" si="5"/>
        <v>2561</v>
      </c>
      <c r="J70" s="5">
        <f t="shared" ca="1" si="6"/>
        <v>44</v>
      </c>
      <c r="K70" s="5" t="str">
        <f t="shared" ca="1" si="7"/>
        <v>31-60 Days</v>
      </c>
      <c r="L70" s="5" t="str">
        <f t="shared" ca="1" si="8"/>
        <v>Low-Medium</v>
      </c>
      <c r="M70" s="5" t="str">
        <f t="shared" ca="1" si="9"/>
        <v>Medium</v>
      </c>
      <c r="N70" s="5" t="s">
        <v>63</v>
      </c>
      <c r="O70" s="5"/>
    </row>
    <row r="71" spans="1:15">
      <c r="A71" s="2">
        <v>70</v>
      </c>
      <c r="B71" s="2" t="s">
        <v>39</v>
      </c>
      <c r="C71" s="12">
        <v>46090</v>
      </c>
      <c r="D71" s="2" t="s">
        <v>165</v>
      </c>
      <c r="E71" s="2" t="s">
        <v>166</v>
      </c>
      <c r="F71" s="3">
        <v>4181</v>
      </c>
      <c r="G71" s="12">
        <v>46115</v>
      </c>
      <c r="H71" s="3">
        <v>0</v>
      </c>
      <c r="I71" s="3">
        <f t="shared" si="5"/>
        <v>4181</v>
      </c>
      <c r="J71" s="2">
        <f t="shared" ca="1" si="6"/>
        <v>49</v>
      </c>
      <c r="K71" s="2" t="str">
        <f t="shared" ca="1" si="7"/>
        <v>31-60 Days</v>
      </c>
      <c r="L71" s="2" t="str">
        <f t="shared" ca="1" si="8"/>
        <v>Low-Medium</v>
      </c>
      <c r="M71" s="2" t="str">
        <f t="shared" ca="1" si="9"/>
        <v>Medium</v>
      </c>
      <c r="N71" s="2" t="s">
        <v>63</v>
      </c>
      <c r="O71" s="2"/>
    </row>
    <row r="72" spans="1:15">
      <c r="A72" s="5">
        <v>71</v>
      </c>
      <c r="B72" s="5" t="s">
        <v>39</v>
      </c>
      <c r="C72" s="11">
        <v>46107</v>
      </c>
      <c r="D72" s="5" t="s">
        <v>167</v>
      </c>
      <c r="E72" s="5" t="s">
        <v>166</v>
      </c>
      <c r="F72" s="6">
        <v>947</v>
      </c>
      <c r="G72" s="11">
        <v>46132</v>
      </c>
      <c r="H72" s="6">
        <v>0</v>
      </c>
      <c r="I72" s="6">
        <f t="shared" si="5"/>
        <v>947</v>
      </c>
      <c r="J72" s="5">
        <f t="shared" ca="1" si="6"/>
        <v>32</v>
      </c>
      <c r="K72" s="5" t="str">
        <f t="shared" ca="1" si="7"/>
        <v>31-60 Days</v>
      </c>
      <c r="L72" s="5" t="str">
        <f t="shared" ca="1" si="8"/>
        <v>Low-Medium</v>
      </c>
      <c r="M72" s="5" t="str">
        <f t="shared" ca="1" si="9"/>
        <v>Medium</v>
      </c>
      <c r="N72" s="5" t="s">
        <v>63</v>
      </c>
      <c r="O72" s="5"/>
    </row>
    <row r="73" spans="1:15">
      <c r="A73" s="2">
        <v>72</v>
      </c>
      <c r="B73" s="2" t="s">
        <v>39</v>
      </c>
      <c r="C73" s="12">
        <v>45489</v>
      </c>
      <c r="D73" s="2" t="s">
        <v>168</v>
      </c>
      <c r="E73" s="2" t="s">
        <v>169</v>
      </c>
      <c r="F73" s="3">
        <v>34687</v>
      </c>
      <c r="G73" s="12">
        <v>45514</v>
      </c>
      <c r="H73" s="3">
        <v>0</v>
      </c>
      <c r="I73" s="3">
        <f t="shared" si="5"/>
        <v>34687</v>
      </c>
      <c r="J73" s="2">
        <f t="shared" ca="1" si="6"/>
        <v>650</v>
      </c>
      <c r="K73" s="2" t="str">
        <f t="shared" ca="1" si="7"/>
        <v>90+ Days</v>
      </c>
      <c r="L73" s="2" t="str">
        <f t="shared" ca="1" si="8"/>
        <v>HIGH RISK</v>
      </c>
      <c r="M73" s="2" t="str">
        <f t="shared" ca="1" si="9"/>
        <v>Immediate Action</v>
      </c>
      <c r="N73" s="2" t="s">
        <v>63</v>
      </c>
      <c r="O73" s="2"/>
    </row>
    <row r="74" spans="1:15">
      <c r="A74" s="5">
        <v>73</v>
      </c>
      <c r="B74" s="5" t="s">
        <v>39</v>
      </c>
      <c r="C74" s="11">
        <v>45510</v>
      </c>
      <c r="D74" s="5" t="s">
        <v>170</v>
      </c>
      <c r="E74" s="5" t="s">
        <v>169</v>
      </c>
      <c r="F74" s="6">
        <v>596</v>
      </c>
      <c r="G74" s="11">
        <v>45535</v>
      </c>
      <c r="H74" s="6">
        <v>0</v>
      </c>
      <c r="I74" s="6">
        <f t="shared" si="5"/>
        <v>596</v>
      </c>
      <c r="J74" s="5">
        <f t="shared" ca="1" si="6"/>
        <v>629</v>
      </c>
      <c r="K74" s="5" t="str">
        <f t="shared" ca="1" si="7"/>
        <v>90+ Days</v>
      </c>
      <c r="L74" s="5" t="str">
        <f t="shared" ca="1" si="8"/>
        <v>HIGH RISK</v>
      </c>
      <c r="M74" s="5" t="str">
        <f t="shared" ca="1" si="9"/>
        <v>Immediate Action</v>
      </c>
      <c r="N74" s="5" t="s">
        <v>63</v>
      </c>
      <c r="O74" s="5"/>
    </row>
    <row r="75" spans="1:15">
      <c r="A75" s="2">
        <v>74</v>
      </c>
      <c r="B75" s="2" t="s">
        <v>39</v>
      </c>
      <c r="C75" s="12">
        <v>45533</v>
      </c>
      <c r="D75" s="2" t="s">
        <v>171</v>
      </c>
      <c r="E75" s="2" t="s">
        <v>169</v>
      </c>
      <c r="F75" s="3">
        <v>24001</v>
      </c>
      <c r="G75" s="12">
        <v>45558</v>
      </c>
      <c r="H75" s="3">
        <v>0</v>
      </c>
      <c r="I75" s="3">
        <f t="shared" si="5"/>
        <v>24001</v>
      </c>
      <c r="J75" s="2">
        <f t="shared" ca="1" si="6"/>
        <v>606</v>
      </c>
      <c r="K75" s="2" t="str">
        <f t="shared" ca="1" si="7"/>
        <v>90+ Days</v>
      </c>
      <c r="L75" s="2" t="str">
        <f t="shared" ca="1" si="8"/>
        <v>HIGH RISK</v>
      </c>
      <c r="M75" s="2" t="str">
        <f t="shared" ca="1" si="9"/>
        <v>Immediate Action</v>
      </c>
      <c r="N75" s="2" t="s">
        <v>63</v>
      </c>
      <c r="O75" s="2"/>
    </row>
    <row r="76" spans="1:15">
      <c r="A76" s="5">
        <v>75</v>
      </c>
      <c r="B76" s="5" t="s">
        <v>39</v>
      </c>
      <c r="C76" s="11">
        <v>46120</v>
      </c>
      <c r="D76" s="5" t="s">
        <v>172</v>
      </c>
      <c r="E76" s="5" t="s">
        <v>173</v>
      </c>
      <c r="F76" s="6">
        <v>5566</v>
      </c>
      <c r="G76" s="11">
        <v>46145</v>
      </c>
      <c r="H76" s="6">
        <v>0</v>
      </c>
      <c r="I76" s="6">
        <f t="shared" si="5"/>
        <v>5566</v>
      </c>
      <c r="J76" s="5">
        <f t="shared" ca="1" si="6"/>
        <v>19</v>
      </c>
      <c r="K76" s="5" t="str">
        <f t="shared" ca="1" si="7"/>
        <v>0-30 Days</v>
      </c>
      <c r="L76" s="5" t="str">
        <f t="shared" ca="1" si="8"/>
        <v>Low</v>
      </c>
      <c r="M76" s="5" t="str">
        <f t="shared" ca="1" si="9"/>
        <v>Normal</v>
      </c>
      <c r="N76" s="5" t="s">
        <v>63</v>
      </c>
      <c r="O76" s="5"/>
    </row>
    <row r="77" spans="1:15">
      <c r="A77" s="2">
        <v>76</v>
      </c>
      <c r="B77" s="2" t="s">
        <v>39</v>
      </c>
      <c r="C77" s="12">
        <v>46129</v>
      </c>
      <c r="D77" s="2" t="s">
        <v>174</v>
      </c>
      <c r="E77" s="2" t="s">
        <v>175</v>
      </c>
      <c r="F77" s="3">
        <v>4427</v>
      </c>
      <c r="G77" s="12">
        <v>46154</v>
      </c>
      <c r="H77" s="3">
        <v>0</v>
      </c>
      <c r="I77" s="3">
        <f t="shared" si="5"/>
        <v>4427</v>
      </c>
      <c r="J77" s="2">
        <f t="shared" ca="1" si="6"/>
        <v>10</v>
      </c>
      <c r="K77" s="2" t="str">
        <f t="shared" ca="1" si="7"/>
        <v>0-30 Days</v>
      </c>
      <c r="L77" s="2" t="str">
        <f t="shared" ca="1" si="8"/>
        <v>Low</v>
      </c>
      <c r="M77" s="2" t="str">
        <f t="shared" ca="1" si="9"/>
        <v>Normal</v>
      </c>
      <c r="N77" s="2" t="s">
        <v>63</v>
      </c>
      <c r="O77" s="2"/>
    </row>
    <row r="78" spans="1:15">
      <c r="A78" s="5">
        <v>77</v>
      </c>
      <c r="B78" s="5" t="s">
        <v>39</v>
      </c>
      <c r="C78" s="11">
        <v>46149</v>
      </c>
      <c r="D78" s="5" t="s">
        <v>176</v>
      </c>
      <c r="E78" s="5" t="s">
        <v>175</v>
      </c>
      <c r="F78" s="6">
        <v>2945</v>
      </c>
      <c r="G78" s="11">
        <v>46174</v>
      </c>
      <c r="H78" s="6">
        <v>0</v>
      </c>
      <c r="I78" s="6">
        <f t="shared" si="5"/>
        <v>2945</v>
      </c>
      <c r="J78" s="5">
        <f t="shared" ca="1" si="6"/>
        <v>0</v>
      </c>
      <c r="K78" s="5" t="str">
        <f t="shared" ca="1" si="7"/>
        <v>0-30 Days</v>
      </c>
      <c r="L78" s="5" t="str">
        <f t="shared" ca="1" si="8"/>
        <v>Low</v>
      </c>
      <c r="M78" s="5" t="str">
        <f t="shared" ca="1" si="9"/>
        <v>Normal</v>
      </c>
      <c r="N78" s="5" t="s">
        <v>63</v>
      </c>
      <c r="O78" s="5"/>
    </row>
    <row r="79" spans="1:15">
      <c r="A79" s="2">
        <v>78</v>
      </c>
      <c r="B79" s="2" t="s">
        <v>39</v>
      </c>
      <c r="C79" s="12">
        <v>45915</v>
      </c>
      <c r="D79" s="2" t="s">
        <v>177</v>
      </c>
      <c r="E79" s="2" t="s">
        <v>178</v>
      </c>
      <c r="F79" s="3">
        <v>1771</v>
      </c>
      <c r="G79" s="12">
        <v>45940</v>
      </c>
      <c r="H79" s="3">
        <v>0</v>
      </c>
      <c r="I79" s="3">
        <f t="shared" si="5"/>
        <v>1771</v>
      </c>
      <c r="J79" s="2">
        <f t="shared" ca="1" si="6"/>
        <v>224</v>
      </c>
      <c r="K79" s="2" t="str">
        <f t="shared" ca="1" si="7"/>
        <v>90+ Days</v>
      </c>
      <c r="L79" s="2" t="str">
        <f t="shared" ca="1" si="8"/>
        <v>HIGH RISK</v>
      </c>
      <c r="M79" s="2" t="str">
        <f t="shared" ca="1" si="9"/>
        <v>Immediate Action</v>
      </c>
      <c r="N79" s="2" t="s">
        <v>63</v>
      </c>
      <c r="O79" s="2" t="s">
        <v>179</v>
      </c>
    </row>
    <row r="80" spans="1:15">
      <c r="A80" s="5">
        <v>79</v>
      </c>
      <c r="B80" s="5" t="s">
        <v>39</v>
      </c>
      <c r="C80" s="11">
        <v>46158</v>
      </c>
      <c r="D80" s="5" t="s">
        <v>180</v>
      </c>
      <c r="E80" s="5" t="s">
        <v>178</v>
      </c>
      <c r="F80" s="6">
        <v>7266</v>
      </c>
      <c r="G80" s="11">
        <v>46183</v>
      </c>
      <c r="H80" s="6">
        <v>0</v>
      </c>
      <c r="I80" s="6">
        <f t="shared" si="5"/>
        <v>7266</v>
      </c>
      <c r="J80" s="5">
        <f t="shared" ca="1" si="6"/>
        <v>0</v>
      </c>
      <c r="K80" s="5" t="str">
        <f t="shared" ca="1" si="7"/>
        <v>0-30 Days</v>
      </c>
      <c r="L80" s="5" t="str">
        <f t="shared" ca="1" si="8"/>
        <v>Low</v>
      </c>
      <c r="M80" s="5" t="str">
        <f t="shared" ca="1" si="9"/>
        <v>Normal</v>
      </c>
      <c r="N80" s="5" t="s">
        <v>63</v>
      </c>
      <c r="O80" s="5"/>
    </row>
    <row r="81" spans="1:15">
      <c r="A81" s="2">
        <v>80</v>
      </c>
      <c r="B81" s="2" t="s">
        <v>39</v>
      </c>
      <c r="C81" s="12">
        <v>46158</v>
      </c>
      <c r="D81" s="2" t="s">
        <v>181</v>
      </c>
      <c r="E81" s="2" t="s">
        <v>178</v>
      </c>
      <c r="F81" s="3">
        <v>1244</v>
      </c>
      <c r="G81" s="12">
        <v>46183</v>
      </c>
      <c r="H81" s="3">
        <v>0</v>
      </c>
      <c r="I81" s="3">
        <f t="shared" si="5"/>
        <v>1244</v>
      </c>
      <c r="J81" s="2">
        <f t="shared" ca="1" si="6"/>
        <v>0</v>
      </c>
      <c r="K81" s="2" t="str">
        <f t="shared" ca="1" si="7"/>
        <v>0-30 Days</v>
      </c>
      <c r="L81" s="2" t="str">
        <f t="shared" ca="1" si="8"/>
        <v>Low</v>
      </c>
      <c r="M81" s="2" t="str">
        <f t="shared" ca="1" si="9"/>
        <v>Normal</v>
      </c>
      <c r="N81" s="2" t="s">
        <v>63</v>
      </c>
      <c r="O81" s="2"/>
    </row>
    <row r="82" spans="1:15">
      <c r="A82" s="5">
        <v>81</v>
      </c>
      <c r="B82" s="5" t="s">
        <v>39</v>
      </c>
      <c r="C82" s="11">
        <v>46158</v>
      </c>
      <c r="D82" s="5" t="s">
        <v>182</v>
      </c>
      <c r="E82" s="5" t="s">
        <v>178</v>
      </c>
      <c r="F82" s="6">
        <v>830</v>
      </c>
      <c r="G82" s="11">
        <v>46183</v>
      </c>
      <c r="H82" s="6">
        <v>0</v>
      </c>
      <c r="I82" s="6">
        <f t="shared" si="5"/>
        <v>830</v>
      </c>
      <c r="J82" s="5">
        <f t="shared" ca="1" si="6"/>
        <v>0</v>
      </c>
      <c r="K82" s="5" t="str">
        <f t="shared" ca="1" si="7"/>
        <v>0-30 Days</v>
      </c>
      <c r="L82" s="5" t="str">
        <f t="shared" ca="1" si="8"/>
        <v>Low</v>
      </c>
      <c r="M82" s="5" t="str">
        <f t="shared" ca="1" si="9"/>
        <v>Normal</v>
      </c>
      <c r="N82" s="5" t="s">
        <v>63</v>
      </c>
      <c r="O82" s="5"/>
    </row>
    <row r="83" spans="1:15">
      <c r="A83" s="2">
        <v>82</v>
      </c>
      <c r="B83" s="2" t="s">
        <v>39</v>
      </c>
      <c r="C83" s="12">
        <v>45985</v>
      </c>
      <c r="D83" s="2" t="s">
        <v>183</v>
      </c>
      <c r="E83" s="2" t="s">
        <v>184</v>
      </c>
      <c r="F83" s="3">
        <v>180</v>
      </c>
      <c r="G83" s="12">
        <v>46010</v>
      </c>
      <c r="H83" s="3">
        <v>0</v>
      </c>
      <c r="I83" s="3">
        <f t="shared" si="5"/>
        <v>180</v>
      </c>
      <c r="J83" s="2">
        <f t="shared" ca="1" si="6"/>
        <v>154</v>
      </c>
      <c r="K83" s="2" t="str">
        <f t="shared" ca="1" si="7"/>
        <v>90+ Days</v>
      </c>
      <c r="L83" s="2" t="str">
        <f t="shared" ca="1" si="8"/>
        <v>HIGH RISK</v>
      </c>
      <c r="M83" s="2" t="str">
        <f t="shared" ca="1" si="9"/>
        <v>Immediate Action</v>
      </c>
      <c r="N83" s="2" t="s">
        <v>63</v>
      </c>
      <c r="O83" s="2"/>
    </row>
    <row r="84" spans="1:15">
      <c r="A84" s="5">
        <v>83</v>
      </c>
      <c r="B84" s="5" t="s">
        <v>39</v>
      </c>
      <c r="C84" s="11">
        <v>46092</v>
      </c>
      <c r="D84" s="5" t="s">
        <v>185</v>
      </c>
      <c r="E84" s="5" t="s">
        <v>184</v>
      </c>
      <c r="F84" s="6">
        <v>22195</v>
      </c>
      <c r="G84" s="11">
        <v>46117</v>
      </c>
      <c r="H84" s="6">
        <v>0</v>
      </c>
      <c r="I84" s="6">
        <f t="shared" si="5"/>
        <v>22195</v>
      </c>
      <c r="J84" s="5">
        <f t="shared" ca="1" si="6"/>
        <v>47</v>
      </c>
      <c r="K84" s="5" t="str">
        <f t="shared" ca="1" si="7"/>
        <v>31-60 Days</v>
      </c>
      <c r="L84" s="5" t="str">
        <f t="shared" ca="1" si="8"/>
        <v>Low-Medium</v>
      </c>
      <c r="M84" s="5" t="str">
        <f t="shared" ca="1" si="9"/>
        <v>Medium</v>
      </c>
      <c r="N84" s="5" t="s">
        <v>63</v>
      </c>
      <c r="O84" s="5"/>
    </row>
    <row r="85" spans="1:15">
      <c r="A85" s="2">
        <v>84</v>
      </c>
      <c r="B85" s="2" t="s">
        <v>39</v>
      </c>
      <c r="C85" s="12">
        <v>46098</v>
      </c>
      <c r="D85" s="2" t="s">
        <v>186</v>
      </c>
      <c r="E85" s="2" t="s">
        <v>184</v>
      </c>
      <c r="F85" s="3">
        <v>15116</v>
      </c>
      <c r="G85" s="12">
        <v>46123</v>
      </c>
      <c r="H85" s="3">
        <v>0</v>
      </c>
      <c r="I85" s="3">
        <f t="shared" si="5"/>
        <v>15116</v>
      </c>
      <c r="J85" s="2">
        <f t="shared" ca="1" si="6"/>
        <v>41</v>
      </c>
      <c r="K85" s="2" t="str">
        <f t="shared" ca="1" si="7"/>
        <v>31-60 Days</v>
      </c>
      <c r="L85" s="2" t="str">
        <f t="shared" ca="1" si="8"/>
        <v>Low-Medium</v>
      </c>
      <c r="M85" s="2" t="str">
        <f t="shared" ca="1" si="9"/>
        <v>Medium</v>
      </c>
      <c r="N85" s="2" t="s">
        <v>63</v>
      </c>
      <c r="O85" s="2"/>
    </row>
    <row r="86" spans="1:15">
      <c r="A86" s="5">
        <v>85</v>
      </c>
      <c r="B86" s="5" t="s">
        <v>39</v>
      </c>
      <c r="C86" s="11">
        <v>46010</v>
      </c>
      <c r="D86" s="5" t="s">
        <v>187</v>
      </c>
      <c r="E86" s="5" t="s">
        <v>188</v>
      </c>
      <c r="F86" s="6">
        <v>500</v>
      </c>
      <c r="G86" s="11">
        <v>46035</v>
      </c>
      <c r="H86" s="6">
        <v>0</v>
      </c>
      <c r="I86" s="6">
        <f t="shared" si="5"/>
        <v>500</v>
      </c>
      <c r="J86" s="5">
        <f t="shared" ca="1" si="6"/>
        <v>129</v>
      </c>
      <c r="K86" s="5" t="str">
        <f t="shared" ca="1" si="7"/>
        <v>90+ Days</v>
      </c>
      <c r="L86" s="5" t="str">
        <f t="shared" ca="1" si="8"/>
        <v>HIGH RISK</v>
      </c>
      <c r="M86" s="5" t="str">
        <f t="shared" ca="1" si="9"/>
        <v>Immediate Action</v>
      </c>
      <c r="N86" s="5" t="s">
        <v>63</v>
      </c>
      <c r="O86" s="5"/>
    </row>
    <row r="87" spans="1:15">
      <c r="A87" s="2">
        <v>86</v>
      </c>
      <c r="B87" s="2" t="s">
        <v>39</v>
      </c>
      <c r="C87" s="12">
        <v>46098</v>
      </c>
      <c r="D87" s="2" t="s">
        <v>189</v>
      </c>
      <c r="E87" s="2" t="s">
        <v>190</v>
      </c>
      <c r="F87" s="3">
        <v>2440</v>
      </c>
      <c r="G87" s="12">
        <v>46123</v>
      </c>
      <c r="H87" s="3">
        <v>0</v>
      </c>
      <c r="I87" s="3">
        <f t="shared" si="5"/>
        <v>2440</v>
      </c>
      <c r="J87" s="2">
        <f t="shared" ca="1" si="6"/>
        <v>41</v>
      </c>
      <c r="K87" s="2" t="str">
        <f t="shared" ca="1" si="7"/>
        <v>31-60 Days</v>
      </c>
      <c r="L87" s="2" t="str">
        <f t="shared" ca="1" si="8"/>
        <v>Low-Medium</v>
      </c>
      <c r="M87" s="2" t="str">
        <f t="shared" ca="1" si="9"/>
        <v>Medium</v>
      </c>
      <c r="N87" s="2" t="s">
        <v>63</v>
      </c>
      <c r="O87" s="2"/>
    </row>
    <row r="88" spans="1:15">
      <c r="A88" s="5">
        <v>87</v>
      </c>
      <c r="B88" s="5" t="s">
        <v>39</v>
      </c>
      <c r="C88" s="11">
        <v>46112</v>
      </c>
      <c r="D88" s="5" t="s">
        <v>191</v>
      </c>
      <c r="E88" s="5" t="s">
        <v>192</v>
      </c>
      <c r="F88" s="6">
        <v>13321</v>
      </c>
      <c r="G88" s="11">
        <v>46137</v>
      </c>
      <c r="H88" s="6">
        <v>0</v>
      </c>
      <c r="I88" s="6">
        <f t="shared" si="5"/>
        <v>13321</v>
      </c>
      <c r="J88" s="5">
        <f t="shared" ca="1" si="6"/>
        <v>27</v>
      </c>
      <c r="K88" s="5" t="str">
        <f t="shared" ca="1" si="7"/>
        <v>0-30 Days</v>
      </c>
      <c r="L88" s="5" t="str">
        <f t="shared" ca="1" si="8"/>
        <v>Low</v>
      </c>
      <c r="M88" s="5" t="str">
        <f t="shared" ca="1" si="9"/>
        <v>Normal</v>
      </c>
      <c r="N88" s="5" t="s">
        <v>63</v>
      </c>
      <c r="O88" s="5"/>
    </row>
    <row r="89" spans="1:15">
      <c r="A89" s="2">
        <v>88</v>
      </c>
      <c r="B89" s="2" t="s">
        <v>39</v>
      </c>
      <c r="C89" s="12">
        <v>46107</v>
      </c>
      <c r="D89" s="2" t="s">
        <v>193</v>
      </c>
      <c r="E89" s="2" t="s">
        <v>194</v>
      </c>
      <c r="F89" s="3">
        <v>8855</v>
      </c>
      <c r="G89" s="12">
        <v>46132</v>
      </c>
      <c r="H89" s="3">
        <v>0</v>
      </c>
      <c r="I89" s="3">
        <f t="shared" si="5"/>
        <v>8855</v>
      </c>
      <c r="J89" s="2">
        <f t="shared" ca="1" si="6"/>
        <v>32</v>
      </c>
      <c r="K89" s="2" t="str">
        <f t="shared" ca="1" si="7"/>
        <v>31-60 Days</v>
      </c>
      <c r="L89" s="2" t="str">
        <f t="shared" ca="1" si="8"/>
        <v>Low-Medium</v>
      </c>
      <c r="M89" s="2" t="str">
        <f t="shared" ca="1" si="9"/>
        <v>Medium</v>
      </c>
      <c r="N89" s="2" t="s">
        <v>63</v>
      </c>
      <c r="O89" s="2"/>
    </row>
    <row r="90" spans="1:15">
      <c r="A90" s="5">
        <v>89</v>
      </c>
      <c r="B90" s="5" t="s">
        <v>39</v>
      </c>
      <c r="C90" s="11">
        <v>46099</v>
      </c>
      <c r="D90" s="5" t="s">
        <v>195</v>
      </c>
      <c r="E90" s="5" t="s">
        <v>196</v>
      </c>
      <c r="F90" s="6">
        <v>4079</v>
      </c>
      <c r="G90" s="11">
        <v>46124</v>
      </c>
      <c r="H90" s="6">
        <v>0</v>
      </c>
      <c r="I90" s="6">
        <f t="shared" si="5"/>
        <v>4079</v>
      </c>
      <c r="J90" s="5">
        <f t="shared" ca="1" si="6"/>
        <v>40</v>
      </c>
      <c r="K90" s="5" t="str">
        <f t="shared" ca="1" si="7"/>
        <v>31-60 Days</v>
      </c>
      <c r="L90" s="5" t="str">
        <f t="shared" ca="1" si="8"/>
        <v>Low-Medium</v>
      </c>
      <c r="M90" s="5" t="str">
        <f t="shared" ca="1" si="9"/>
        <v>Medium</v>
      </c>
      <c r="N90" s="5" t="s">
        <v>63</v>
      </c>
      <c r="O90" s="5"/>
    </row>
    <row r="91" spans="1:15">
      <c r="A91" s="2">
        <v>90</v>
      </c>
      <c r="B91" s="2" t="s">
        <v>39</v>
      </c>
      <c r="C91" s="12">
        <v>45968</v>
      </c>
      <c r="D91" s="2" t="s">
        <v>197</v>
      </c>
      <c r="E91" s="2" t="s">
        <v>198</v>
      </c>
      <c r="F91" s="3">
        <v>1680</v>
      </c>
      <c r="G91" s="12">
        <v>45993</v>
      </c>
      <c r="H91" s="3">
        <v>0</v>
      </c>
      <c r="I91" s="3">
        <f t="shared" si="5"/>
        <v>1680</v>
      </c>
      <c r="J91" s="2">
        <f t="shared" ca="1" si="6"/>
        <v>171</v>
      </c>
      <c r="K91" s="2" t="str">
        <f t="shared" ca="1" si="7"/>
        <v>90+ Days</v>
      </c>
      <c r="L91" s="2" t="str">
        <f t="shared" ca="1" si="8"/>
        <v>HIGH RISK</v>
      </c>
      <c r="M91" s="2" t="str">
        <f t="shared" ca="1" si="9"/>
        <v>Immediate Action</v>
      </c>
      <c r="N91" s="2" t="s">
        <v>63</v>
      </c>
      <c r="O91" s="2" t="s">
        <v>199</v>
      </c>
    </row>
    <row r="92" spans="1:15">
      <c r="A92" s="5">
        <v>91</v>
      </c>
      <c r="B92" s="5" t="s">
        <v>39</v>
      </c>
      <c r="C92" s="11">
        <v>46097</v>
      </c>
      <c r="D92" s="5" t="s">
        <v>200</v>
      </c>
      <c r="E92" s="5" t="s">
        <v>201</v>
      </c>
      <c r="F92" s="6">
        <v>6289</v>
      </c>
      <c r="G92" s="11">
        <v>46122</v>
      </c>
      <c r="H92" s="6">
        <v>0</v>
      </c>
      <c r="I92" s="6">
        <f t="shared" si="5"/>
        <v>6289</v>
      </c>
      <c r="J92" s="5">
        <f t="shared" ca="1" si="6"/>
        <v>42</v>
      </c>
      <c r="K92" s="5" t="str">
        <f t="shared" ca="1" si="7"/>
        <v>31-60 Days</v>
      </c>
      <c r="L92" s="5" t="str">
        <f t="shared" ca="1" si="8"/>
        <v>Low-Medium</v>
      </c>
      <c r="M92" s="5" t="str">
        <f t="shared" ca="1" si="9"/>
        <v>Medium</v>
      </c>
      <c r="N92" s="5" t="s">
        <v>63</v>
      </c>
      <c r="O92" s="5"/>
    </row>
    <row r="93" spans="1:15">
      <c r="A93" s="2">
        <v>92</v>
      </c>
      <c r="B93" s="2" t="s">
        <v>39</v>
      </c>
      <c r="C93" s="12">
        <v>46084</v>
      </c>
      <c r="D93" s="2" t="s">
        <v>202</v>
      </c>
      <c r="E93" s="2" t="s">
        <v>203</v>
      </c>
      <c r="F93" s="3">
        <v>9268</v>
      </c>
      <c r="G93" s="12">
        <v>46109</v>
      </c>
      <c r="H93" s="3">
        <v>0</v>
      </c>
      <c r="I93" s="3">
        <f t="shared" si="5"/>
        <v>9268</v>
      </c>
      <c r="J93" s="2">
        <f t="shared" ca="1" si="6"/>
        <v>55</v>
      </c>
      <c r="K93" s="2" t="str">
        <f t="shared" ca="1" si="7"/>
        <v>31-60 Days</v>
      </c>
      <c r="L93" s="2" t="str">
        <f t="shared" ca="1" si="8"/>
        <v>Low-Medium</v>
      </c>
      <c r="M93" s="2" t="str">
        <f t="shared" ca="1" si="9"/>
        <v>Medium</v>
      </c>
      <c r="N93" s="2" t="s">
        <v>63</v>
      </c>
      <c r="O93" s="2"/>
    </row>
    <row r="94" spans="1:15">
      <c r="A94" s="5">
        <v>93</v>
      </c>
      <c r="B94" s="5" t="s">
        <v>39</v>
      </c>
      <c r="C94" s="11">
        <v>46111</v>
      </c>
      <c r="D94" s="5" t="s">
        <v>204</v>
      </c>
      <c r="E94" s="5" t="s">
        <v>203</v>
      </c>
      <c r="F94" s="6">
        <v>7960</v>
      </c>
      <c r="G94" s="11">
        <v>46136</v>
      </c>
      <c r="H94" s="6">
        <v>0</v>
      </c>
      <c r="I94" s="6">
        <f t="shared" si="5"/>
        <v>7960</v>
      </c>
      <c r="J94" s="5">
        <f t="shared" ca="1" si="6"/>
        <v>28</v>
      </c>
      <c r="K94" s="5" t="str">
        <f t="shared" ca="1" si="7"/>
        <v>0-30 Days</v>
      </c>
      <c r="L94" s="5" t="str">
        <f t="shared" ca="1" si="8"/>
        <v>Low</v>
      </c>
      <c r="M94" s="5" t="str">
        <f t="shared" ca="1" si="9"/>
        <v>Normal</v>
      </c>
      <c r="N94" s="5" t="s">
        <v>63</v>
      </c>
      <c r="O94" s="5"/>
    </row>
    <row r="95" spans="1:15">
      <c r="A95" s="2">
        <v>94</v>
      </c>
      <c r="B95" s="2" t="s">
        <v>39</v>
      </c>
      <c r="C95" s="12">
        <v>46051</v>
      </c>
      <c r="D95" s="2" t="s">
        <v>205</v>
      </c>
      <c r="E95" s="2" t="s">
        <v>206</v>
      </c>
      <c r="F95" s="3">
        <v>720</v>
      </c>
      <c r="G95" s="12">
        <v>46076</v>
      </c>
      <c r="H95" s="3">
        <v>0</v>
      </c>
      <c r="I95" s="3">
        <f t="shared" si="5"/>
        <v>720</v>
      </c>
      <c r="J95" s="2">
        <f t="shared" ca="1" si="6"/>
        <v>88</v>
      </c>
      <c r="K95" s="2" t="str">
        <f t="shared" ca="1" si="7"/>
        <v>61-90 Days</v>
      </c>
      <c r="L95" s="2" t="str">
        <f t="shared" ca="1" si="8"/>
        <v>Medium</v>
      </c>
      <c r="M95" s="2" t="str">
        <f t="shared" ca="1" si="9"/>
        <v>Urgent</v>
      </c>
      <c r="N95" s="2" t="s">
        <v>63</v>
      </c>
      <c r="O95" s="2"/>
    </row>
    <row r="96" spans="1:15">
      <c r="A96" s="5">
        <v>95</v>
      </c>
      <c r="B96" s="5" t="s">
        <v>39</v>
      </c>
      <c r="C96" s="11">
        <v>46088</v>
      </c>
      <c r="D96" s="5" t="s">
        <v>207</v>
      </c>
      <c r="E96" s="5" t="s">
        <v>206</v>
      </c>
      <c r="F96" s="6">
        <v>15106</v>
      </c>
      <c r="G96" s="11">
        <v>46113</v>
      </c>
      <c r="H96" s="6">
        <v>0</v>
      </c>
      <c r="I96" s="6">
        <f t="shared" si="5"/>
        <v>15106</v>
      </c>
      <c r="J96" s="5">
        <f t="shared" ca="1" si="6"/>
        <v>51</v>
      </c>
      <c r="K96" s="5" t="str">
        <f t="shared" ca="1" si="7"/>
        <v>31-60 Days</v>
      </c>
      <c r="L96" s="5" t="str">
        <f t="shared" ca="1" si="8"/>
        <v>Low-Medium</v>
      </c>
      <c r="M96" s="5" t="str">
        <f t="shared" ca="1" si="9"/>
        <v>Medium</v>
      </c>
      <c r="N96" s="5" t="s">
        <v>63</v>
      </c>
      <c r="O96" s="5" t="s">
        <v>135</v>
      </c>
    </row>
    <row r="97" spans="1:15">
      <c r="A97" s="2">
        <v>96</v>
      </c>
      <c r="B97" s="2" t="s">
        <v>39</v>
      </c>
      <c r="C97" s="12">
        <v>45909</v>
      </c>
      <c r="D97" s="2" t="s">
        <v>208</v>
      </c>
      <c r="E97" s="2" t="s">
        <v>209</v>
      </c>
      <c r="F97" s="3">
        <v>7800</v>
      </c>
      <c r="G97" s="12">
        <v>45934</v>
      </c>
      <c r="H97" s="3">
        <v>0</v>
      </c>
      <c r="I97" s="3">
        <f t="shared" si="5"/>
        <v>7800</v>
      </c>
      <c r="J97" s="2">
        <f t="shared" ca="1" si="6"/>
        <v>230</v>
      </c>
      <c r="K97" s="2" t="str">
        <f t="shared" ca="1" si="7"/>
        <v>90+ Days</v>
      </c>
      <c r="L97" s="2" t="str">
        <f t="shared" ca="1" si="8"/>
        <v>HIGH RISK</v>
      </c>
      <c r="M97" s="2" t="str">
        <f t="shared" ca="1" si="9"/>
        <v>Immediate Action</v>
      </c>
      <c r="N97" s="2" t="s">
        <v>63</v>
      </c>
      <c r="O97" s="2" t="s">
        <v>135</v>
      </c>
    </row>
    <row r="98" spans="1:15">
      <c r="A98" s="5">
        <v>97</v>
      </c>
      <c r="B98" s="5" t="s">
        <v>39</v>
      </c>
      <c r="C98" s="11">
        <v>46065</v>
      </c>
      <c r="D98" s="5" t="s">
        <v>210</v>
      </c>
      <c r="E98" s="5" t="s">
        <v>211</v>
      </c>
      <c r="F98" s="6">
        <v>31317</v>
      </c>
      <c r="G98" s="11">
        <v>46090</v>
      </c>
      <c r="H98" s="6">
        <v>0</v>
      </c>
      <c r="I98" s="6">
        <f t="shared" si="5"/>
        <v>31317</v>
      </c>
      <c r="J98" s="5">
        <f t="shared" ca="1" si="6"/>
        <v>74</v>
      </c>
      <c r="K98" s="5" t="str">
        <f t="shared" ca="1" si="7"/>
        <v>61-90 Days</v>
      </c>
      <c r="L98" s="5" t="str">
        <f t="shared" ca="1" si="8"/>
        <v>Medium</v>
      </c>
      <c r="M98" s="5" t="str">
        <f t="shared" ca="1" si="9"/>
        <v>Urgent</v>
      </c>
      <c r="N98" s="5" t="s">
        <v>63</v>
      </c>
      <c r="O98" s="5" t="s">
        <v>212</v>
      </c>
    </row>
    <row r="99" spans="1:15">
      <c r="A99" s="2">
        <v>98</v>
      </c>
      <c r="B99" s="2" t="s">
        <v>39</v>
      </c>
      <c r="C99" s="12">
        <v>45989</v>
      </c>
      <c r="D99" s="2" t="s">
        <v>213</v>
      </c>
      <c r="E99" s="2" t="s">
        <v>214</v>
      </c>
      <c r="F99" s="3">
        <v>9440</v>
      </c>
      <c r="G99" s="12">
        <v>46014</v>
      </c>
      <c r="H99" s="3">
        <v>0</v>
      </c>
      <c r="I99" s="3">
        <f t="shared" si="5"/>
        <v>9440</v>
      </c>
      <c r="J99" s="2">
        <f t="shared" ca="1" si="6"/>
        <v>150</v>
      </c>
      <c r="K99" s="2" t="str">
        <f t="shared" ca="1" si="7"/>
        <v>90+ Days</v>
      </c>
      <c r="L99" s="2" t="str">
        <f t="shared" ca="1" si="8"/>
        <v>HIGH RISK</v>
      </c>
      <c r="M99" s="2" t="str">
        <f t="shared" ca="1" si="9"/>
        <v>Immediate Action</v>
      </c>
      <c r="N99" s="2" t="s">
        <v>63</v>
      </c>
      <c r="O99" s="2"/>
    </row>
    <row r="100" spans="1:15">
      <c r="A100" s="5">
        <v>99</v>
      </c>
      <c r="B100" s="5" t="s">
        <v>39</v>
      </c>
      <c r="C100" s="11">
        <v>46021</v>
      </c>
      <c r="D100" s="5" t="s">
        <v>215</v>
      </c>
      <c r="E100" s="5" t="s">
        <v>214</v>
      </c>
      <c r="F100" s="6">
        <v>643</v>
      </c>
      <c r="G100" s="11">
        <v>46046</v>
      </c>
      <c r="H100" s="6">
        <v>0</v>
      </c>
      <c r="I100" s="6">
        <f t="shared" si="5"/>
        <v>643</v>
      </c>
      <c r="J100" s="5">
        <f t="shared" ca="1" si="6"/>
        <v>118</v>
      </c>
      <c r="K100" s="5" t="str">
        <f t="shared" ca="1" si="7"/>
        <v>90+ Days</v>
      </c>
      <c r="L100" s="5" t="str">
        <f t="shared" ca="1" si="8"/>
        <v>HIGH RISK</v>
      </c>
      <c r="M100" s="5" t="str">
        <f t="shared" ca="1" si="9"/>
        <v>Immediate Action</v>
      </c>
      <c r="N100" s="5" t="s">
        <v>63</v>
      </c>
      <c r="O100" s="5"/>
    </row>
    <row r="101" spans="1:15">
      <c r="A101" s="2">
        <v>100</v>
      </c>
      <c r="B101" s="2" t="s">
        <v>39</v>
      </c>
      <c r="C101" s="12">
        <v>46046</v>
      </c>
      <c r="D101" s="2" t="s">
        <v>216</v>
      </c>
      <c r="E101" s="2" t="s">
        <v>217</v>
      </c>
      <c r="F101" s="3">
        <v>49017</v>
      </c>
      <c r="G101" s="12">
        <v>46071</v>
      </c>
      <c r="H101" s="3">
        <v>0</v>
      </c>
      <c r="I101" s="3">
        <f t="shared" si="5"/>
        <v>49017</v>
      </c>
      <c r="J101" s="2">
        <f t="shared" ca="1" si="6"/>
        <v>93</v>
      </c>
      <c r="K101" s="2" t="str">
        <f t="shared" ca="1" si="7"/>
        <v>90+ Days</v>
      </c>
      <c r="L101" s="2" t="str">
        <f t="shared" ca="1" si="8"/>
        <v>HIGH RISK</v>
      </c>
      <c r="M101" s="2" t="str">
        <f t="shared" ca="1" si="9"/>
        <v>Immediate Action</v>
      </c>
      <c r="N101" s="2" t="s">
        <v>63</v>
      </c>
      <c r="O101" s="2" t="s">
        <v>218</v>
      </c>
    </row>
    <row r="102" spans="1:15">
      <c r="A102" s="5">
        <v>101</v>
      </c>
      <c r="B102" s="5" t="s">
        <v>39</v>
      </c>
      <c r="C102" s="11">
        <v>46083</v>
      </c>
      <c r="D102" s="5" t="s">
        <v>219</v>
      </c>
      <c r="E102" s="5" t="s">
        <v>220</v>
      </c>
      <c r="F102" s="6">
        <v>14106</v>
      </c>
      <c r="G102" s="11">
        <v>46108</v>
      </c>
      <c r="H102" s="6">
        <v>0</v>
      </c>
      <c r="I102" s="6">
        <f t="shared" si="5"/>
        <v>14106</v>
      </c>
      <c r="J102" s="5">
        <f t="shared" ca="1" si="6"/>
        <v>56</v>
      </c>
      <c r="K102" s="5" t="str">
        <f t="shared" ca="1" si="7"/>
        <v>31-60 Days</v>
      </c>
      <c r="L102" s="5" t="str">
        <f t="shared" ca="1" si="8"/>
        <v>Low-Medium</v>
      </c>
      <c r="M102" s="5" t="str">
        <f t="shared" ca="1" si="9"/>
        <v>Medium</v>
      </c>
      <c r="N102" s="5" t="s">
        <v>63</v>
      </c>
      <c r="O102" s="5"/>
    </row>
    <row r="103" spans="1:15">
      <c r="A103" s="2">
        <v>102</v>
      </c>
      <c r="B103" s="2" t="s">
        <v>39</v>
      </c>
      <c r="C103" s="12">
        <v>46076</v>
      </c>
      <c r="D103" s="2" t="s">
        <v>221</v>
      </c>
      <c r="E103" s="2" t="s">
        <v>222</v>
      </c>
      <c r="F103" s="3">
        <v>9399</v>
      </c>
      <c r="G103" s="12">
        <v>46101</v>
      </c>
      <c r="H103" s="3">
        <v>0</v>
      </c>
      <c r="I103" s="3">
        <f t="shared" si="5"/>
        <v>9399</v>
      </c>
      <c r="J103" s="2">
        <f t="shared" ca="1" si="6"/>
        <v>63</v>
      </c>
      <c r="K103" s="2" t="str">
        <f t="shared" ca="1" si="7"/>
        <v>61-90 Days</v>
      </c>
      <c r="L103" s="2" t="str">
        <f t="shared" ca="1" si="8"/>
        <v>Medium</v>
      </c>
      <c r="M103" s="2" t="str">
        <f t="shared" ca="1" si="9"/>
        <v>Urgent</v>
      </c>
      <c r="N103" s="2" t="s">
        <v>63</v>
      </c>
      <c r="O103" s="2" t="s">
        <v>223</v>
      </c>
    </row>
    <row r="104" spans="1:15">
      <c r="A104" s="5">
        <v>103</v>
      </c>
      <c r="B104" s="5" t="s">
        <v>39</v>
      </c>
      <c r="C104" s="11">
        <v>46133</v>
      </c>
      <c r="D104" s="5" t="s">
        <v>224</v>
      </c>
      <c r="E104" s="5" t="s">
        <v>225</v>
      </c>
      <c r="F104" s="6">
        <v>670</v>
      </c>
      <c r="G104" s="11">
        <v>46158</v>
      </c>
      <c r="H104" s="6">
        <v>0</v>
      </c>
      <c r="I104" s="6">
        <f t="shared" si="5"/>
        <v>670</v>
      </c>
      <c r="J104" s="5">
        <f t="shared" ca="1" si="6"/>
        <v>6</v>
      </c>
      <c r="K104" s="5" t="str">
        <f t="shared" ca="1" si="7"/>
        <v>0-30 Days</v>
      </c>
      <c r="L104" s="5" t="str">
        <f t="shared" ca="1" si="8"/>
        <v>Low</v>
      </c>
      <c r="M104" s="5" t="str">
        <f t="shared" ca="1" si="9"/>
        <v>Normal</v>
      </c>
      <c r="N104" s="5" t="s">
        <v>63</v>
      </c>
      <c r="O104" s="5"/>
    </row>
    <row r="105" spans="1:15">
      <c r="A105" s="2">
        <v>104</v>
      </c>
      <c r="B105" s="2" t="s">
        <v>39</v>
      </c>
      <c r="C105" s="12">
        <v>46057</v>
      </c>
      <c r="D105" s="2" t="s">
        <v>226</v>
      </c>
      <c r="E105" s="2" t="s">
        <v>227</v>
      </c>
      <c r="F105" s="3">
        <v>5370</v>
      </c>
      <c r="G105" s="12">
        <v>46082</v>
      </c>
      <c r="H105" s="3">
        <v>0</v>
      </c>
      <c r="I105" s="3">
        <f t="shared" si="5"/>
        <v>5370</v>
      </c>
      <c r="J105" s="2">
        <f t="shared" ca="1" si="6"/>
        <v>82</v>
      </c>
      <c r="K105" s="2" t="str">
        <f t="shared" ca="1" si="7"/>
        <v>61-90 Days</v>
      </c>
      <c r="L105" s="2" t="str">
        <f t="shared" ca="1" si="8"/>
        <v>Medium</v>
      </c>
      <c r="M105" s="2" t="str">
        <f t="shared" ca="1" si="9"/>
        <v>Urgent</v>
      </c>
      <c r="N105" s="2" t="s">
        <v>63</v>
      </c>
      <c r="O105" s="2"/>
    </row>
    <row r="106" spans="1:15">
      <c r="A106" s="5">
        <v>105</v>
      </c>
      <c r="B106" s="5" t="s">
        <v>39</v>
      </c>
      <c r="C106" s="11">
        <v>45968</v>
      </c>
      <c r="D106" s="5" t="s">
        <v>228</v>
      </c>
      <c r="E106" s="5" t="s">
        <v>229</v>
      </c>
      <c r="F106" s="6">
        <v>5248</v>
      </c>
      <c r="G106" s="11">
        <v>45993</v>
      </c>
      <c r="H106" s="6">
        <v>0</v>
      </c>
      <c r="I106" s="6">
        <f t="shared" si="5"/>
        <v>5248</v>
      </c>
      <c r="J106" s="5">
        <f t="shared" ca="1" si="6"/>
        <v>171</v>
      </c>
      <c r="K106" s="5" t="str">
        <f t="shared" ca="1" si="7"/>
        <v>90+ Days</v>
      </c>
      <c r="L106" s="5" t="str">
        <f t="shared" ca="1" si="8"/>
        <v>HIGH RISK</v>
      </c>
      <c r="M106" s="5" t="str">
        <f t="shared" ca="1" si="9"/>
        <v>Immediate Action</v>
      </c>
      <c r="N106" s="5" t="s">
        <v>63</v>
      </c>
      <c r="O106" s="5" t="s">
        <v>230</v>
      </c>
    </row>
    <row r="107" spans="1:15">
      <c r="A107" s="2">
        <v>106</v>
      </c>
      <c r="B107" s="2" t="s">
        <v>39</v>
      </c>
      <c r="C107" s="12">
        <v>45981</v>
      </c>
      <c r="D107" s="2" t="s">
        <v>231</v>
      </c>
      <c r="E107" s="2" t="s">
        <v>229</v>
      </c>
      <c r="F107" s="3">
        <v>1170</v>
      </c>
      <c r="G107" s="12">
        <v>46006</v>
      </c>
      <c r="H107" s="3">
        <v>0</v>
      </c>
      <c r="I107" s="3">
        <f t="shared" si="5"/>
        <v>1170</v>
      </c>
      <c r="J107" s="2">
        <f t="shared" ca="1" si="6"/>
        <v>158</v>
      </c>
      <c r="K107" s="2" t="str">
        <f t="shared" ca="1" si="7"/>
        <v>90+ Days</v>
      </c>
      <c r="L107" s="2" t="str">
        <f t="shared" ca="1" si="8"/>
        <v>HIGH RISK</v>
      </c>
      <c r="M107" s="2" t="str">
        <f t="shared" ca="1" si="9"/>
        <v>Immediate Action</v>
      </c>
      <c r="N107" s="2" t="s">
        <v>63</v>
      </c>
      <c r="O107" s="2" t="s">
        <v>230</v>
      </c>
    </row>
    <row r="108" spans="1:15">
      <c r="A108" s="5">
        <v>107</v>
      </c>
      <c r="B108" s="5" t="s">
        <v>39</v>
      </c>
      <c r="C108" s="11">
        <v>45987</v>
      </c>
      <c r="D108" s="5" t="s">
        <v>232</v>
      </c>
      <c r="E108" s="5" t="s">
        <v>229</v>
      </c>
      <c r="F108" s="6">
        <v>6342</v>
      </c>
      <c r="G108" s="11">
        <v>46012</v>
      </c>
      <c r="H108" s="6">
        <v>0</v>
      </c>
      <c r="I108" s="6">
        <f t="shared" si="5"/>
        <v>6342</v>
      </c>
      <c r="J108" s="5">
        <f t="shared" ca="1" si="6"/>
        <v>152</v>
      </c>
      <c r="K108" s="5" t="str">
        <f t="shared" ca="1" si="7"/>
        <v>90+ Days</v>
      </c>
      <c r="L108" s="5" t="str">
        <f t="shared" ca="1" si="8"/>
        <v>HIGH RISK</v>
      </c>
      <c r="M108" s="5" t="str">
        <f t="shared" ca="1" si="9"/>
        <v>Immediate Action</v>
      </c>
      <c r="N108" s="5" t="s">
        <v>63</v>
      </c>
      <c r="O108" s="5" t="s">
        <v>230</v>
      </c>
    </row>
    <row r="109" spans="1:15">
      <c r="A109" s="2">
        <v>108</v>
      </c>
      <c r="B109" s="2" t="s">
        <v>39</v>
      </c>
      <c r="C109" s="12">
        <v>46049</v>
      </c>
      <c r="D109" s="2" t="s">
        <v>233</v>
      </c>
      <c r="E109" s="2" t="s">
        <v>229</v>
      </c>
      <c r="F109" s="3">
        <v>47824</v>
      </c>
      <c r="G109" s="12">
        <v>46074</v>
      </c>
      <c r="H109" s="3">
        <v>0</v>
      </c>
      <c r="I109" s="3">
        <f t="shared" si="5"/>
        <v>47824</v>
      </c>
      <c r="J109" s="2">
        <f t="shared" ca="1" si="6"/>
        <v>90</v>
      </c>
      <c r="K109" s="2" t="str">
        <f t="shared" ca="1" si="7"/>
        <v>61-90 Days</v>
      </c>
      <c r="L109" s="2" t="str">
        <f t="shared" ca="1" si="8"/>
        <v>Medium</v>
      </c>
      <c r="M109" s="2" t="str">
        <f t="shared" ca="1" si="9"/>
        <v>Urgent</v>
      </c>
      <c r="N109" s="2" t="s">
        <v>63</v>
      </c>
      <c r="O109" s="2" t="s">
        <v>230</v>
      </c>
    </row>
    <row r="110" spans="1:15">
      <c r="A110" s="5">
        <v>109</v>
      </c>
      <c r="B110" s="5" t="s">
        <v>39</v>
      </c>
      <c r="C110" s="11">
        <v>46052</v>
      </c>
      <c r="D110" s="5" t="s">
        <v>234</v>
      </c>
      <c r="E110" s="5" t="s">
        <v>235</v>
      </c>
      <c r="F110" s="6">
        <v>25760</v>
      </c>
      <c r="G110" s="11">
        <v>46077</v>
      </c>
      <c r="H110" s="6">
        <v>0</v>
      </c>
      <c r="I110" s="6">
        <f t="shared" si="5"/>
        <v>25760</v>
      </c>
      <c r="J110" s="5">
        <f t="shared" ca="1" si="6"/>
        <v>87</v>
      </c>
      <c r="K110" s="5" t="str">
        <f t="shared" ca="1" si="7"/>
        <v>61-90 Days</v>
      </c>
      <c r="L110" s="5" t="str">
        <f t="shared" ca="1" si="8"/>
        <v>Medium</v>
      </c>
      <c r="M110" s="5" t="str">
        <f t="shared" ca="1" si="9"/>
        <v>Urgent</v>
      </c>
      <c r="N110" s="5" t="s">
        <v>63</v>
      </c>
      <c r="O110" s="5"/>
    </row>
    <row r="111" spans="1:15">
      <c r="A111" s="2">
        <v>110</v>
      </c>
      <c r="B111" s="2" t="s">
        <v>39</v>
      </c>
      <c r="C111" s="12">
        <v>46007</v>
      </c>
      <c r="D111" s="2" t="s">
        <v>236</v>
      </c>
      <c r="E111" s="2" t="s">
        <v>237</v>
      </c>
      <c r="F111" s="3">
        <v>100</v>
      </c>
      <c r="G111" s="12">
        <v>46032</v>
      </c>
      <c r="H111" s="3">
        <v>0</v>
      </c>
      <c r="I111" s="3">
        <f t="shared" si="5"/>
        <v>100</v>
      </c>
      <c r="J111" s="2">
        <f t="shared" ca="1" si="6"/>
        <v>132</v>
      </c>
      <c r="K111" s="2" t="str">
        <f t="shared" ca="1" si="7"/>
        <v>90+ Days</v>
      </c>
      <c r="L111" s="2" t="str">
        <f t="shared" ca="1" si="8"/>
        <v>HIGH RISK</v>
      </c>
      <c r="M111" s="2" t="str">
        <f t="shared" ca="1" si="9"/>
        <v>Immediate Action</v>
      </c>
      <c r="N111" s="2" t="s">
        <v>63</v>
      </c>
      <c r="O111" s="2"/>
    </row>
    <row r="112" spans="1:15">
      <c r="A112" s="5">
        <v>111</v>
      </c>
      <c r="B112" s="5" t="s">
        <v>39</v>
      </c>
      <c r="C112" s="11">
        <v>46129</v>
      </c>
      <c r="D112" s="5" t="s">
        <v>238</v>
      </c>
      <c r="E112" s="5" t="s">
        <v>239</v>
      </c>
      <c r="F112" s="6">
        <v>5517</v>
      </c>
      <c r="G112" s="11">
        <v>46154</v>
      </c>
      <c r="H112" s="6">
        <v>0</v>
      </c>
      <c r="I112" s="6">
        <f t="shared" si="5"/>
        <v>5517</v>
      </c>
      <c r="J112" s="5">
        <f t="shared" ca="1" si="6"/>
        <v>10</v>
      </c>
      <c r="K112" s="5" t="str">
        <f t="shared" ca="1" si="7"/>
        <v>0-30 Days</v>
      </c>
      <c r="L112" s="5" t="str">
        <f t="shared" ca="1" si="8"/>
        <v>Low</v>
      </c>
      <c r="M112" s="5" t="str">
        <f t="shared" ca="1" si="9"/>
        <v>Normal</v>
      </c>
      <c r="N112" s="5" t="s">
        <v>63</v>
      </c>
      <c r="O112" s="5"/>
    </row>
    <row r="113" spans="1:15">
      <c r="A113" s="2">
        <v>112</v>
      </c>
      <c r="B113" s="2" t="s">
        <v>39</v>
      </c>
      <c r="C113" s="12">
        <v>46105</v>
      </c>
      <c r="D113" s="2" t="s">
        <v>240</v>
      </c>
      <c r="E113" s="2" t="s">
        <v>241</v>
      </c>
      <c r="F113" s="3">
        <v>12031</v>
      </c>
      <c r="G113" s="12">
        <v>46130</v>
      </c>
      <c r="H113" s="3">
        <v>0</v>
      </c>
      <c r="I113" s="3">
        <f t="shared" si="5"/>
        <v>12031</v>
      </c>
      <c r="J113" s="2">
        <f t="shared" ca="1" si="6"/>
        <v>34</v>
      </c>
      <c r="K113" s="2" t="str">
        <f t="shared" ca="1" si="7"/>
        <v>31-60 Days</v>
      </c>
      <c r="L113" s="2" t="str">
        <f t="shared" ca="1" si="8"/>
        <v>Low-Medium</v>
      </c>
      <c r="M113" s="2" t="str">
        <f t="shared" ca="1" si="9"/>
        <v>Medium</v>
      </c>
      <c r="N113" s="2" t="s">
        <v>63</v>
      </c>
      <c r="O113" s="2" t="s">
        <v>242</v>
      </c>
    </row>
    <row r="114" spans="1:15">
      <c r="A114" s="5">
        <v>113</v>
      </c>
      <c r="B114" s="5" t="s">
        <v>39</v>
      </c>
      <c r="C114" s="11">
        <v>46122</v>
      </c>
      <c r="D114" s="5" t="s">
        <v>243</v>
      </c>
      <c r="E114" s="5" t="s">
        <v>241</v>
      </c>
      <c r="F114" s="6">
        <v>6100</v>
      </c>
      <c r="G114" s="11">
        <v>46147</v>
      </c>
      <c r="H114" s="6">
        <v>0</v>
      </c>
      <c r="I114" s="6">
        <f t="shared" si="5"/>
        <v>6100</v>
      </c>
      <c r="J114" s="5">
        <f t="shared" ca="1" si="6"/>
        <v>17</v>
      </c>
      <c r="K114" s="5" t="str">
        <f t="shared" ca="1" si="7"/>
        <v>0-30 Days</v>
      </c>
      <c r="L114" s="5" t="str">
        <f t="shared" ca="1" si="8"/>
        <v>Low</v>
      </c>
      <c r="M114" s="5" t="str">
        <f t="shared" ca="1" si="9"/>
        <v>Normal</v>
      </c>
      <c r="N114" s="5" t="s">
        <v>63</v>
      </c>
      <c r="O114" s="5" t="s">
        <v>242</v>
      </c>
    </row>
    <row r="115" spans="1:15">
      <c r="A115" s="2">
        <v>114</v>
      </c>
      <c r="B115" s="2" t="s">
        <v>39</v>
      </c>
      <c r="C115" s="12">
        <v>46137</v>
      </c>
      <c r="D115" s="2" t="s">
        <v>244</v>
      </c>
      <c r="E115" s="2" t="s">
        <v>241</v>
      </c>
      <c r="F115" s="3">
        <v>3812</v>
      </c>
      <c r="G115" s="12">
        <v>46162</v>
      </c>
      <c r="H115" s="3">
        <v>0</v>
      </c>
      <c r="I115" s="3">
        <f t="shared" si="5"/>
        <v>3812</v>
      </c>
      <c r="J115" s="2">
        <f t="shared" ca="1" si="6"/>
        <v>2</v>
      </c>
      <c r="K115" s="2" t="str">
        <f t="shared" ca="1" si="7"/>
        <v>0-30 Days</v>
      </c>
      <c r="L115" s="2" t="str">
        <f t="shared" ca="1" si="8"/>
        <v>Low</v>
      </c>
      <c r="M115" s="2" t="str">
        <f t="shared" ca="1" si="9"/>
        <v>Normal</v>
      </c>
      <c r="N115" s="2" t="s">
        <v>63</v>
      </c>
      <c r="O115" s="2"/>
    </row>
    <row r="116" spans="1:15">
      <c r="A116" s="5">
        <v>115</v>
      </c>
      <c r="B116" s="5" t="s">
        <v>39</v>
      </c>
      <c r="C116" s="11">
        <v>46059</v>
      </c>
      <c r="D116" s="5" t="s">
        <v>245</v>
      </c>
      <c r="E116" s="5" t="s">
        <v>246</v>
      </c>
      <c r="F116" s="6">
        <v>19279</v>
      </c>
      <c r="G116" s="11">
        <v>46084</v>
      </c>
      <c r="H116" s="6">
        <v>0</v>
      </c>
      <c r="I116" s="6">
        <f t="shared" si="5"/>
        <v>19279</v>
      </c>
      <c r="J116" s="5">
        <f t="shared" ca="1" si="6"/>
        <v>80</v>
      </c>
      <c r="K116" s="5" t="str">
        <f t="shared" ca="1" si="7"/>
        <v>61-90 Days</v>
      </c>
      <c r="L116" s="5" t="str">
        <f t="shared" ca="1" si="8"/>
        <v>Medium</v>
      </c>
      <c r="M116" s="5" t="str">
        <f t="shared" ca="1" si="9"/>
        <v>Urgent</v>
      </c>
      <c r="N116" s="5" t="s">
        <v>63</v>
      </c>
      <c r="O116" s="5"/>
    </row>
    <row r="117" spans="1:15">
      <c r="A117" s="2">
        <v>116</v>
      </c>
      <c r="B117" s="2" t="s">
        <v>39</v>
      </c>
      <c r="C117" s="12">
        <v>46105</v>
      </c>
      <c r="D117" s="2" t="s">
        <v>247</v>
      </c>
      <c r="E117" s="2" t="s">
        <v>248</v>
      </c>
      <c r="F117" s="3">
        <v>3988</v>
      </c>
      <c r="G117" s="12">
        <v>46130</v>
      </c>
      <c r="H117" s="3">
        <v>0</v>
      </c>
      <c r="I117" s="3">
        <f t="shared" si="5"/>
        <v>3988</v>
      </c>
      <c r="J117" s="2">
        <f t="shared" ca="1" si="6"/>
        <v>34</v>
      </c>
      <c r="K117" s="2" t="str">
        <f t="shared" ca="1" si="7"/>
        <v>31-60 Days</v>
      </c>
      <c r="L117" s="2" t="str">
        <f t="shared" ca="1" si="8"/>
        <v>Low-Medium</v>
      </c>
      <c r="M117" s="2" t="str">
        <f t="shared" ca="1" si="9"/>
        <v>Medium</v>
      </c>
      <c r="N117" s="2" t="s">
        <v>63</v>
      </c>
      <c r="O117" s="2"/>
    </row>
    <row r="118" spans="1:15">
      <c r="A118" s="5">
        <v>117</v>
      </c>
      <c r="B118" s="5" t="s">
        <v>39</v>
      </c>
      <c r="C118" s="11">
        <v>46121</v>
      </c>
      <c r="D118" s="5" t="s">
        <v>249</v>
      </c>
      <c r="E118" s="5" t="s">
        <v>248</v>
      </c>
      <c r="F118" s="6">
        <v>2021</v>
      </c>
      <c r="G118" s="11">
        <v>46146</v>
      </c>
      <c r="H118" s="6">
        <v>0</v>
      </c>
      <c r="I118" s="6">
        <f t="shared" si="5"/>
        <v>2021</v>
      </c>
      <c r="J118" s="5">
        <f t="shared" ca="1" si="6"/>
        <v>18</v>
      </c>
      <c r="K118" s="5" t="str">
        <f t="shared" ca="1" si="7"/>
        <v>0-30 Days</v>
      </c>
      <c r="L118" s="5" t="str">
        <f t="shared" ca="1" si="8"/>
        <v>Low</v>
      </c>
      <c r="M118" s="5" t="str">
        <f t="shared" ca="1" si="9"/>
        <v>Normal</v>
      </c>
      <c r="N118" s="5" t="s">
        <v>63</v>
      </c>
      <c r="O118" s="5"/>
    </row>
    <row r="119" spans="1:15">
      <c r="A119" s="2">
        <v>118</v>
      </c>
      <c r="B119" s="2" t="s">
        <v>39</v>
      </c>
      <c r="C119" s="12">
        <v>46107</v>
      </c>
      <c r="D119" s="2" t="s">
        <v>250</v>
      </c>
      <c r="E119" s="2" t="s">
        <v>251</v>
      </c>
      <c r="F119" s="3">
        <v>28248</v>
      </c>
      <c r="G119" s="12">
        <v>46132</v>
      </c>
      <c r="H119" s="3">
        <v>0</v>
      </c>
      <c r="I119" s="3">
        <f t="shared" si="5"/>
        <v>28248</v>
      </c>
      <c r="J119" s="2">
        <f t="shared" ca="1" si="6"/>
        <v>32</v>
      </c>
      <c r="K119" s="2" t="str">
        <f t="shared" ca="1" si="7"/>
        <v>31-60 Days</v>
      </c>
      <c r="L119" s="2" t="str">
        <f t="shared" ca="1" si="8"/>
        <v>Low-Medium</v>
      </c>
      <c r="M119" s="2" t="str">
        <f t="shared" ca="1" si="9"/>
        <v>Medium</v>
      </c>
      <c r="N119" s="2" t="s">
        <v>63</v>
      </c>
      <c r="O119" s="2"/>
    </row>
    <row r="120" spans="1:15">
      <c r="A120" s="5">
        <v>119</v>
      </c>
      <c r="B120" s="5" t="s">
        <v>39</v>
      </c>
      <c r="C120" s="11">
        <v>46130</v>
      </c>
      <c r="D120" s="5" t="s">
        <v>252</v>
      </c>
      <c r="E120" s="5" t="s">
        <v>253</v>
      </c>
      <c r="F120" s="6">
        <v>3176</v>
      </c>
      <c r="G120" s="11">
        <v>46155</v>
      </c>
      <c r="H120" s="6">
        <v>0</v>
      </c>
      <c r="I120" s="6">
        <f t="shared" si="5"/>
        <v>3176</v>
      </c>
      <c r="J120" s="5">
        <f t="shared" ca="1" si="6"/>
        <v>9</v>
      </c>
      <c r="K120" s="5" t="str">
        <f t="shared" ca="1" si="7"/>
        <v>0-30 Days</v>
      </c>
      <c r="L120" s="5" t="str">
        <f t="shared" ca="1" si="8"/>
        <v>Low</v>
      </c>
      <c r="M120" s="5" t="str">
        <f t="shared" ca="1" si="9"/>
        <v>Normal</v>
      </c>
      <c r="N120" s="5" t="s">
        <v>63</v>
      </c>
      <c r="O120" s="5"/>
    </row>
    <row r="121" spans="1:15">
      <c r="A121" s="2">
        <v>120</v>
      </c>
      <c r="B121" s="2" t="s">
        <v>39</v>
      </c>
      <c r="C121" s="12">
        <v>46134</v>
      </c>
      <c r="D121" s="2" t="s">
        <v>254</v>
      </c>
      <c r="E121" s="2" t="s">
        <v>255</v>
      </c>
      <c r="F121" s="3">
        <v>458</v>
      </c>
      <c r="G121" s="12">
        <v>46159</v>
      </c>
      <c r="H121" s="3">
        <v>0</v>
      </c>
      <c r="I121" s="3">
        <f t="shared" si="5"/>
        <v>458</v>
      </c>
      <c r="J121" s="2">
        <f t="shared" ca="1" si="6"/>
        <v>5</v>
      </c>
      <c r="K121" s="2" t="str">
        <f t="shared" ca="1" si="7"/>
        <v>0-30 Days</v>
      </c>
      <c r="L121" s="2" t="str">
        <f t="shared" ca="1" si="8"/>
        <v>Low</v>
      </c>
      <c r="M121" s="2" t="str">
        <f t="shared" ca="1" si="9"/>
        <v>Normal</v>
      </c>
      <c r="N121" s="2" t="s">
        <v>63</v>
      </c>
      <c r="O121" s="2"/>
    </row>
    <row r="122" spans="1:15">
      <c r="A122" s="5">
        <v>121</v>
      </c>
      <c r="B122" s="5" t="s">
        <v>39</v>
      </c>
      <c r="C122" s="11">
        <v>45965</v>
      </c>
      <c r="D122" s="5" t="s">
        <v>256</v>
      </c>
      <c r="E122" s="5" t="s">
        <v>257</v>
      </c>
      <c r="F122" s="6">
        <v>9357</v>
      </c>
      <c r="G122" s="11">
        <v>45990</v>
      </c>
      <c r="H122" s="6">
        <v>0</v>
      </c>
      <c r="I122" s="6">
        <f t="shared" si="5"/>
        <v>9357</v>
      </c>
      <c r="J122" s="5">
        <f t="shared" ca="1" si="6"/>
        <v>174</v>
      </c>
      <c r="K122" s="5" t="str">
        <f t="shared" ca="1" si="7"/>
        <v>90+ Days</v>
      </c>
      <c r="L122" s="5" t="str">
        <f t="shared" ca="1" si="8"/>
        <v>HIGH RISK</v>
      </c>
      <c r="M122" s="5" t="str">
        <f t="shared" ca="1" si="9"/>
        <v>Immediate Action</v>
      </c>
      <c r="N122" s="5" t="s">
        <v>63</v>
      </c>
      <c r="O122" s="5" t="s">
        <v>258</v>
      </c>
    </row>
    <row r="123" spans="1:15">
      <c r="A123" s="2">
        <v>122</v>
      </c>
      <c r="B123" s="2" t="s">
        <v>39</v>
      </c>
      <c r="C123" s="12">
        <v>46021</v>
      </c>
      <c r="D123" s="2" t="s">
        <v>259</v>
      </c>
      <c r="E123" s="2" t="s">
        <v>257</v>
      </c>
      <c r="F123" s="3">
        <v>643</v>
      </c>
      <c r="G123" s="12">
        <v>46046</v>
      </c>
      <c r="H123" s="3">
        <v>0</v>
      </c>
      <c r="I123" s="3">
        <f t="shared" si="5"/>
        <v>643</v>
      </c>
      <c r="J123" s="2">
        <f t="shared" ca="1" si="6"/>
        <v>118</v>
      </c>
      <c r="K123" s="2" t="str">
        <f t="shared" ca="1" si="7"/>
        <v>90+ Days</v>
      </c>
      <c r="L123" s="2" t="str">
        <f t="shared" ca="1" si="8"/>
        <v>HIGH RISK</v>
      </c>
      <c r="M123" s="2" t="str">
        <f t="shared" ca="1" si="9"/>
        <v>Immediate Action</v>
      </c>
      <c r="N123" s="2" t="s">
        <v>63</v>
      </c>
      <c r="O123" s="2"/>
    </row>
    <row r="124" spans="1:15">
      <c r="A124" s="5">
        <v>123</v>
      </c>
      <c r="B124" s="5" t="s">
        <v>39</v>
      </c>
      <c r="C124" s="11">
        <v>46099</v>
      </c>
      <c r="D124" s="5" t="s">
        <v>260</v>
      </c>
      <c r="E124" s="5" t="s">
        <v>261</v>
      </c>
      <c r="F124" s="6">
        <v>12623</v>
      </c>
      <c r="G124" s="11">
        <v>46124</v>
      </c>
      <c r="H124" s="6">
        <v>0</v>
      </c>
      <c r="I124" s="6">
        <f t="shared" si="5"/>
        <v>12623</v>
      </c>
      <c r="J124" s="5">
        <f t="shared" ca="1" si="6"/>
        <v>40</v>
      </c>
      <c r="K124" s="5" t="str">
        <f t="shared" ca="1" si="7"/>
        <v>31-60 Days</v>
      </c>
      <c r="L124" s="5" t="str">
        <f t="shared" ca="1" si="8"/>
        <v>Low-Medium</v>
      </c>
      <c r="M124" s="5" t="str">
        <f t="shared" ca="1" si="9"/>
        <v>Medium</v>
      </c>
      <c r="N124" s="5" t="s">
        <v>63</v>
      </c>
      <c r="O124" s="5"/>
    </row>
    <row r="125" spans="1:15">
      <c r="A125" s="2">
        <v>124</v>
      </c>
      <c r="B125" s="2" t="s">
        <v>39</v>
      </c>
      <c r="C125" s="12">
        <v>46059</v>
      </c>
      <c r="D125" s="2" t="s">
        <v>262</v>
      </c>
      <c r="E125" s="2" t="s">
        <v>263</v>
      </c>
      <c r="F125" s="3">
        <v>9634</v>
      </c>
      <c r="G125" s="12">
        <v>46084</v>
      </c>
      <c r="H125" s="3">
        <v>0</v>
      </c>
      <c r="I125" s="3">
        <f t="shared" si="5"/>
        <v>9634</v>
      </c>
      <c r="J125" s="2">
        <f t="shared" ca="1" si="6"/>
        <v>80</v>
      </c>
      <c r="K125" s="2" t="str">
        <f t="shared" ca="1" si="7"/>
        <v>61-90 Days</v>
      </c>
      <c r="L125" s="2" t="str">
        <f t="shared" ca="1" si="8"/>
        <v>Medium</v>
      </c>
      <c r="M125" s="2" t="str">
        <f t="shared" ca="1" si="9"/>
        <v>Urgent</v>
      </c>
      <c r="N125" s="2" t="s">
        <v>63</v>
      </c>
      <c r="O125" s="2"/>
    </row>
    <row r="126" spans="1:15">
      <c r="A126" s="5">
        <v>125</v>
      </c>
      <c r="B126" s="5" t="s">
        <v>39</v>
      </c>
      <c r="C126" s="11">
        <v>46088</v>
      </c>
      <c r="D126" s="5" t="s">
        <v>264</v>
      </c>
      <c r="E126" s="5" t="s">
        <v>263</v>
      </c>
      <c r="F126" s="6">
        <v>4466</v>
      </c>
      <c r="G126" s="11">
        <v>46113</v>
      </c>
      <c r="H126" s="6">
        <v>0</v>
      </c>
      <c r="I126" s="6">
        <f t="shared" si="5"/>
        <v>4466</v>
      </c>
      <c r="J126" s="5">
        <f t="shared" ca="1" si="6"/>
        <v>51</v>
      </c>
      <c r="K126" s="5" t="str">
        <f t="shared" ca="1" si="7"/>
        <v>31-60 Days</v>
      </c>
      <c r="L126" s="5" t="str">
        <f t="shared" ca="1" si="8"/>
        <v>Low-Medium</v>
      </c>
      <c r="M126" s="5" t="str">
        <f t="shared" ca="1" si="9"/>
        <v>Medium</v>
      </c>
      <c r="N126" s="5" t="s">
        <v>63</v>
      </c>
      <c r="O126" s="5"/>
    </row>
    <row r="127" spans="1:15">
      <c r="A127" s="2">
        <v>126</v>
      </c>
      <c r="B127" s="2" t="s">
        <v>39</v>
      </c>
      <c r="C127" s="12">
        <v>46084</v>
      </c>
      <c r="D127" s="2" t="s">
        <v>265</v>
      </c>
      <c r="E127" s="2" t="s">
        <v>266</v>
      </c>
      <c r="F127" s="3">
        <v>6372</v>
      </c>
      <c r="G127" s="12">
        <v>46109</v>
      </c>
      <c r="H127" s="3">
        <v>0</v>
      </c>
      <c r="I127" s="3">
        <f t="shared" si="5"/>
        <v>6372</v>
      </c>
      <c r="J127" s="2">
        <f t="shared" ca="1" si="6"/>
        <v>55</v>
      </c>
      <c r="K127" s="2" t="str">
        <f t="shared" ca="1" si="7"/>
        <v>31-60 Days</v>
      </c>
      <c r="L127" s="2" t="str">
        <f t="shared" ca="1" si="8"/>
        <v>Low-Medium</v>
      </c>
      <c r="M127" s="2" t="str">
        <f t="shared" ca="1" si="9"/>
        <v>Medium</v>
      </c>
      <c r="N127" s="2" t="s">
        <v>63</v>
      </c>
      <c r="O127" s="2"/>
    </row>
    <row r="128" spans="1:15">
      <c r="A128" s="5">
        <v>127</v>
      </c>
      <c r="B128" s="5" t="s">
        <v>39</v>
      </c>
      <c r="C128" s="11">
        <v>46070</v>
      </c>
      <c r="D128" s="5" t="s">
        <v>267</v>
      </c>
      <c r="E128" s="5" t="s">
        <v>268</v>
      </c>
      <c r="F128" s="6">
        <v>9276</v>
      </c>
      <c r="G128" s="11">
        <v>46095</v>
      </c>
      <c r="H128" s="6">
        <v>0</v>
      </c>
      <c r="I128" s="6">
        <f t="shared" si="5"/>
        <v>9276</v>
      </c>
      <c r="J128" s="5">
        <f t="shared" ca="1" si="6"/>
        <v>69</v>
      </c>
      <c r="K128" s="5" t="str">
        <f t="shared" ca="1" si="7"/>
        <v>61-90 Days</v>
      </c>
      <c r="L128" s="5" t="str">
        <f t="shared" ca="1" si="8"/>
        <v>Medium</v>
      </c>
      <c r="M128" s="5" t="str">
        <f t="shared" ca="1" si="9"/>
        <v>Urgent</v>
      </c>
      <c r="N128" s="5" t="s">
        <v>63</v>
      </c>
      <c r="O128" s="5"/>
    </row>
    <row r="129" spans="1:15">
      <c r="A129" s="2">
        <v>128</v>
      </c>
      <c r="B129" s="2" t="s">
        <v>39</v>
      </c>
      <c r="C129" s="12">
        <v>46071</v>
      </c>
      <c r="D129" s="2" t="s">
        <v>269</v>
      </c>
      <c r="E129" s="2" t="s">
        <v>268</v>
      </c>
      <c r="F129" s="3">
        <v>1274</v>
      </c>
      <c r="G129" s="12">
        <v>46096</v>
      </c>
      <c r="H129" s="3">
        <v>0</v>
      </c>
      <c r="I129" s="3">
        <f t="shared" si="5"/>
        <v>1274</v>
      </c>
      <c r="J129" s="2">
        <f t="shared" ca="1" si="6"/>
        <v>68</v>
      </c>
      <c r="K129" s="2" t="str">
        <f t="shared" ca="1" si="7"/>
        <v>61-90 Days</v>
      </c>
      <c r="L129" s="2" t="str">
        <f t="shared" ca="1" si="8"/>
        <v>Medium</v>
      </c>
      <c r="M129" s="2" t="str">
        <f t="shared" ca="1" si="9"/>
        <v>Urgent</v>
      </c>
      <c r="N129" s="2" t="s">
        <v>63</v>
      </c>
      <c r="O129" s="2"/>
    </row>
    <row r="130" spans="1:15">
      <c r="A130" s="5">
        <v>129</v>
      </c>
      <c r="B130" s="5" t="s">
        <v>39</v>
      </c>
      <c r="C130" s="11">
        <v>46084</v>
      </c>
      <c r="D130" s="5" t="s">
        <v>270</v>
      </c>
      <c r="E130" s="5" t="s">
        <v>268</v>
      </c>
      <c r="F130" s="6">
        <v>6712</v>
      </c>
      <c r="G130" s="11">
        <v>46109</v>
      </c>
      <c r="H130" s="6">
        <v>0</v>
      </c>
      <c r="I130" s="6">
        <f t="shared" ref="I130:I193" si="10">MAX(0,F130-H130)</f>
        <v>6712</v>
      </c>
      <c r="J130" s="5">
        <f t="shared" ref="J130:J193" ca="1" si="11">IF(G130="",0,MAX(0,TODAY()-G130))</f>
        <v>55</v>
      </c>
      <c r="K130" s="5" t="str">
        <f t="shared" ref="K130:K193" ca="1" si="12">IF(I130&lt;=0,"Current",IF(J130&lt;=30,"0-30 Days",IF(J130&lt;=60,"31-60 Days",IF(J130&lt;=90,"61-90 Days","90+ Days"))))</f>
        <v>31-60 Days</v>
      </c>
      <c r="L130" s="5" t="str">
        <f t="shared" ref="L130:L193" ca="1" si="13">IF(I130&lt;=0,"-",IF(J130&lt;=30,"Low",IF(J130&lt;=60,"Low-Medium",IF(J130&lt;=90,"Medium","HIGH RISK"))))</f>
        <v>Low-Medium</v>
      </c>
      <c r="M130" s="5" t="str">
        <f t="shared" ref="M130:M193" ca="1" si="14">IF(I130&lt;=0,"-",IF(J130&lt;=30,"Normal",IF(J130&lt;=60,"Medium",IF(J130&lt;=90,"Urgent","Immediate Action"))))</f>
        <v>Medium</v>
      </c>
      <c r="N130" s="5" t="s">
        <v>63</v>
      </c>
      <c r="O130" s="5"/>
    </row>
    <row r="131" spans="1:15">
      <c r="A131" s="2">
        <v>130</v>
      </c>
      <c r="B131" s="2" t="s">
        <v>39</v>
      </c>
      <c r="C131" s="12">
        <v>46010</v>
      </c>
      <c r="D131" s="2" t="s">
        <v>187</v>
      </c>
      <c r="E131" s="2" t="s">
        <v>271</v>
      </c>
      <c r="F131" s="3">
        <v>500</v>
      </c>
      <c r="G131" s="12">
        <v>46010</v>
      </c>
      <c r="H131" s="3">
        <v>0</v>
      </c>
      <c r="I131" s="3">
        <f t="shared" si="10"/>
        <v>500</v>
      </c>
      <c r="J131" s="2">
        <f t="shared" ca="1" si="11"/>
        <v>154</v>
      </c>
      <c r="K131" s="2" t="str">
        <f t="shared" ca="1" si="12"/>
        <v>90+ Days</v>
      </c>
      <c r="L131" s="2" t="str">
        <f t="shared" ca="1" si="13"/>
        <v>HIGH RISK</v>
      </c>
      <c r="M131" s="2" t="str">
        <f t="shared" ca="1" si="14"/>
        <v>Immediate Action</v>
      </c>
      <c r="N131" s="2" t="s">
        <v>63</v>
      </c>
      <c r="O131" s="2"/>
    </row>
    <row r="132" spans="1:15">
      <c r="A132" s="5">
        <v>131</v>
      </c>
      <c r="B132" s="5" t="s">
        <v>39</v>
      </c>
      <c r="C132" s="11">
        <v>46098</v>
      </c>
      <c r="D132" s="5" t="s">
        <v>272</v>
      </c>
      <c r="E132" s="5" t="s">
        <v>273</v>
      </c>
      <c r="F132" s="6">
        <v>15868</v>
      </c>
      <c r="G132" s="11">
        <v>46123</v>
      </c>
      <c r="H132" s="6">
        <v>0</v>
      </c>
      <c r="I132" s="6">
        <f t="shared" si="10"/>
        <v>15868</v>
      </c>
      <c r="J132" s="5">
        <f t="shared" ca="1" si="11"/>
        <v>41</v>
      </c>
      <c r="K132" s="5" t="str">
        <f t="shared" ca="1" si="12"/>
        <v>31-60 Days</v>
      </c>
      <c r="L132" s="5" t="str">
        <f t="shared" ca="1" si="13"/>
        <v>Low-Medium</v>
      </c>
      <c r="M132" s="5" t="str">
        <f t="shared" ca="1" si="14"/>
        <v>Medium</v>
      </c>
      <c r="N132" s="5" t="s">
        <v>63</v>
      </c>
      <c r="O132" s="5"/>
    </row>
    <row r="133" spans="1:15">
      <c r="A133" s="2">
        <v>132</v>
      </c>
      <c r="B133" s="2" t="s">
        <v>39</v>
      </c>
      <c r="C133" s="12">
        <v>46002</v>
      </c>
      <c r="D133" s="2" t="s">
        <v>274</v>
      </c>
      <c r="E133" s="2" t="s">
        <v>275</v>
      </c>
      <c r="F133" s="3">
        <v>5197</v>
      </c>
      <c r="G133" s="12">
        <v>46027</v>
      </c>
      <c r="H133" s="3">
        <v>0</v>
      </c>
      <c r="I133" s="3">
        <f t="shared" si="10"/>
        <v>5197</v>
      </c>
      <c r="J133" s="2">
        <f t="shared" ca="1" si="11"/>
        <v>137</v>
      </c>
      <c r="K133" s="2" t="str">
        <f t="shared" ca="1" si="12"/>
        <v>90+ Days</v>
      </c>
      <c r="L133" s="2" t="str">
        <f t="shared" ca="1" si="13"/>
        <v>HIGH RISK</v>
      </c>
      <c r="M133" s="2" t="str">
        <f t="shared" ca="1" si="14"/>
        <v>Immediate Action</v>
      </c>
      <c r="N133" s="2" t="s">
        <v>63</v>
      </c>
      <c r="O133" s="2"/>
    </row>
    <row r="134" spans="1:15" hidden="1">
      <c r="A134" s="5">
        <v>133</v>
      </c>
      <c r="B134" s="5" t="s">
        <v>40</v>
      </c>
      <c r="C134" s="11">
        <v>45083</v>
      </c>
      <c r="D134" s="5" t="s">
        <v>276</v>
      </c>
      <c r="E134" s="5" t="s">
        <v>277</v>
      </c>
      <c r="F134" s="6">
        <v>500</v>
      </c>
      <c r="G134" s="11">
        <v>45083</v>
      </c>
      <c r="H134" s="6">
        <v>0</v>
      </c>
      <c r="I134" s="6">
        <f t="shared" si="10"/>
        <v>500</v>
      </c>
      <c r="J134" s="5">
        <f t="shared" ca="1" si="11"/>
        <v>1081</v>
      </c>
      <c r="K134" s="5" t="str">
        <f t="shared" ca="1" si="12"/>
        <v>90+ Days</v>
      </c>
      <c r="L134" s="5" t="str">
        <f t="shared" ca="1" si="13"/>
        <v>HIGH RISK</v>
      </c>
      <c r="M134" s="5" t="str">
        <f t="shared" ca="1" si="14"/>
        <v>Immediate Action</v>
      </c>
      <c r="N134" s="5" t="s">
        <v>63</v>
      </c>
      <c r="O134" s="5" t="s">
        <v>278</v>
      </c>
    </row>
    <row r="135" spans="1:15" hidden="1">
      <c r="A135" s="2">
        <v>134</v>
      </c>
      <c r="B135" s="2" t="s">
        <v>40</v>
      </c>
      <c r="C135" s="12">
        <v>46087</v>
      </c>
      <c r="D135" s="2" t="s">
        <v>279</v>
      </c>
      <c r="E135" s="2" t="s">
        <v>277</v>
      </c>
      <c r="F135" s="3">
        <v>1427</v>
      </c>
      <c r="G135" s="12">
        <v>46112</v>
      </c>
      <c r="H135" s="3">
        <v>0</v>
      </c>
      <c r="I135" s="3">
        <f t="shared" si="10"/>
        <v>1427</v>
      </c>
      <c r="J135" s="2">
        <f t="shared" ca="1" si="11"/>
        <v>52</v>
      </c>
      <c r="K135" s="2" t="str">
        <f t="shared" ca="1" si="12"/>
        <v>31-60 Days</v>
      </c>
      <c r="L135" s="2" t="str">
        <f t="shared" ca="1" si="13"/>
        <v>Low-Medium</v>
      </c>
      <c r="M135" s="2" t="str">
        <f t="shared" ca="1" si="14"/>
        <v>Medium</v>
      </c>
      <c r="N135" s="2" t="s">
        <v>63</v>
      </c>
      <c r="O135" s="2" t="s">
        <v>280</v>
      </c>
    </row>
    <row r="136" spans="1:15" hidden="1">
      <c r="A136" s="5">
        <v>135</v>
      </c>
      <c r="B136" s="5" t="s">
        <v>40</v>
      </c>
      <c r="C136" s="11">
        <v>45870</v>
      </c>
      <c r="D136" s="5" t="s">
        <v>281</v>
      </c>
      <c r="E136" s="5" t="s">
        <v>282</v>
      </c>
      <c r="F136" s="6">
        <v>400</v>
      </c>
      <c r="G136" s="11">
        <v>45895</v>
      </c>
      <c r="H136" s="6">
        <v>0</v>
      </c>
      <c r="I136" s="6">
        <f t="shared" si="10"/>
        <v>400</v>
      </c>
      <c r="J136" s="5">
        <f t="shared" ca="1" si="11"/>
        <v>269</v>
      </c>
      <c r="K136" s="5" t="str">
        <f t="shared" ca="1" si="12"/>
        <v>90+ Days</v>
      </c>
      <c r="L136" s="5" t="str">
        <f t="shared" ca="1" si="13"/>
        <v>HIGH RISK</v>
      </c>
      <c r="M136" s="5" t="str">
        <f t="shared" ca="1" si="14"/>
        <v>Immediate Action</v>
      </c>
      <c r="N136" s="5" t="s">
        <v>63</v>
      </c>
      <c r="O136" s="5" t="s">
        <v>283</v>
      </c>
    </row>
    <row r="137" spans="1:15" hidden="1">
      <c r="A137" s="2">
        <v>136</v>
      </c>
      <c r="B137" s="2" t="s">
        <v>40</v>
      </c>
      <c r="C137" s="12">
        <v>46119</v>
      </c>
      <c r="D137" s="2" t="s">
        <v>284</v>
      </c>
      <c r="E137" s="2" t="s">
        <v>282</v>
      </c>
      <c r="F137" s="3">
        <v>500</v>
      </c>
      <c r="G137" s="12">
        <v>46144</v>
      </c>
      <c r="H137" s="3">
        <v>0</v>
      </c>
      <c r="I137" s="3">
        <f t="shared" si="10"/>
        <v>500</v>
      </c>
      <c r="J137" s="2">
        <f t="shared" ca="1" si="11"/>
        <v>20</v>
      </c>
      <c r="K137" s="2" t="str">
        <f t="shared" ca="1" si="12"/>
        <v>0-30 Days</v>
      </c>
      <c r="L137" s="2" t="str">
        <f t="shared" ca="1" si="13"/>
        <v>Low</v>
      </c>
      <c r="M137" s="2" t="str">
        <f t="shared" ca="1" si="14"/>
        <v>Normal</v>
      </c>
      <c r="N137" s="2" t="s">
        <v>63</v>
      </c>
      <c r="O137" s="2" t="s">
        <v>283</v>
      </c>
    </row>
    <row r="138" spans="1:15" hidden="1">
      <c r="A138" s="5">
        <v>137</v>
      </c>
      <c r="B138" s="5" t="s">
        <v>40</v>
      </c>
      <c r="C138" s="11">
        <v>46156</v>
      </c>
      <c r="D138" s="5" t="s">
        <v>285</v>
      </c>
      <c r="E138" s="5" t="s">
        <v>282</v>
      </c>
      <c r="F138" s="6">
        <v>28600</v>
      </c>
      <c r="G138" s="11">
        <v>46181</v>
      </c>
      <c r="H138" s="6">
        <v>0</v>
      </c>
      <c r="I138" s="6">
        <f t="shared" si="10"/>
        <v>28600</v>
      </c>
      <c r="J138" s="5">
        <f t="shared" ca="1" si="11"/>
        <v>0</v>
      </c>
      <c r="K138" s="5" t="str">
        <f t="shared" ca="1" si="12"/>
        <v>0-30 Days</v>
      </c>
      <c r="L138" s="5" t="str">
        <f t="shared" ca="1" si="13"/>
        <v>Low</v>
      </c>
      <c r="M138" s="5" t="str">
        <f t="shared" ca="1" si="14"/>
        <v>Normal</v>
      </c>
      <c r="N138" s="5" t="s">
        <v>63</v>
      </c>
      <c r="O138" s="5"/>
    </row>
    <row r="139" spans="1:15" hidden="1">
      <c r="A139" s="2">
        <v>138</v>
      </c>
      <c r="B139" s="2" t="s">
        <v>40</v>
      </c>
      <c r="C139" s="12">
        <v>46107</v>
      </c>
      <c r="D139" s="2" t="s">
        <v>286</v>
      </c>
      <c r="E139" s="2" t="s">
        <v>287</v>
      </c>
      <c r="F139" s="3">
        <v>67462</v>
      </c>
      <c r="G139" s="12">
        <v>46107</v>
      </c>
      <c r="H139" s="3">
        <v>0</v>
      </c>
      <c r="I139" s="3">
        <f t="shared" si="10"/>
        <v>67462</v>
      </c>
      <c r="J139" s="2">
        <f t="shared" ca="1" si="11"/>
        <v>57</v>
      </c>
      <c r="K139" s="2" t="str">
        <f t="shared" ca="1" si="12"/>
        <v>31-60 Days</v>
      </c>
      <c r="L139" s="2" t="str">
        <f t="shared" ca="1" si="13"/>
        <v>Low-Medium</v>
      </c>
      <c r="M139" s="2" t="str">
        <f t="shared" ca="1" si="14"/>
        <v>Medium</v>
      </c>
      <c r="N139" s="2" t="s">
        <v>63</v>
      </c>
      <c r="O139" s="2" t="s">
        <v>288</v>
      </c>
    </row>
    <row r="140" spans="1:15" hidden="1">
      <c r="A140" s="5">
        <v>139</v>
      </c>
      <c r="B140" s="5" t="s">
        <v>40</v>
      </c>
      <c r="C140" s="11">
        <v>46087</v>
      </c>
      <c r="D140" s="5" t="s">
        <v>289</v>
      </c>
      <c r="E140" s="5" t="s">
        <v>290</v>
      </c>
      <c r="F140" s="6">
        <v>500</v>
      </c>
      <c r="G140" s="11">
        <v>46112</v>
      </c>
      <c r="H140" s="6">
        <v>0</v>
      </c>
      <c r="I140" s="6">
        <f t="shared" si="10"/>
        <v>500</v>
      </c>
      <c r="J140" s="5">
        <f t="shared" ca="1" si="11"/>
        <v>52</v>
      </c>
      <c r="K140" s="5" t="str">
        <f t="shared" ca="1" si="12"/>
        <v>31-60 Days</v>
      </c>
      <c r="L140" s="5" t="str">
        <f t="shared" ca="1" si="13"/>
        <v>Low-Medium</v>
      </c>
      <c r="M140" s="5" t="str">
        <f t="shared" ca="1" si="14"/>
        <v>Medium</v>
      </c>
      <c r="N140" s="5" t="s">
        <v>63</v>
      </c>
      <c r="O140" s="5" t="s">
        <v>79</v>
      </c>
    </row>
    <row r="141" spans="1:15" hidden="1">
      <c r="A141" s="2">
        <v>140</v>
      </c>
      <c r="B141" s="2" t="s">
        <v>40</v>
      </c>
      <c r="C141" s="12">
        <v>46008</v>
      </c>
      <c r="D141" s="2" t="s">
        <v>291</v>
      </c>
      <c r="E141" s="2" t="s">
        <v>46</v>
      </c>
      <c r="F141" s="3">
        <v>101670</v>
      </c>
      <c r="G141" s="12">
        <v>46033</v>
      </c>
      <c r="H141" s="3">
        <v>0</v>
      </c>
      <c r="I141" s="3">
        <f t="shared" si="10"/>
        <v>101670</v>
      </c>
      <c r="J141" s="2">
        <f t="shared" ca="1" si="11"/>
        <v>131</v>
      </c>
      <c r="K141" s="2" t="str">
        <f t="shared" ca="1" si="12"/>
        <v>90+ Days</v>
      </c>
      <c r="L141" s="2" t="str">
        <f t="shared" ca="1" si="13"/>
        <v>HIGH RISK</v>
      </c>
      <c r="M141" s="2" t="str">
        <f t="shared" ca="1" si="14"/>
        <v>Immediate Action</v>
      </c>
      <c r="N141" s="2" t="s">
        <v>63</v>
      </c>
      <c r="O141" s="2" t="s">
        <v>288</v>
      </c>
    </row>
    <row r="142" spans="1:15" hidden="1">
      <c r="A142" s="5">
        <v>141</v>
      </c>
      <c r="B142" s="5" t="s">
        <v>40</v>
      </c>
      <c r="C142" s="11">
        <v>46009</v>
      </c>
      <c r="D142" s="5" t="s">
        <v>292</v>
      </c>
      <c r="E142" s="5" t="s">
        <v>46</v>
      </c>
      <c r="F142" s="6">
        <v>45784</v>
      </c>
      <c r="G142" s="11">
        <v>46034</v>
      </c>
      <c r="H142" s="6">
        <v>0</v>
      </c>
      <c r="I142" s="6">
        <f t="shared" si="10"/>
        <v>45784</v>
      </c>
      <c r="J142" s="5">
        <f t="shared" ca="1" si="11"/>
        <v>130</v>
      </c>
      <c r="K142" s="5" t="str">
        <f t="shared" ca="1" si="12"/>
        <v>90+ Days</v>
      </c>
      <c r="L142" s="5" t="str">
        <f t="shared" ca="1" si="13"/>
        <v>HIGH RISK</v>
      </c>
      <c r="M142" s="5" t="str">
        <f t="shared" ca="1" si="14"/>
        <v>Immediate Action</v>
      </c>
      <c r="N142" s="5" t="s">
        <v>63</v>
      </c>
      <c r="O142" s="5" t="s">
        <v>288</v>
      </c>
    </row>
    <row r="143" spans="1:15" hidden="1">
      <c r="A143" s="2">
        <v>142</v>
      </c>
      <c r="B143" s="2" t="s">
        <v>40</v>
      </c>
      <c r="C143" s="12">
        <v>46011</v>
      </c>
      <c r="D143" s="2" t="s">
        <v>293</v>
      </c>
      <c r="E143" s="2" t="s">
        <v>46</v>
      </c>
      <c r="F143" s="3">
        <v>217599</v>
      </c>
      <c r="G143" s="12">
        <v>46036</v>
      </c>
      <c r="H143" s="3">
        <v>0</v>
      </c>
      <c r="I143" s="3">
        <f t="shared" si="10"/>
        <v>217599</v>
      </c>
      <c r="J143" s="2">
        <f t="shared" ca="1" si="11"/>
        <v>128</v>
      </c>
      <c r="K143" s="2" t="str">
        <f t="shared" ca="1" si="12"/>
        <v>90+ Days</v>
      </c>
      <c r="L143" s="2" t="str">
        <f t="shared" ca="1" si="13"/>
        <v>HIGH RISK</v>
      </c>
      <c r="M143" s="2" t="str">
        <f t="shared" ca="1" si="14"/>
        <v>Immediate Action</v>
      </c>
      <c r="N143" s="2" t="s">
        <v>63</v>
      </c>
      <c r="O143" s="2" t="s">
        <v>288</v>
      </c>
    </row>
    <row r="144" spans="1:15" hidden="1">
      <c r="A144" s="5">
        <v>143</v>
      </c>
      <c r="B144" s="5" t="s">
        <v>40</v>
      </c>
      <c r="C144" s="11">
        <v>46094</v>
      </c>
      <c r="D144" s="5" t="s">
        <v>294</v>
      </c>
      <c r="E144" s="5" t="s">
        <v>46</v>
      </c>
      <c r="F144" s="6">
        <v>134125</v>
      </c>
      <c r="G144" s="11">
        <v>46119</v>
      </c>
      <c r="H144" s="6">
        <v>0</v>
      </c>
      <c r="I144" s="6">
        <f t="shared" si="10"/>
        <v>134125</v>
      </c>
      <c r="J144" s="5">
        <f t="shared" ca="1" si="11"/>
        <v>45</v>
      </c>
      <c r="K144" s="5" t="str">
        <f t="shared" ca="1" si="12"/>
        <v>31-60 Days</v>
      </c>
      <c r="L144" s="5" t="str">
        <f t="shared" ca="1" si="13"/>
        <v>Low-Medium</v>
      </c>
      <c r="M144" s="5" t="str">
        <f t="shared" ca="1" si="14"/>
        <v>Medium</v>
      </c>
      <c r="N144" s="5" t="s">
        <v>63</v>
      </c>
      <c r="O144" s="5" t="s">
        <v>288</v>
      </c>
    </row>
    <row r="145" spans="1:15" hidden="1">
      <c r="A145" s="2">
        <v>144</v>
      </c>
      <c r="B145" s="2" t="s">
        <v>40</v>
      </c>
      <c r="C145" s="12">
        <v>46108</v>
      </c>
      <c r="D145" s="2" t="s">
        <v>295</v>
      </c>
      <c r="E145" s="2" t="s">
        <v>46</v>
      </c>
      <c r="F145" s="3">
        <v>97809</v>
      </c>
      <c r="G145" s="12">
        <v>46133</v>
      </c>
      <c r="H145" s="3">
        <v>0</v>
      </c>
      <c r="I145" s="3">
        <f t="shared" si="10"/>
        <v>97809</v>
      </c>
      <c r="J145" s="2">
        <f t="shared" ca="1" si="11"/>
        <v>31</v>
      </c>
      <c r="K145" s="2" t="str">
        <f t="shared" ca="1" si="12"/>
        <v>31-60 Days</v>
      </c>
      <c r="L145" s="2" t="str">
        <f t="shared" ca="1" si="13"/>
        <v>Low-Medium</v>
      </c>
      <c r="M145" s="2" t="str">
        <f t="shared" ca="1" si="14"/>
        <v>Medium</v>
      </c>
      <c r="N145" s="2" t="s">
        <v>63</v>
      </c>
      <c r="O145" s="2" t="s">
        <v>288</v>
      </c>
    </row>
    <row r="146" spans="1:15" hidden="1">
      <c r="A146" s="5">
        <v>145</v>
      </c>
      <c r="B146" s="5" t="s">
        <v>40</v>
      </c>
      <c r="C146" s="11">
        <v>46127</v>
      </c>
      <c r="D146" s="5" t="s">
        <v>296</v>
      </c>
      <c r="E146" s="5" t="s">
        <v>46</v>
      </c>
      <c r="F146" s="6">
        <v>47335</v>
      </c>
      <c r="G146" s="11">
        <v>46152</v>
      </c>
      <c r="H146" s="6">
        <v>0</v>
      </c>
      <c r="I146" s="6">
        <f t="shared" si="10"/>
        <v>47335</v>
      </c>
      <c r="J146" s="5">
        <f t="shared" ca="1" si="11"/>
        <v>12</v>
      </c>
      <c r="K146" s="5" t="str">
        <f t="shared" ca="1" si="12"/>
        <v>0-30 Days</v>
      </c>
      <c r="L146" s="5" t="str">
        <f t="shared" ca="1" si="13"/>
        <v>Low</v>
      </c>
      <c r="M146" s="5" t="str">
        <f t="shared" ca="1" si="14"/>
        <v>Normal</v>
      </c>
      <c r="N146" s="5" t="s">
        <v>63</v>
      </c>
      <c r="O146" s="5" t="s">
        <v>288</v>
      </c>
    </row>
    <row r="147" spans="1:15" hidden="1">
      <c r="A147" s="2">
        <v>146</v>
      </c>
      <c r="B147" s="2" t="s">
        <v>40</v>
      </c>
      <c r="C147" s="12">
        <v>46156</v>
      </c>
      <c r="D147" s="2" t="s">
        <v>297</v>
      </c>
      <c r="E147" s="2" t="s">
        <v>46</v>
      </c>
      <c r="F147" s="3">
        <v>112417</v>
      </c>
      <c r="G147" s="12">
        <v>46181</v>
      </c>
      <c r="H147" s="3">
        <v>0</v>
      </c>
      <c r="I147" s="3">
        <f t="shared" si="10"/>
        <v>112417</v>
      </c>
      <c r="J147" s="2">
        <f t="shared" ca="1" si="11"/>
        <v>0</v>
      </c>
      <c r="K147" s="2" t="str">
        <f t="shared" ca="1" si="12"/>
        <v>0-30 Days</v>
      </c>
      <c r="L147" s="2" t="str">
        <f t="shared" ca="1" si="13"/>
        <v>Low</v>
      </c>
      <c r="M147" s="2" t="str">
        <f t="shared" ca="1" si="14"/>
        <v>Normal</v>
      </c>
      <c r="N147" s="2" t="s">
        <v>63</v>
      </c>
      <c r="O147" s="2"/>
    </row>
    <row r="148" spans="1:15" hidden="1">
      <c r="A148" s="5">
        <v>147</v>
      </c>
      <c r="B148" s="5" t="s">
        <v>40</v>
      </c>
      <c r="C148" s="11">
        <v>46156</v>
      </c>
      <c r="D148" s="5" t="s">
        <v>298</v>
      </c>
      <c r="E148" s="5" t="s">
        <v>46</v>
      </c>
      <c r="F148" s="6">
        <v>3614</v>
      </c>
      <c r="G148" s="11">
        <v>46181</v>
      </c>
      <c r="H148" s="6">
        <v>0</v>
      </c>
      <c r="I148" s="6">
        <f t="shared" si="10"/>
        <v>3614</v>
      </c>
      <c r="J148" s="5">
        <f t="shared" ca="1" si="11"/>
        <v>0</v>
      </c>
      <c r="K148" s="5" t="str">
        <f t="shared" ca="1" si="12"/>
        <v>0-30 Days</v>
      </c>
      <c r="L148" s="5" t="str">
        <f t="shared" ca="1" si="13"/>
        <v>Low</v>
      </c>
      <c r="M148" s="5" t="str">
        <f t="shared" ca="1" si="14"/>
        <v>Normal</v>
      </c>
      <c r="N148" s="5" t="s">
        <v>63</v>
      </c>
      <c r="O148" s="5"/>
    </row>
    <row r="149" spans="1:15" hidden="1">
      <c r="A149" s="2">
        <v>148</v>
      </c>
      <c r="B149" s="2" t="s">
        <v>40</v>
      </c>
      <c r="C149" s="12">
        <v>45988</v>
      </c>
      <c r="D149" s="2" t="s">
        <v>299</v>
      </c>
      <c r="E149" s="2" t="s">
        <v>51</v>
      </c>
      <c r="F149" s="3">
        <v>107348</v>
      </c>
      <c r="G149" s="12">
        <v>46013</v>
      </c>
      <c r="H149" s="3">
        <v>0</v>
      </c>
      <c r="I149" s="3">
        <f t="shared" si="10"/>
        <v>107348</v>
      </c>
      <c r="J149" s="2">
        <f t="shared" ca="1" si="11"/>
        <v>151</v>
      </c>
      <c r="K149" s="2" t="str">
        <f t="shared" ca="1" si="12"/>
        <v>90+ Days</v>
      </c>
      <c r="L149" s="2" t="str">
        <f t="shared" ca="1" si="13"/>
        <v>HIGH RISK</v>
      </c>
      <c r="M149" s="2" t="str">
        <f t="shared" ca="1" si="14"/>
        <v>Immediate Action</v>
      </c>
      <c r="N149" s="2" t="s">
        <v>63</v>
      </c>
      <c r="O149" s="2" t="s">
        <v>79</v>
      </c>
    </row>
    <row r="150" spans="1:15" hidden="1">
      <c r="A150" s="5">
        <v>149</v>
      </c>
      <c r="B150" s="5" t="s">
        <v>40</v>
      </c>
      <c r="C150" s="11">
        <v>46123</v>
      </c>
      <c r="D150" s="5" t="s">
        <v>300</v>
      </c>
      <c r="E150" s="5" t="s">
        <v>51</v>
      </c>
      <c r="F150" s="6">
        <v>94833</v>
      </c>
      <c r="G150" s="11">
        <v>46148</v>
      </c>
      <c r="H150" s="6">
        <v>0</v>
      </c>
      <c r="I150" s="6">
        <f t="shared" si="10"/>
        <v>94833</v>
      </c>
      <c r="J150" s="5">
        <f t="shared" ca="1" si="11"/>
        <v>16</v>
      </c>
      <c r="K150" s="5" t="str">
        <f t="shared" ca="1" si="12"/>
        <v>0-30 Days</v>
      </c>
      <c r="L150" s="5" t="str">
        <f t="shared" ca="1" si="13"/>
        <v>Low</v>
      </c>
      <c r="M150" s="5" t="str">
        <f t="shared" ca="1" si="14"/>
        <v>Normal</v>
      </c>
      <c r="N150" s="5" t="s">
        <v>63</v>
      </c>
      <c r="O150" s="5" t="s">
        <v>79</v>
      </c>
    </row>
    <row r="151" spans="1:15" hidden="1">
      <c r="A151" s="2">
        <v>150</v>
      </c>
      <c r="B151" s="2" t="s">
        <v>40</v>
      </c>
      <c r="C151" s="12">
        <v>46112</v>
      </c>
      <c r="D151" s="2" t="s">
        <v>301</v>
      </c>
      <c r="E151" s="2" t="s">
        <v>302</v>
      </c>
      <c r="F151" s="3">
        <v>146950</v>
      </c>
      <c r="G151" s="12">
        <v>46137</v>
      </c>
      <c r="H151" s="3">
        <v>146950</v>
      </c>
      <c r="I151" s="3">
        <f t="shared" si="10"/>
        <v>0</v>
      </c>
      <c r="J151" s="2">
        <f t="shared" ca="1" si="11"/>
        <v>27</v>
      </c>
      <c r="K151" s="2" t="str">
        <f t="shared" si="12"/>
        <v>Current</v>
      </c>
      <c r="L151" s="2" t="str">
        <f t="shared" si="13"/>
        <v>-</v>
      </c>
      <c r="M151" s="2" t="str">
        <f t="shared" si="14"/>
        <v>-</v>
      </c>
      <c r="N151" s="2" t="s">
        <v>63</v>
      </c>
      <c r="O151" s="2" t="s">
        <v>303</v>
      </c>
    </row>
    <row r="152" spans="1:15" hidden="1">
      <c r="A152" s="5">
        <v>151</v>
      </c>
      <c r="B152" s="5" t="s">
        <v>40</v>
      </c>
      <c r="C152" s="11">
        <v>46133</v>
      </c>
      <c r="D152" s="5" t="s">
        <v>304</v>
      </c>
      <c r="E152" s="5" t="s">
        <v>53</v>
      </c>
      <c r="F152" s="6">
        <v>120696</v>
      </c>
      <c r="G152" s="11">
        <v>46158</v>
      </c>
      <c r="H152" s="6">
        <v>0</v>
      </c>
      <c r="I152" s="6">
        <f t="shared" si="10"/>
        <v>120696</v>
      </c>
      <c r="J152" s="5">
        <f t="shared" ca="1" si="11"/>
        <v>6</v>
      </c>
      <c r="K152" s="5" t="str">
        <f t="shared" ca="1" si="12"/>
        <v>0-30 Days</v>
      </c>
      <c r="L152" s="5" t="str">
        <f t="shared" ca="1" si="13"/>
        <v>Low</v>
      </c>
      <c r="M152" s="5" t="str">
        <f t="shared" ca="1" si="14"/>
        <v>Normal</v>
      </c>
      <c r="N152" s="5" t="s">
        <v>63</v>
      </c>
      <c r="O152" s="5"/>
    </row>
    <row r="153" spans="1:15" hidden="1">
      <c r="A153" s="2">
        <v>152</v>
      </c>
      <c r="B153" s="2" t="s">
        <v>40</v>
      </c>
      <c r="C153" s="12">
        <v>46139</v>
      </c>
      <c r="D153" s="2" t="s">
        <v>305</v>
      </c>
      <c r="E153" s="2" t="s">
        <v>53</v>
      </c>
      <c r="F153" s="3">
        <v>25410</v>
      </c>
      <c r="G153" s="12">
        <v>46164</v>
      </c>
      <c r="H153" s="3">
        <v>0</v>
      </c>
      <c r="I153" s="3">
        <f t="shared" si="10"/>
        <v>25410</v>
      </c>
      <c r="J153" s="2">
        <f t="shared" ca="1" si="11"/>
        <v>0</v>
      </c>
      <c r="K153" s="2" t="str">
        <f t="shared" ca="1" si="12"/>
        <v>0-30 Days</v>
      </c>
      <c r="L153" s="2" t="str">
        <f t="shared" ca="1" si="13"/>
        <v>Low</v>
      </c>
      <c r="M153" s="2" t="str">
        <f t="shared" ca="1" si="14"/>
        <v>Normal</v>
      </c>
      <c r="N153" s="2" t="s">
        <v>63</v>
      </c>
      <c r="O153" s="2"/>
    </row>
    <row r="154" spans="1:15" hidden="1">
      <c r="A154" s="5">
        <v>153</v>
      </c>
      <c r="B154" s="5" t="s">
        <v>40</v>
      </c>
      <c r="C154" s="11">
        <v>46104</v>
      </c>
      <c r="D154" s="5" t="s">
        <v>306</v>
      </c>
      <c r="E154" s="5" t="s">
        <v>307</v>
      </c>
      <c r="F154" s="6">
        <v>1329</v>
      </c>
      <c r="G154" s="11">
        <v>46129</v>
      </c>
      <c r="H154" s="6">
        <v>0</v>
      </c>
      <c r="I154" s="6">
        <f t="shared" si="10"/>
        <v>1329</v>
      </c>
      <c r="J154" s="5">
        <f t="shared" ca="1" si="11"/>
        <v>35</v>
      </c>
      <c r="K154" s="5" t="str">
        <f t="shared" ca="1" si="12"/>
        <v>31-60 Days</v>
      </c>
      <c r="L154" s="5" t="str">
        <f t="shared" ca="1" si="13"/>
        <v>Low-Medium</v>
      </c>
      <c r="M154" s="5" t="str">
        <f t="shared" ca="1" si="14"/>
        <v>Medium</v>
      </c>
      <c r="N154" s="5" t="s">
        <v>63</v>
      </c>
      <c r="O154" s="5"/>
    </row>
    <row r="155" spans="1:15" hidden="1">
      <c r="A155" s="2">
        <v>154</v>
      </c>
      <c r="B155" s="2" t="s">
        <v>40</v>
      </c>
      <c r="C155" s="12">
        <v>46136</v>
      </c>
      <c r="D155" s="2" t="s">
        <v>308</v>
      </c>
      <c r="E155" s="2" t="s">
        <v>57</v>
      </c>
      <c r="F155" s="3">
        <v>135197</v>
      </c>
      <c r="G155" s="12">
        <v>46161</v>
      </c>
      <c r="H155" s="3">
        <v>0</v>
      </c>
      <c r="I155" s="3">
        <f t="shared" si="10"/>
        <v>135197</v>
      </c>
      <c r="J155" s="2">
        <f t="shared" ca="1" si="11"/>
        <v>3</v>
      </c>
      <c r="K155" s="2" t="str">
        <f t="shared" ca="1" si="12"/>
        <v>0-30 Days</v>
      </c>
      <c r="L155" s="2" t="str">
        <f t="shared" ca="1" si="13"/>
        <v>Low</v>
      </c>
      <c r="M155" s="2" t="str">
        <f t="shared" ca="1" si="14"/>
        <v>Normal</v>
      </c>
      <c r="N155" s="2" t="s">
        <v>63</v>
      </c>
      <c r="O155" s="2"/>
    </row>
    <row r="156" spans="1:15" hidden="1">
      <c r="A156" s="5">
        <v>155</v>
      </c>
      <c r="B156" s="5" t="s">
        <v>40</v>
      </c>
      <c r="C156" s="11">
        <v>46104</v>
      </c>
      <c r="D156" s="5" t="s">
        <v>309</v>
      </c>
      <c r="E156" s="5" t="s">
        <v>310</v>
      </c>
      <c r="F156" s="6">
        <v>1329</v>
      </c>
      <c r="G156" s="11">
        <v>46129</v>
      </c>
      <c r="H156" s="6">
        <v>0</v>
      </c>
      <c r="I156" s="6">
        <f t="shared" si="10"/>
        <v>1329</v>
      </c>
      <c r="J156" s="5">
        <f t="shared" ca="1" si="11"/>
        <v>35</v>
      </c>
      <c r="K156" s="5" t="str">
        <f t="shared" ca="1" si="12"/>
        <v>31-60 Days</v>
      </c>
      <c r="L156" s="5" t="str">
        <f t="shared" ca="1" si="13"/>
        <v>Low-Medium</v>
      </c>
      <c r="M156" s="5" t="str">
        <f t="shared" ca="1" si="14"/>
        <v>Medium</v>
      </c>
      <c r="N156" s="5" t="s">
        <v>63</v>
      </c>
      <c r="O156" s="5"/>
    </row>
    <row r="157" spans="1:15" hidden="1">
      <c r="A157" s="2">
        <v>156</v>
      </c>
      <c r="B157" s="2" t="s">
        <v>40</v>
      </c>
      <c r="C157" s="12">
        <v>46087</v>
      </c>
      <c r="D157" s="2" t="s">
        <v>311</v>
      </c>
      <c r="E157" s="2" t="s">
        <v>312</v>
      </c>
      <c r="F157" s="3">
        <v>1427</v>
      </c>
      <c r="G157" s="12">
        <v>46112</v>
      </c>
      <c r="H157" s="3">
        <v>0</v>
      </c>
      <c r="I157" s="3">
        <f t="shared" si="10"/>
        <v>1427</v>
      </c>
      <c r="J157" s="2">
        <f t="shared" ca="1" si="11"/>
        <v>52</v>
      </c>
      <c r="K157" s="2" t="str">
        <f t="shared" ca="1" si="12"/>
        <v>31-60 Days</v>
      </c>
      <c r="L157" s="2" t="str">
        <f t="shared" ca="1" si="13"/>
        <v>Low-Medium</v>
      </c>
      <c r="M157" s="2" t="str">
        <f t="shared" ca="1" si="14"/>
        <v>Medium</v>
      </c>
      <c r="N157" s="2" t="s">
        <v>63</v>
      </c>
      <c r="O157" s="2"/>
    </row>
    <row r="158" spans="1:15" hidden="1">
      <c r="A158" s="5">
        <v>157</v>
      </c>
      <c r="B158" s="5" t="s">
        <v>40</v>
      </c>
      <c r="C158" s="11">
        <v>46098</v>
      </c>
      <c r="D158" s="5" t="s">
        <v>313</v>
      </c>
      <c r="E158" s="5" t="s">
        <v>58</v>
      </c>
      <c r="F158" s="6">
        <v>75814</v>
      </c>
      <c r="G158" s="11">
        <v>46123</v>
      </c>
      <c r="H158" s="6">
        <v>0</v>
      </c>
      <c r="I158" s="6">
        <f t="shared" si="10"/>
        <v>75814</v>
      </c>
      <c r="J158" s="5">
        <f t="shared" ca="1" si="11"/>
        <v>41</v>
      </c>
      <c r="K158" s="5" t="str">
        <f t="shared" ca="1" si="12"/>
        <v>31-60 Days</v>
      </c>
      <c r="L158" s="5" t="str">
        <f t="shared" ca="1" si="13"/>
        <v>Low-Medium</v>
      </c>
      <c r="M158" s="5" t="str">
        <f t="shared" ca="1" si="14"/>
        <v>Medium</v>
      </c>
      <c r="N158" s="5" t="s">
        <v>63</v>
      </c>
      <c r="O158" s="5"/>
    </row>
    <row r="159" spans="1:15" hidden="1">
      <c r="A159" s="2">
        <v>158</v>
      </c>
      <c r="B159" s="2" t="s">
        <v>40</v>
      </c>
      <c r="C159" s="12">
        <v>46112</v>
      </c>
      <c r="D159" s="2" t="s">
        <v>314</v>
      </c>
      <c r="E159" s="2" t="s">
        <v>58</v>
      </c>
      <c r="F159" s="3">
        <v>500</v>
      </c>
      <c r="G159" s="12">
        <v>46137</v>
      </c>
      <c r="H159" s="3">
        <v>0</v>
      </c>
      <c r="I159" s="3">
        <f t="shared" si="10"/>
        <v>500</v>
      </c>
      <c r="J159" s="2">
        <f t="shared" ca="1" si="11"/>
        <v>27</v>
      </c>
      <c r="K159" s="2" t="str">
        <f t="shared" ca="1" si="12"/>
        <v>0-30 Days</v>
      </c>
      <c r="L159" s="2" t="str">
        <f t="shared" ca="1" si="13"/>
        <v>Low</v>
      </c>
      <c r="M159" s="2" t="str">
        <f t="shared" ca="1" si="14"/>
        <v>Normal</v>
      </c>
      <c r="N159" s="2" t="s">
        <v>63</v>
      </c>
      <c r="O159" s="2"/>
    </row>
    <row r="160" spans="1:15" hidden="1">
      <c r="A160" s="5">
        <v>159</v>
      </c>
      <c r="B160" s="5" t="s">
        <v>40</v>
      </c>
      <c r="C160" s="11">
        <v>46151</v>
      </c>
      <c r="D160" s="5" t="s">
        <v>315</v>
      </c>
      <c r="E160" s="5" t="s">
        <v>58</v>
      </c>
      <c r="F160" s="6">
        <v>57397</v>
      </c>
      <c r="G160" s="11">
        <v>46176</v>
      </c>
      <c r="H160" s="6">
        <v>0</v>
      </c>
      <c r="I160" s="6">
        <f t="shared" si="10"/>
        <v>57397</v>
      </c>
      <c r="J160" s="5">
        <f t="shared" ca="1" si="11"/>
        <v>0</v>
      </c>
      <c r="K160" s="5" t="str">
        <f t="shared" ca="1" si="12"/>
        <v>0-30 Days</v>
      </c>
      <c r="L160" s="5" t="str">
        <f t="shared" ca="1" si="13"/>
        <v>Low</v>
      </c>
      <c r="M160" s="5" t="str">
        <f t="shared" ca="1" si="14"/>
        <v>Normal</v>
      </c>
      <c r="N160" s="5" t="s">
        <v>63</v>
      </c>
      <c r="O160" s="5"/>
    </row>
    <row r="161" spans="1:15" hidden="1">
      <c r="A161" s="2">
        <v>160</v>
      </c>
      <c r="B161" s="2" t="s">
        <v>40</v>
      </c>
      <c r="C161" s="12">
        <v>46121</v>
      </c>
      <c r="D161" s="2" t="s">
        <v>316</v>
      </c>
      <c r="E161" s="2" t="s">
        <v>317</v>
      </c>
      <c r="F161" s="3">
        <v>500</v>
      </c>
      <c r="G161" s="12">
        <v>46146</v>
      </c>
      <c r="H161" s="3">
        <v>0</v>
      </c>
      <c r="I161" s="3">
        <f t="shared" si="10"/>
        <v>500</v>
      </c>
      <c r="J161" s="2">
        <f t="shared" ca="1" si="11"/>
        <v>18</v>
      </c>
      <c r="K161" s="2" t="str">
        <f t="shared" ca="1" si="12"/>
        <v>0-30 Days</v>
      </c>
      <c r="L161" s="2" t="str">
        <f t="shared" ca="1" si="13"/>
        <v>Low</v>
      </c>
      <c r="M161" s="2" t="str">
        <f t="shared" ca="1" si="14"/>
        <v>Normal</v>
      </c>
      <c r="N161" s="2" t="s">
        <v>63</v>
      </c>
      <c r="O161" s="2"/>
    </row>
    <row r="162" spans="1:15" hidden="1">
      <c r="A162" s="5">
        <v>161</v>
      </c>
      <c r="B162" s="5" t="s">
        <v>40</v>
      </c>
      <c r="C162" s="11">
        <v>46125</v>
      </c>
      <c r="D162" s="5" t="s">
        <v>318</v>
      </c>
      <c r="E162" s="5" t="s">
        <v>317</v>
      </c>
      <c r="F162" s="6">
        <v>500</v>
      </c>
      <c r="G162" s="11">
        <v>46150</v>
      </c>
      <c r="H162" s="6">
        <v>0</v>
      </c>
      <c r="I162" s="6">
        <f t="shared" si="10"/>
        <v>500</v>
      </c>
      <c r="J162" s="5">
        <f t="shared" ca="1" si="11"/>
        <v>14</v>
      </c>
      <c r="K162" s="5" t="str">
        <f t="shared" ca="1" si="12"/>
        <v>0-30 Days</v>
      </c>
      <c r="L162" s="5" t="str">
        <f t="shared" ca="1" si="13"/>
        <v>Low</v>
      </c>
      <c r="M162" s="5" t="str">
        <f t="shared" ca="1" si="14"/>
        <v>Normal</v>
      </c>
      <c r="N162" s="5" t="s">
        <v>63</v>
      </c>
      <c r="O162" s="5"/>
    </row>
    <row r="163" spans="1:15" hidden="1">
      <c r="A163" s="2">
        <v>162</v>
      </c>
      <c r="B163" s="2" t="s">
        <v>40</v>
      </c>
      <c r="C163" s="12">
        <v>46130</v>
      </c>
      <c r="D163" s="2" t="s">
        <v>319</v>
      </c>
      <c r="E163" s="2" t="s">
        <v>317</v>
      </c>
      <c r="F163" s="3">
        <v>39730</v>
      </c>
      <c r="G163" s="12">
        <v>46155</v>
      </c>
      <c r="H163" s="3">
        <v>0</v>
      </c>
      <c r="I163" s="3">
        <f t="shared" si="10"/>
        <v>39730</v>
      </c>
      <c r="J163" s="2">
        <f t="shared" ca="1" si="11"/>
        <v>9</v>
      </c>
      <c r="K163" s="2" t="str">
        <f t="shared" ca="1" si="12"/>
        <v>0-30 Days</v>
      </c>
      <c r="L163" s="2" t="str">
        <f t="shared" ca="1" si="13"/>
        <v>Low</v>
      </c>
      <c r="M163" s="2" t="str">
        <f t="shared" ca="1" si="14"/>
        <v>Normal</v>
      </c>
      <c r="N163" s="2" t="s">
        <v>63</v>
      </c>
      <c r="O163" s="2"/>
    </row>
    <row r="164" spans="1:15" hidden="1">
      <c r="A164" s="5">
        <v>163</v>
      </c>
      <c r="B164" s="5" t="s">
        <v>40</v>
      </c>
      <c r="C164" s="11">
        <v>46015</v>
      </c>
      <c r="D164" s="5" t="s">
        <v>320</v>
      </c>
      <c r="E164" s="5" t="s">
        <v>321</v>
      </c>
      <c r="F164" s="6">
        <v>15000</v>
      </c>
      <c r="G164" s="11">
        <v>46040</v>
      </c>
      <c r="H164" s="6">
        <v>0</v>
      </c>
      <c r="I164" s="6">
        <f t="shared" si="10"/>
        <v>15000</v>
      </c>
      <c r="J164" s="5">
        <f t="shared" ca="1" si="11"/>
        <v>124</v>
      </c>
      <c r="K164" s="5" t="str">
        <f t="shared" ca="1" si="12"/>
        <v>90+ Days</v>
      </c>
      <c r="L164" s="5" t="str">
        <f t="shared" ca="1" si="13"/>
        <v>HIGH RISK</v>
      </c>
      <c r="M164" s="5" t="str">
        <f t="shared" ca="1" si="14"/>
        <v>Immediate Action</v>
      </c>
      <c r="N164" s="5" t="s">
        <v>63</v>
      </c>
      <c r="O164" s="5"/>
    </row>
    <row r="165" spans="1:15" hidden="1">
      <c r="A165" s="2">
        <v>164</v>
      </c>
      <c r="B165" s="2" t="s">
        <v>40</v>
      </c>
      <c r="C165" s="12">
        <v>46042</v>
      </c>
      <c r="D165" s="2" t="s">
        <v>322</v>
      </c>
      <c r="E165" s="2" t="s">
        <v>321</v>
      </c>
      <c r="F165" s="3">
        <v>400</v>
      </c>
      <c r="G165" s="12">
        <v>46067</v>
      </c>
      <c r="H165" s="3">
        <v>0</v>
      </c>
      <c r="I165" s="3">
        <f t="shared" si="10"/>
        <v>400</v>
      </c>
      <c r="J165" s="2">
        <f t="shared" ca="1" si="11"/>
        <v>97</v>
      </c>
      <c r="K165" s="2" t="str">
        <f t="shared" ca="1" si="12"/>
        <v>90+ Days</v>
      </c>
      <c r="L165" s="2" t="str">
        <f t="shared" ca="1" si="13"/>
        <v>HIGH RISK</v>
      </c>
      <c r="M165" s="2" t="str">
        <f t="shared" ca="1" si="14"/>
        <v>Immediate Action</v>
      </c>
      <c r="N165" s="2" t="s">
        <v>63</v>
      </c>
      <c r="O165" s="2"/>
    </row>
    <row r="166" spans="1:15" hidden="1">
      <c r="A166" s="5">
        <v>165</v>
      </c>
      <c r="B166" s="5" t="s">
        <v>40</v>
      </c>
      <c r="C166" s="11">
        <v>46084</v>
      </c>
      <c r="D166" s="5" t="s">
        <v>323</v>
      </c>
      <c r="E166" s="5" t="s">
        <v>324</v>
      </c>
      <c r="F166" s="6">
        <v>26307</v>
      </c>
      <c r="G166" s="11">
        <v>46109</v>
      </c>
      <c r="H166" s="6">
        <v>0</v>
      </c>
      <c r="I166" s="6">
        <f t="shared" si="10"/>
        <v>26307</v>
      </c>
      <c r="J166" s="5">
        <f t="shared" ca="1" si="11"/>
        <v>55</v>
      </c>
      <c r="K166" s="5" t="str">
        <f t="shared" ca="1" si="12"/>
        <v>31-60 Days</v>
      </c>
      <c r="L166" s="5" t="str">
        <f t="shared" ca="1" si="13"/>
        <v>Low-Medium</v>
      </c>
      <c r="M166" s="5" t="str">
        <f t="shared" ca="1" si="14"/>
        <v>Medium</v>
      </c>
      <c r="N166" s="5" t="s">
        <v>63</v>
      </c>
      <c r="O166" s="5" t="s">
        <v>179</v>
      </c>
    </row>
    <row r="167" spans="1:15" hidden="1">
      <c r="A167" s="2">
        <v>166</v>
      </c>
      <c r="B167" s="2" t="s">
        <v>40</v>
      </c>
      <c r="C167" s="12">
        <v>46109</v>
      </c>
      <c r="D167" s="2" t="s">
        <v>325</v>
      </c>
      <c r="E167" s="2" t="s">
        <v>324</v>
      </c>
      <c r="F167" s="3">
        <v>20526</v>
      </c>
      <c r="G167" s="12">
        <v>46134</v>
      </c>
      <c r="H167" s="3">
        <v>20526</v>
      </c>
      <c r="I167" s="3">
        <f t="shared" si="10"/>
        <v>0</v>
      </c>
      <c r="J167" s="2">
        <f t="shared" ca="1" si="11"/>
        <v>30</v>
      </c>
      <c r="K167" s="2" t="str">
        <f t="shared" si="12"/>
        <v>Current</v>
      </c>
      <c r="L167" s="2" t="str">
        <f t="shared" si="13"/>
        <v>-</v>
      </c>
      <c r="M167" s="2" t="str">
        <f t="shared" si="14"/>
        <v>-</v>
      </c>
      <c r="N167" s="2" t="s">
        <v>63</v>
      </c>
      <c r="O167" s="2" t="s">
        <v>303</v>
      </c>
    </row>
    <row r="168" spans="1:15" hidden="1">
      <c r="A168" s="5">
        <v>167</v>
      </c>
      <c r="B168" s="5" t="s">
        <v>40</v>
      </c>
      <c r="C168" s="11">
        <v>46128</v>
      </c>
      <c r="D168" s="5" t="s">
        <v>326</v>
      </c>
      <c r="E168" s="5" t="s">
        <v>327</v>
      </c>
      <c r="F168" s="6">
        <v>25530</v>
      </c>
      <c r="G168" s="11">
        <v>46153</v>
      </c>
      <c r="H168" s="6">
        <v>0</v>
      </c>
      <c r="I168" s="6">
        <f t="shared" si="10"/>
        <v>25530</v>
      </c>
      <c r="J168" s="5">
        <f t="shared" ca="1" si="11"/>
        <v>11</v>
      </c>
      <c r="K168" s="5" t="str">
        <f t="shared" ca="1" si="12"/>
        <v>0-30 Days</v>
      </c>
      <c r="L168" s="5" t="str">
        <f t="shared" ca="1" si="13"/>
        <v>Low</v>
      </c>
      <c r="M168" s="5" t="str">
        <f t="shared" ca="1" si="14"/>
        <v>Normal</v>
      </c>
      <c r="N168" s="5" t="s">
        <v>63</v>
      </c>
      <c r="O168" s="5"/>
    </row>
    <row r="169" spans="1:15" hidden="1">
      <c r="A169" s="2">
        <v>168</v>
      </c>
      <c r="B169" s="2" t="s">
        <v>40</v>
      </c>
      <c r="C169" s="12">
        <v>45770</v>
      </c>
      <c r="D169" s="2" t="s">
        <v>328</v>
      </c>
      <c r="E169" s="2" t="s">
        <v>45</v>
      </c>
      <c r="F169" s="3">
        <v>613.15</v>
      </c>
      <c r="G169" s="12">
        <v>45795</v>
      </c>
      <c r="H169" s="3">
        <v>0</v>
      </c>
      <c r="I169" s="3">
        <f t="shared" si="10"/>
        <v>613.15</v>
      </c>
      <c r="J169" s="2">
        <f t="shared" ca="1" si="11"/>
        <v>369</v>
      </c>
      <c r="K169" s="2" t="str">
        <f t="shared" ca="1" si="12"/>
        <v>90+ Days</v>
      </c>
      <c r="L169" s="2" t="str">
        <f t="shared" ca="1" si="13"/>
        <v>HIGH RISK</v>
      </c>
      <c r="M169" s="2" t="str">
        <f t="shared" ca="1" si="14"/>
        <v>Immediate Action</v>
      </c>
      <c r="N169" s="2" t="s">
        <v>63</v>
      </c>
      <c r="O169" s="2"/>
    </row>
    <row r="170" spans="1:15" hidden="1">
      <c r="A170" s="5">
        <v>169</v>
      </c>
      <c r="B170" s="5" t="s">
        <v>40</v>
      </c>
      <c r="C170" s="11">
        <v>45836</v>
      </c>
      <c r="D170" s="5" t="s">
        <v>329</v>
      </c>
      <c r="E170" s="5" t="s">
        <v>45</v>
      </c>
      <c r="F170" s="6">
        <v>83953</v>
      </c>
      <c r="G170" s="11">
        <v>45861</v>
      </c>
      <c r="H170" s="6">
        <v>0</v>
      </c>
      <c r="I170" s="6">
        <f t="shared" si="10"/>
        <v>83953</v>
      </c>
      <c r="J170" s="5">
        <f t="shared" ca="1" si="11"/>
        <v>303</v>
      </c>
      <c r="K170" s="5" t="str">
        <f t="shared" ca="1" si="12"/>
        <v>90+ Days</v>
      </c>
      <c r="L170" s="5" t="str">
        <f t="shared" ca="1" si="13"/>
        <v>HIGH RISK</v>
      </c>
      <c r="M170" s="5" t="str">
        <f t="shared" ca="1" si="14"/>
        <v>Immediate Action</v>
      </c>
      <c r="N170" s="5" t="s">
        <v>63</v>
      </c>
      <c r="O170" s="5"/>
    </row>
    <row r="171" spans="1:15" hidden="1">
      <c r="A171" s="2">
        <v>170</v>
      </c>
      <c r="B171" s="2" t="s">
        <v>40</v>
      </c>
      <c r="C171" s="12">
        <v>45838</v>
      </c>
      <c r="D171" s="2" t="s">
        <v>330</v>
      </c>
      <c r="E171" s="2" t="s">
        <v>45</v>
      </c>
      <c r="F171" s="3">
        <v>136289</v>
      </c>
      <c r="G171" s="12">
        <v>45863</v>
      </c>
      <c r="H171" s="3">
        <v>0</v>
      </c>
      <c r="I171" s="3">
        <f t="shared" si="10"/>
        <v>136289</v>
      </c>
      <c r="J171" s="2">
        <f t="shared" ca="1" si="11"/>
        <v>301</v>
      </c>
      <c r="K171" s="2" t="str">
        <f t="shared" ca="1" si="12"/>
        <v>90+ Days</v>
      </c>
      <c r="L171" s="2" t="str">
        <f t="shared" ca="1" si="13"/>
        <v>HIGH RISK</v>
      </c>
      <c r="M171" s="2" t="str">
        <f t="shared" ca="1" si="14"/>
        <v>Immediate Action</v>
      </c>
      <c r="N171" s="2" t="s">
        <v>63</v>
      </c>
      <c r="O171" s="2"/>
    </row>
    <row r="172" spans="1:15" hidden="1">
      <c r="A172" s="5">
        <v>171</v>
      </c>
      <c r="B172" s="5" t="s">
        <v>40</v>
      </c>
      <c r="C172" s="11">
        <v>45849</v>
      </c>
      <c r="D172" s="5" t="s">
        <v>331</v>
      </c>
      <c r="E172" s="5" t="s">
        <v>45</v>
      </c>
      <c r="F172" s="6">
        <v>97996</v>
      </c>
      <c r="G172" s="11">
        <v>45874</v>
      </c>
      <c r="H172" s="6">
        <v>0</v>
      </c>
      <c r="I172" s="6">
        <f t="shared" si="10"/>
        <v>97996</v>
      </c>
      <c r="J172" s="5">
        <f t="shared" ca="1" si="11"/>
        <v>290</v>
      </c>
      <c r="K172" s="5" t="str">
        <f t="shared" ca="1" si="12"/>
        <v>90+ Days</v>
      </c>
      <c r="L172" s="5" t="str">
        <f t="shared" ca="1" si="13"/>
        <v>HIGH RISK</v>
      </c>
      <c r="M172" s="5" t="str">
        <f t="shared" ca="1" si="14"/>
        <v>Immediate Action</v>
      </c>
      <c r="N172" s="5" t="s">
        <v>63</v>
      </c>
      <c r="O172" s="5"/>
    </row>
    <row r="173" spans="1:15" hidden="1">
      <c r="A173" s="2">
        <v>172</v>
      </c>
      <c r="B173" s="2" t="s">
        <v>40</v>
      </c>
      <c r="C173" s="12">
        <v>45890</v>
      </c>
      <c r="D173" s="2" t="s">
        <v>332</v>
      </c>
      <c r="E173" s="2" t="s">
        <v>45</v>
      </c>
      <c r="F173" s="3">
        <v>37146</v>
      </c>
      <c r="G173" s="12">
        <v>45915</v>
      </c>
      <c r="H173" s="3">
        <v>0</v>
      </c>
      <c r="I173" s="3">
        <f t="shared" si="10"/>
        <v>37146</v>
      </c>
      <c r="J173" s="2">
        <f t="shared" ca="1" si="11"/>
        <v>249</v>
      </c>
      <c r="K173" s="2" t="str">
        <f t="shared" ca="1" si="12"/>
        <v>90+ Days</v>
      </c>
      <c r="L173" s="2" t="str">
        <f t="shared" ca="1" si="13"/>
        <v>HIGH RISK</v>
      </c>
      <c r="M173" s="2" t="str">
        <f t="shared" ca="1" si="14"/>
        <v>Immediate Action</v>
      </c>
      <c r="N173" s="2" t="s">
        <v>63</v>
      </c>
      <c r="O173" s="2"/>
    </row>
    <row r="174" spans="1:15" hidden="1">
      <c r="A174" s="5">
        <v>173</v>
      </c>
      <c r="B174" s="5" t="s">
        <v>40</v>
      </c>
      <c r="C174" s="11">
        <v>45905</v>
      </c>
      <c r="D174" s="5" t="s">
        <v>333</v>
      </c>
      <c r="E174" s="5" t="s">
        <v>45</v>
      </c>
      <c r="F174" s="6">
        <v>248440</v>
      </c>
      <c r="G174" s="11">
        <v>45930</v>
      </c>
      <c r="H174" s="6">
        <v>0</v>
      </c>
      <c r="I174" s="6">
        <f t="shared" si="10"/>
        <v>248440</v>
      </c>
      <c r="J174" s="5">
        <f t="shared" ca="1" si="11"/>
        <v>234</v>
      </c>
      <c r="K174" s="5" t="str">
        <f t="shared" ca="1" si="12"/>
        <v>90+ Days</v>
      </c>
      <c r="L174" s="5" t="str">
        <f t="shared" ca="1" si="13"/>
        <v>HIGH RISK</v>
      </c>
      <c r="M174" s="5" t="str">
        <f t="shared" ca="1" si="14"/>
        <v>Immediate Action</v>
      </c>
      <c r="N174" s="5" t="s">
        <v>63</v>
      </c>
      <c r="O174" s="5"/>
    </row>
    <row r="175" spans="1:15" hidden="1">
      <c r="A175" s="2">
        <v>174</v>
      </c>
      <c r="B175" s="2" t="s">
        <v>40</v>
      </c>
      <c r="C175" s="12">
        <v>45918</v>
      </c>
      <c r="D175" s="2" t="s">
        <v>334</v>
      </c>
      <c r="E175" s="2" t="s">
        <v>45</v>
      </c>
      <c r="F175" s="3">
        <v>143307</v>
      </c>
      <c r="G175" s="12">
        <v>45943</v>
      </c>
      <c r="H175" s="3">
        <v>0</v>
      </c>
      <c r="I175" s="3">
        <f t="shared" si="10"/>
        <v>143307</v>
      </c>
      <c r="J175" s="2">
        <f t="shared" ca="1" si="11"/>
        <v>221</v>
      </c>
      <c r="K175" s="2" t="str">
        <f t="shared" ca="1" si="12"/>
        <v>90+ Days</v>
      </c>
      <c r="L175" s="2" t="str">
        <f t="shared" ca="1" si="13"/>
        <v>HIGH RISK</v>
      </c>
      <c r="M175" s="2" t="str">
        <f t="shared" ca="1" si="14"/>
        <v>Immediate Action</v>
      </c>
      <c r="N175" s="2" t="s">
        <v>63</v>
      </c>
      <c r="O175" s="2"/>
    </row>
    <row r="176" spans="1:15" hidden="1">
      <c r="A176" s="5">
        <v>175</v>
      </c>
      <c r="B176" s="5" t="s">
        <v>40</v>
      </c>
      <c r="C176" s="11">
        <v>45927</v>
      </c>
      <c r="D176" s="5" t="s">
        <v>335</v>
      </c>
      <c r="E176" s="5" t="s">
        <v>45</v>
      </c>
      <c r="F176" s="6">
        <v>19200</v>
      </c>
      <c r="G176" s="11">
        <v>45952</v>
      </c>
      <c r="H176" s="6">
        <v>0</v>
      </c>
      <c r="I176" s="6">
        <f t="shared" si="10"/>
        <v>19200</v>
      </c>
      <c r="J176" s="5">
        <f t="shared" ca="1" si="11"/>
        <v>212</v>
      </c>
      <c r="K176" s="5" t="str">
        <f t="shared" ca="1" si="12"/>
        <v>90+ Days</v>
      </c>
      <c r="L176" s="5" t="str">
        <f t="shared" ca="1" si="13"/>
        <v>HIGH RISK</v>
      </c>
      <c r="M176" s="5" t="str">
        <f t="shared" ca="1" si="14"/>
        <v>Immediate Action</v>
      </c>
      <c r="N176" s="5" t="s">
        <v>63</v>
      </c>
      <c r="O176" s="5"/>
    </row>
    <row r="177" spans="1:15" hidden="1">
      <c r="A177" s="2">
        <v>176</v>
      </c>
      <c r="B177" s="2" t="s">
        <v>40</v>
      </c>
      <c r="C177" s="12">
        <v>45955</v>
      </c>
      <c r="D177" s="2" t="s">
        <v>336</v>
      </c>
      <c r="E177" s="2" t="s">
        <v>45</v>
      </c>
      <c r="F177" s="3">
        <v>163657</v>
      </c>
      <c r="G177" s="12">
        <v>45980</v>
      </c>
      <c r="H177" s="3">
        <v>0</v>
      </c>
      <c r="I177" s="3">
        <f t="shared" si="10"/>
        <v>163657</v>
      </c>
      <c r="J177" s="2">
        <f t="shared" ca="1" si="11"/>
        <v>184</v>
      </c>
      <c r="K177" s="2" t="str">
        <f t="shared" ca="1" si="12"/>
        <v>90+ Days</v>
      </c>
      <c r="L177" s="2" t="str">
        <f t="shared" ca="1" si="13"/>
        <v>HIGH RISK</v>
      </c>
      <c r="M177" s="2" t="str">
        <f t="shared" ca="1" si="14"/>
        <v>Immediate Action</v>
      </c>
      <c r="N177" s="2" t="s">
        <v>63</v>
      </c>
      <c r="O177" s="2"/>
    </row>
    <row r="178" spans="1:15" hidden="1">
      <c r="A178" s="5">
        <v>177</v>
      </c>
      <c r="B178" s="5" t="s">
        <v>40</v>
      </c>
      <c r="C178" s="11">
        <v>45978</v>
      </c>
      <c r="D178" s="5" t="s">
        <v>337</v>
      </c>
      <c r="E178" s="5" t="s">
        <v>45</v>
      </c>
      <c r="F178" s="6">
        <v>5143</v>
      </c>
      <c r="G178" s="11">
        <v>46003</v>
      </c>
      <c r="H178" s="6">
        <v>0</v>
      </c>
      <c r="I178" s="6">
        <f t="shared" si="10"/>
        <v>5143</v>
      </c>
      <c r="J178" s="5">
        <f t="shared" ca="1" si="11"/>
        <v>161</v>
      </c>
      <c r="K178" s="5" t="str">
        <f t="shared" ca="1" si="12"/>
        <v>90+ Days</v>
      </c>
      <c r="L178" s="5" t="str">
        <f t="shared" ca="1" si="13"/>
        <v>HIGH RISK</v>
      </c>
      <c r="M178" s="5" t="str">
        <f t="shared" ca="1" si="14"/>
        <v>Immediate Action</v>
      </c>
      <c r="N178" s="5" t="s">
        <v>63</v>
      </c>
      <c r="O178" s="5"/>
    </row>
    <row r="179" spans="1:15" hidden="1">
      <c r="A179" s="2">
        <v>178</v>
      </c>
      <c r="B179" s="2" t="s">
        <v>40</v>
      </c>
      <c r="C179" s="12">
        <v>46022</v>
      </c>
      <c r="D179" s="2" t="s">
        <v>338</v>
      </c>
      <c r="E179" s="2" t="s">
        <v>45</v>
      </c>
      <c r="F179" s="3">
        <v>105970.48</v>
      </c>
      <c r="G179" s="12">
        <v>46047</v>
      </c>
      <c r="H179" s="3">
        <v>0</v>
      </c>
      <c r="I179" s="3">
        <f t="shared" si="10"/>
        <v>105970.48</v>
      </c>
      <c r="J179" s="2">
        <f t="shared" ca="1" si="11"/>
        <v>117</v>
      </c>
      <c r="K179" s="2" t="str">
        <f t="shared" ca="1" si="12"/>
        <v>90+ Days</v>
      </c>
      <c r="L179" s="2" t="str">
        <f t="shared" ca="1" si="13"/>
        <v>HIGH RISK</v>
      </c>
      <c r="M179" s="2" t="str">
        <f t="shared" ca="1" si="14"/>
        <v>Immediate Action</v>
      </c>
      <c r="N179" s="2" t="s">
        <v>63</v>
      </c>
      <c r="O179" s="2"/>
    </row>
    <row r="180" spans="1:15" hidden="1">
      <c r="A180" s="5">
        <v>179</v>
      </c>
      <c r="B180" s="5" t="s">
        <v>40</v>
      </c>
      <c r="C180" s="11">
        <v>46025</v>
      </c>
      <c r="D180" s="5" t="s">
        <v>339</v>
      </c>
      <c r="E180" s="5" t="s">
        <v>45</v>
      </c>
      <c r="F180" s="6">
        <v>53447.25</v>
      </c>
      <c r="G180" s="11">
        <v>46050</v>
      </c>
      <c r="H180" s="6">
        <v>0</v>
      </c>
      <c r="I180" s="6">
        <f t="shared" si="10"/>
        <v>53447.25</v>
      </c>
      <c r="J180" s="5">
        <f t="shared" ca="1" si="11"/>
        <v>114</v>
      </c>
      <c r="K180" s="5" t="str">
        <f t="shared" ca="1" si="12"/>
        <v>90+ Days</v>
      </c>
      <c r="L180" s="5" t="str">
        <f t="shared" ca="1" si="13"/>
        <v>HIGH RISK</v>
      </c>
      <c r="M180" s="5" t="str">
        <f t="shared" ca="1" si="14"/>
        <v>Immediate Action</v>
      </c>
      <c r="N180" s="5" t="s">
        <v>63</v>
      </c>
      <c r="O180" s="5"/>
    </row>
    <row r="181" spans="1:15" hidden="1">
      <c r="A181" s="2">
        <v>180</v>
      </c>
      <c r="B181" s="2" t="s">
        <v>40</v>
      </c>
      <c r="C181" s="12">
        <v>46053</v>
      </c>
      <c r="D181" s="2" t="s">
        <v>340</v>
      </c>
      <c r="E181" s="2" t="s">
        <v>45</v>
      </c>
      <c r="F181" s="3">
        <v>155010</v>
      </c>
      <c r="G181" s="12">
        <v>46078</v>
      </c>
      <c r="H181" s="3">
        <v>0</v>
      </c>
      <c r="I181" s="3">
        <f t="shared" si="10"/>
        <v>155010</v>
      </c>
      <c r="J181" s="2">
        <f t="shared" ca="1" si="11"/>
        <v>86</v>
      </c>
      <c r="K181" s="2" t="str">
        <f t="shared" ca="1" si="12"/>
        <v>61-90 Days</v>
      </c>
      <c r="L181" s="2" t="str">
        <f t="shared" ca="1" si="13"/>
        <v>Medium</v>
      </c>
      <c r="M181" s="2" t="str">
        <f t="shared" ca="1" si="14"/>
        <v>Urgent</v>
      </c>
      <c r="N181" s="2" t="s">
        <v>63</v>
      </c>
      <c r="O181" s="2"/>
    </row>
    <row r="182" spans="1:15" hidden="1">
      <c r="A182" s="5">
        <v>181</v>
      </c>
      <c r="B182" s="5" t="s">
        <v>40</v>
      </c>
      <c r="C182" s="11">
        <v>46122</v>
      </c>
      <c r="D182" s="5" t="s">
        <v>341</v>
      </c>
      <c r="E182" s="5" t="s">
        <v>45</v>
      </c>
      <c r="F182" s="6">
        <v>93732</v>
      </c>
      <c r="G182" s="11">
        <v>46147</v>
      </c>
      <c r="H182" s="6">
        <v>0</v>
      </c>
      <c r="I182" s="6">
        <f t="shared" si="10"/>
        <v>93732</v>
      </c>
      <c r="J182" s="5">
        <f t="shared" ca="1" si="11"/>
        <v>17</v>
      </c>
      <c r="K182" s="5" t="str">
        <f t="shared" ca="1" si="12"/>
        <v>0-30 Days</v>
      </c>
      <c r="L182" s="5" t="str">
        <f t="shared" ca="1" si="13"/>
        <v>Low</v>
      </c>
      <c r="M182" s="5" t="str">
        <f t="shared" ca="1" si="14"/>
        <v>Normal</v>
      </c>
      <c r="N182" s="5" t="s">
        <v>63</v>
      </c>
      <c r="O182" s="5"/>
    </row>
    <row r="183" spans="1:15" hidden="1">
      <c r="A183" s="2">
        <v>182</v>
      </c>
      <c r="B183" s="2" t="s">
        <v>40</v>
      </c>
      <c r="C183" s="12">
        <v>46156</v>
      </c>
      <c r="D183" s="2" t="s">
        <v>342</v>
      </c>
      <c r="E183" s="2" t="s">
        <v>45</v>
      </c>
      <c r="F183" s="3">
        <v>43847</v>
      </c>
      <c r="G183" s="12">
        <v>46181</v>
      </c>
      <c r="H183" s="3">
        <v>0</v>
      </c>
      <c r="I183" s="3">
        <f t="shared" si="10"/>
        <v>43847</v>
      </c>
      <c r="J183" s="2">
        <f t="shared" ca="1" si="11"/>
        <v>0</v>
      </c>
      <c r="K183" s="2" t="str">
        <f t="shared" ca="1" si="12"/>
        <v>0-30 Days</v>
      </c>
      <c r="L183" s="2" t="str">
        <f t="shared" ca="1" si="13"/>
        <v>Low</v>
      </c>
      <c r="M183" s="2" t="str">
        <f t="shared" ca="1" si="14"/>
        <v>Normal</v>
      </c>
      <c r="N183" s="2" t="s">
        <v>63</v>
      </c>
      <c r="O183" s="2"/>
    </row>
    <row r="184" spans="1:15" hidden="1">
      <c r="A184" s="5">
        <v>183</v>
      </c>
      <c r="B184" s="5" t="s">
        <v>40</v>
      </c>
      <c r="C184" s="11">
        <v>46031</v>
      </c>
      <c r="D184" s="5" t="s">
        <v>343</v>
      </c>
      <c r="E184" s="5" t="s">
        <v>344</v>
      </c>
      <c r="F184" s="6">
        <v>5</v>
      </c>
      <c r="G184" s="11">
        <v>46056</v>
      </c>
      <c r="H184" s="6">
        <v>0</v>
      </c>
      <c r="I184" s="6">
        <f t="shared" si="10"/>
        <v>5</v>
      </c>
      <c r="J184" s="5">
        <f t="shared" ca="1" si="11"/>
        <v>108</v>
      </c>
      <c r="K184" s="5" t="str">
        <f t="shared" ca="1" si="12"/>
        <v>90+ Days</v>
      </c>
      <c r="L184" s="5" t="str">
        <f t="shared" ca="1" si="13"/>
        <v>HIGH RISK</v>
      </c>
      <c r="M184" s="5" t="str">
        <f t="shared" ca="1" si="14"/>
        <v>Immediate Action</v>
      </c>
      <c r="N184" s="5" t="s">
        <v>63</v>
      </c>
      <c r="O184" s="5"/>
    </row>
    <row r="185" spans="1:15" hidden="1">
      <c r="A185" s="2">
        <v>184</v>
      </c>
      <c r="B185" s="2" t="s">
        <v>40</v>
      </c>
      <c r="C185" s="12">
        <v>46107</v>
      </c>
      <c r="D185" s="2" t="s">
        <v>345</v>
      </c>
      <c r="E185" s="2" t="s">
        <v>346</v>
      </c>
      <c r="F185" s="3">
        <v>82798</v>
      </c>
      <c r="G185" s="12">
        <v>46132</v>
      </c>
      <c r="H185" s="3">
        <v>0</v>
      </c>
      <c r="I185" s="3">
        <f t="shared" si="10"/>
        <v>82798</v>
      </c>
      <c r="J185" s="2">
        <f t="shared" ca="1" si="11"/>
        <v>32</v>
      </c>
      <c r="K185" s="2" t="str">
        <f t="shared" ca="1" si="12"/>
        <v>31-60 Days</v>
      </c>
      <c r="L185" s="2" t="str">
        <f t="shared" ca="1" si="13"/>
        <v>Low-Medium</v>
      </c>
      <c r="M185" s="2" t="str">
        <f t="shared" ca="1" si="14"/>
        <v>Medium</v>
      </c>
      <c r="N185" s="2" t="s">
        <v>63</v>
      </c>
      <c r="O185" s="2"/>
    </row>
    <row r="186" spans="1:15" hidden="1">
      <c r="A186" s="5">
        <v>185</v>
      </c>
      <c r="B186" s="5" t="s">
        <v>40</v>
      </c>
      <c r="C186" s="11">
        <v>46155</v>
      </c>
      <c r="D186" s="5" t="s">
        <v>347</v>
      </c>
      <c r="E186" s="5" t="s">
        <v>346</v>
      </c>
      <c r="F186" s="6">
        <v>547</v>
      </c>
      <c r="G186" s="11">
        <v>46180</v>
      </c>
      <c r="H186" s="6">
        <v>0</v>
      </c>
      <c r="I186" s="6">
        <f t="shared" si="10"/>
        <v>547</v>
      </c>
      <c r="J186" s="5">
        <f t="shared" ca="1" si="11"/>
        <v>0</v>
      </c>
      <c r="K186" s="5" t="str">
        <f t="shared" ca="1" si="12"/>
        <v>0-30 Days</v>
      </c>
      <c r="L186" s="5" t="str">
        <f t="shared" ca="1" si="13"/>
        <v>Low</v>
      </c>
      <c r="M186" s="5" t="str">
        <f t="shared" ca="1" si="14"/>
        <v>Normal</v>
      </c>
      <c r="N186" s="5" t="s">
        <v>63</v>
      </c>
      <c r="O186" s="5"/>
    </row>
    <row r="187" spans="1:15" hidden="1">
      <c r="A187" s="2">
        <v>186</v>
      </c>
      <c r="B187" s="2" t="s">
        <v>40</v>
      </c>
      <c r="C187" s="12">
        <v>46109</v>
      </c>
      <c r="D187" s="2" t="s">
        <v>348</v>
      </c>
      <c r="E187" s="2" t="s">
        <v>49</v>
      </c>
      <c r="F187" s="3">
        <v>152603</v>
      </c>
      <c r="G187" s="12">
        <v>46134</v>
      </c>
      <c r="H187" s="3">
        <v>0</v>
      </c>
      <c r="I187" s="3">
        <f t="shared" si="10"/>
        <v>152603</v>
      </c>
      <c r="J187" s="2">
        <f t="shared" ca="1" si="11"/>
        <v>30</v>
      </c>
      <c r="K187" s="2" t="str">
        <f t="shared" ca="1" si="12"/>
        <v>0-30 Days</v>
      </c>
      <c r="L187" s="2" t="str">
        <f t="shared" ca="1" si="13"/>
        <v>Low</v>
      </c>
      <c r="M187" s="2" t="str">
        <f t="shared" ca="1" si="14"/>
        <v>Normal</v>
      </c>
      <c r="N187" s="2" t="s">
        <v>63</v>
      </c>
      <c r="O187" s="2"/>
    </row>
    <row r="188" spans="1:15" hidden="1">
      <c r="A188" s="5">
        <v>187</v>
      </c>
      <c r="B188" s="5" t="s">
        <v>40</v>
      </c>
      <c r="C188" s="11">
        <v>46142</v>
      </c>
      <c r="D188" s="5" t="s">
        <v>349</v>
      </c>
      <c r="E188" s="5" t="s">
        <v>49</v>
      </c>
      <c r="F188" s="6">
        <v>136439</v>
      </c>
      <c r="G188" s="11">
        <v>46167</v>
      </c>
      <c r="H188" s="6">
        <v>0</v>
      </c>
      <c r="I188" s="6">
        <f t="shared" si="10"/>
        <v>136439</v>
      </c>
      <c r="J188" s="5">
        <f t="shared" ca="1" si="11"/>
        <v>0</v>
      </c>
      <c r="K188" s="5" t="str">
        <f t="shared" ca="1" si="12"/>
        <v>0-30 Days</v>
      </c>
      <c r="L188" s="5" t="str">
        <f t="shared" ca="1" si="13"/>
        <v>Low</v>
      </c>
      <c r="M188" s="5" t="str">
        <f t="shared" ca="1" si="14"/>
        <v>Normal</v>
      </c>
      <c r="N188" s="5" t="s">
        <v>63</v>
      </c>
      <c r="O188" s="5"/>
    </row>
    <row r="189" spans="1:15" hidden="1">
      <c r="A189" s="2">
        <v>188</v>
      </c>
      <c r="B189" s="2" t="s">
        <v>40</v>
      </c>
      <c r="C189" s="12">
        <v>46155</v>
      </c>
      <c r="D189" s="2" t="s">
        <v>350</v>
      </c>
      <c r="E189" s="2" t="s">
        <v>49</v>
      </c>
      <c r="F189" s="3">
        <v>547</v>
      </c>
      <c r="G189" s="12">
        <v>46180</v>
      </c>
      <c r="H189" s="3">
        <v>0</v>
      </c>
      <c r="I189" s="3">
        <f t="shared" si="10"/>
        <v>547</v>
      </c>
      <c r="J189" s="2">
        <f t="shared" ca="1" si="11"/>
        <v>0</v>
      </c>
      <c r="K189" s="2" t="str">
        <f t="shared" ca="1" si="12"/>
        <v>0-30 Days</v>
      </c>
      <c r="L189" s="2" t="str">
        <f t="shared" ca="1" si="13"/>
        <v>Low</v>
      </c>
      <c r="M189" s="2" t="str">
        <f t="shared" ca="1" si="14"/>
        <v>Normal</v>
      </c>
      <c r="N189" s="2" t="s">
        <v>63</v>
      </c>
      <c r="O189" s="2"/>
    </row>
    <row r="190" spans="1:15" hidden="1">
      <c r="A190" s="5">
        <v>189</v>
      </c>
      <c r="B190" s="5" t="s">
        <v>40</v>
      </c>
      <c r="C190" s="11">
        <v>46087</v>
      </c>
      <c r="D190" s="5" t="s">
        <v>351</v>
      </c>
      <c r="E190" s="5" t="s">
        <v>352</v>
      </c>
      <c r="F190" s="6">
        <v>1427</v>
      </c>
      <c r="G190" s="11">
        <v>46112</v>
      </c>
      <c r="H190" s="6">
        <v>0</v>
      </c>
      <c r="I190" s="6">
        <f t="shared" si="10"/>
        <v>1427</v>
      </c>
      <c r="J190" s="5">
        <f t="shared" ca="1" si="11"/>
        <v>52</v>
      </c>
      <c r="K190" s="5" t="str">
        <f t="shared" ca="1" si="12"/>
        <v>31-60 Days</v>
      </c>
      <c r="L190" s="5" t="str">
        <f t="shared" ca="1" si="13"/>
        <v>Low-Medium</v>
      </c>
      <c r="M190" s="5" t="str">
        <f t="shared" ca="1" si="14"/>
        <v>Medium</v>
      </c>
      <c r="N190" s="5" t="s">
        <v>63</v>
      </c>
      <c r="O190" s="5"/>
    </row>
    <row r="191" spans="1:15" hidden="1">
      <c r="A191" s="2">
        <v>190</v>
      </c>
      <c r="B191" s="2" t="s">
        <v>40</v>
      </c>
      <c r="C191" s="12">
        <v>46104</v>
      </c>
      <c r="D191" s="2" t="s">
        <v>353</v>
      </c>
      <c r="E191" s="2" t="s">
        <v>354</v>
      </c>
      <c r="F191" s="3">
        <v>1329</v>
      </c>
      <c r="G191" s="12">
        <v>46129</v>
      </c>
      <c r="H191" s="3">
        <v>0</v>
      </c>
      <c r="I191" s="3">
        <f t="shared" si="10"/>
        <v>1329</v>
      </c>
      <c r="J191" s="2">
        <f t="shared" ca="1" si="11"/>
        <v>35</v>
      </c>
      <c r="K191" s="2" t="str">
        <f t="shared" ca="1" si="12"/>
        <v>31-60 Days</v>
      </c>
      <c r="L191" s="2" t="str">
        <f t="shared" ca="1" si="13"/>
        <v>Low-Medium</v>
      </c>
      <c r="M191" s="2" t="str">
        <f t="shared" ca="1" si="14"/>
        <v>Medium</v>
      </c>
      <c r="N191" s="2" t="s">
        <v>63</v>
      </c>
      <c r="O191" s="2"/>
    </row>
    <row r="192" spans="1:15" hidden="1">
      <c r="A192" s="5">
        <v>191</v>
      </c>
      <c r="B192" s="5" t="s">
        <v>40</v>
      </c>
      <c r="C192" s="11">
        <v>46118</v>
      </c>
      <c r="D192" s="5" t="s">
        <v>355</v>
      </c>
      <c r="E192" s="5" t="s">
        <v>47</v>
      </c>
      <c r="F192" s="6">
        <v>743012</v>
      </c>
      <c r="G192" s="11">
        <v>46143</v>
      </c>
      <c r="H192" s="6">
        <v>0</v>
      </c>
      <c r="I192" s="6">
        <f t="shared" si="10"/>
        <v>743012</v>
      </c>
      <c r="J192" s="5">
        <f t="shared" ca="1" si="11"/>
        <v>21</v>
      </c>
      <c r="K192" s="5" t="str">
        <f t="shared" ca="1" si="12"/>
        <v>0-30 Days</v>
      </c>
      <c r="L192" s="5" t="str">
        <f t="shared" ca="1" si="13"/>
        <v>Low</v>
      </c>
      <c r="M192" s="5" t="str">
        <f t="shared" ca="1" si="14"/>
        <v>Normal</v>
      </c>
      <c r="N192" s="5" t="s">
        <v>63</v>
      </c>
      <c r="O192" s="5"/>
    </row>
    <row r="193" spans="1:15" hidden="1">
      <c r="A193" s="2">
        <v>192</v>
      </c>
      <c r="B193" s="2" t="s">
        <v>40</v>
      </c>
      <c r="C193" s="12">
        <v>46059</v>
      </c>
      <c r="D193" s="2" t="s">
        <v>356</v>
      </c>
      <c r="E193" s="2" t="s">
        <v>357</v>
      </c>
      <c r="F193" s="3">
        <v>28600</v>
      </c>
      <c r="G193" s="12">
        <v>46084</v>
      </c>
      <c r="H193" s="3">
        <v>0</v>
      </c>
      <c r="I193" s="3">
        <f t="shared" si="10"/>
        <v>28600</v>
      </c>
      <c r="J193" s="2">
        <f t="shared" ca="1" si="11"/>
        <v>80</v>
      </c>
      <c r="K193" s="2" t="str">
        <f t="shared" ca="1" si="12"/>
        <v>61-90 Days</v>
      </c>
      <c r="L193" s="2" t="str">
        <f t="shared" ca="1" si="13"/>
        <v>Medium</v>
      </c>
      <c r="M193" s="2" t="str">
        <f t="shared" ca="1" si="14"/>
        <v>Urgent</v>
      </c>
      <c r="N193" s="2" t="s">
        <v>63</v>
      </c>
      <c r="O193" s="2"/>
    </row>
    <row r="194" spans="1:15" hidden="1">
      <c r="A194" s="5">
        <v>193</v>
      </c>
      <c r="B194" s="5" t="s">
        <v>40</v>
      </c>
      <c r="C194" s="11">
        <v>46087</v>
      </c>
      <c r="D194" s="5" t="s">
        <v>358</v>
      </c>
      <c r="E194" s="5" t="s">
        <v>357</v>
      </c>
      <c r="F194" s="6">
        <v>26307</v>
      </c>
      <c r="G194" s="11">
        <v>46112</v>
      </c>
      <c r="H194" s="6">
        <v>0</v>
      </c>
      <c r="I194" s="6">
        <f t="shared" ref="I194:I257" si="15">MAX(0,F194-H194)</f>
        <v>26307</v>
      </c>
      <c r="J194" s="5">
        <f t="shared" ref="J194:J257" ca="1" si="16">IF(G194="",0,MAX(0,TODAY()-G194))</f>
        <v>52</v>
      </c>
      <c r="K194" s="5" t="str">
        <f t="shared" ref="K194:K257" ca="1" si="17">IF(I194&lt;=0,"Current",IF(J194&lt;=30,"0-30 Days",IF(J194&lt;=60,"31-60 Days",IF(J194&lt;=90,"61-90 Days","90+ Days"))))</f>
        <v>31-60 Days</v>
      </c>
      <c r="L194" s="5" t="str">
        <f t="shared" ref="L194:L257" ca="1" si="18">IF(I194&lt;=0,"-",IF(J194&lt;=30,"Low",IF(J194&lt;=60,"Low-Medium",IF(J194&lt;=90,"Medium","HIGH RISK"))))</f>
        <v>Low-Medium</v>
      </c>
      <c r="M194" s="5" t="str">
        <f t="shared" ref="M194:M257" ca="1" si="19">IF(I194&lt;=0,"-",IF(J194&lt;=30,"Normal",IF(J194&lt;=60,"Medium",IF(J194&lt;=90,"Urgent","Immediate Action"))))</f>
        <v>Medium</v>
      </c>
      <c r="N194" s="5" t="s">
        <v>63</v>
      </c>
      <c r="O194" s="5"/>
    </row>
    <row r="195" spans="1:15" hidden="1">
      <c r="A195" s="2">
        <v>194</v>
      </c>
      <c r="B195" s="2" t="s">
        <v>40</v>
      </c>
      <c r="C195" s="12">
        <v>46109</v>
      </c>
      <c r="D195" s="2" t="s">
        <v>359</v>
      </c>
      <c r="E195" s="2" t="s">
        <v>357</v>
      </c>
      <c r="F195" s="3">
        <v>21129</v>
      </c>
      <c r="G195" s="12">
        <v>46134</v>
      </c>
      <c r="H195" s="3">
        <v>0</v>
      </c>
      <c r="I195" s="3">
        <f t="shared" si="15"/>
        <v>21129</v>
      </c>
      <c r="J195" s="2">
        <f t="shared" ca="1" si="16"/>
        <v>30</v>
      </c>
      <c r="K195" s="2" t="str">
        <f t="shared" ca="1" si="17"/>
        <v>0-30 Days</v>
      </c>
      <c r="L195" s="2" t="str">
        <f t="shared" ca="1" si="18"/>
        <v>Low</v>
      </c>
      <c r="M195" s="2" t="str">
        <f t="shared" ca="1" si="19"/>
        <v>Normal</v>
      </c>
      <c r="N195" s="2" t="s">
        <v>63</v>
      </c>
      <c r="O195" s="2"/>
    </row>
    <row r="196" spans="1:15" hidden="1">
      <c r="A196" s="5">
        <v>195</v>
      </c>
      <c r="B196" s="5" t="s">
        <v>40</v>
      </c>
      <c r="C196" s="11">
        <v>46121</v>
      </c>
      <c r="D196" s="5" t="s">
        <v>360</v>
      </c>
      <c r="E196" s="5" t="s">
        <v>357</v>
      </c>
      <c r="F196" s="6">
        <v>7460</v>
      </c>
      <c r="G196" s="11">
        <v>46146</v>
      </c>
      <c r="H196" s="6">
        <v>0</v>
      </c>
      <c r="I196" s="6">
        <f t="shared" si="15"/>
        <v>7460</v>
      </c>
      <c r="J196" s="5">
        <f t="shared" ca="1" si="16"/>
        <v>18</v>
      </c>
      <c r="K196" s="5" t="str">
        <f t="shared" ca="1" si="17"/>
        <v>0-30 Days</v>
      </c>
      <c r="L196" s="5" t="str">
        <f t="shared" ca="1" si="18"/>
        <v>Low</v>
      </c>
      <c r="M196" s="5" t="str">
        <f t="shared" ca="1" si="19"/>
        <v>Normal</v>
      </c>
      <c r="N196" s="5" t="s">
        <v>63</v>
      </c>
      <c r="O196" s="5"/>
    </row>
    <row r="197" spans="1:15" hidden="1">
      <c r="A197" s="2">
        <v>196</v>
      </c>
      <c r="B197" s="2" t="s">
        <v>40</v>
      </c>
      <c r="C197" s="12">
        <v>45202</v>
      </c>
      <c r="D197" s="2" t="s">
        <v>361</v>
      </c>
      <c r="E197" s="2" t="s">
        <v>362</v>
      </c>
      <c r="F197" s="3">
        <v>21098.1</v>
      </c>
      <c r="G197" s="12">
        <v>45202</v>
      </c>
      <c r="H197" s="3">
        <v>0</v>
      </c>
      <c r="I197" s="3">
        <f t="shared" si="15"/>
        <v>21098.1</v>
      </c>
      <c r="J197" s="2">
        <f t="shared" ca="1" si="16"/>
        <v>962</v>
      </c>
      <c r="K197" s="2" t="str">
        <f t="shared" ca="1" si="17"/>
        <v>90+ Days</v>
      </c>
      <c r="L197" s="2" t="str">
        <f t="shared" ca="1" si="18"/>
        <v>HIGH RISK</v>
      </c>
      <c r="M197" s="2" t="str">
        <f t="shared" ca="1" si="19"/>
        <v>Immediate Action</v>
      </c>
      <c r="N197" s="2" t="s">
        <v>63</v>
      </c>
      <c r="O197" s="2"/>
    </row>
    <row r="198" spans="1:15" hidden="1">
      <c r="A198" s="5">
        <v>197</v>
      </c>
      <c r="B198" s="5" t="s">
        <v>40</v>
      </c>
      <c r="C198" s="11">
        <v>46087</v>
      </c>
      <c r="D198" s="5" t="s">
        <v>363</v>
      </c>
      <c r="E198" s="5" t="s">
        <v>362</v>
      </c>
      <c r="F198" s="6">
        <v>1427</v>
      </c>
      <c r="G198" s="11">
        <v>46112</v>
      </c>
      <c r="H198" s="6">
        <v>0</v>
      </c>
      <c r="I198" s="6">
        <f t="shared" si="15"/>
        <v>1427</v>
      </c>
      <c r="J198" s="5">
        <f t="shared" ca="1" si="16"/>
        <v>52</v>
      </c>
      <c r="K198" s="5" t="str">
        <f t="shared" ca="1" si="17"/>
        <v>31-60 Days</v>
      </c>
      <c r="L198" s="5" t="str">
        <f t="shared" ca="1" si="18"/>
        <v>Low-Medium</v>
      </c>
      <c r="M198" s="5" t="str">
        <f t="shared" ca="1" si="19"/>
        <v>Medium</v>
      </c>
      <c r="N198" s="5" t="s">
        <v>63</v>
      </c>
      <c r="O198" s="5"/>
    </row>
    <row r="199" spans="1:15" hidden="1">
      <c r="A199" s="2">
        <v>198</v>
      </c>
      <c r="B199" s="2" t="s">
        <v>40</v>
      </c>
      <c r="C199" s="12">
        <v>46087</v>
      </c>
      <c r="D199" s="2" t="s">
        <v>364</v>
      </c>
      <c r="E199" s="2" t="s">
        <v>365</v>
      </c>
      <c r="F199" s="3">
        <v>1427</v>
      </c>
      <c r="G199" s="12">
        <v>46112</v>
      </c>
      <c r="H199" s="3">
        <v>0</v>
      </c>
      <c r="I199" s="3">
        <f t="shared" si="15"/>
        <v>1427</v>
      </c>
      <c r="J199" s="2">
        <f t="shared" ca="1" si="16"/>
        <v>52</v>
      </c>
      <c r="K199" s="2" t="str">
        <f t="shared" ca="1" si="17"/>
        <v>31-60 Days</v>
      </c>
      <c r="L199" s="2" t="str">
        <f t="shared" ca="1" si="18"/>
        <v>Low-Medium</v>
      </c>
      <c r="M199" s="2" t="str">
        <f t="shared" ca="1" si="19"/>
        <v>Medium</v>
      </c>
      <c r="N199" s="2" t="s">
        <v>63</v>
      </c>
      <c r="O199" s="2"/>
    </row>
    <row r="200" spans="1:15" hidden="1">
      <c r="A200" s="5">
        <v>199</v>
      </c>
      <c r="B200" s="5" t="s">
        <v>40</v>
      </c>
      <c r="C200" s="11">
        <v>46112</v>
      </c>
      <c r="D200" s="5" t="s">
        <v>366</v>
      </c>
      <c r="E200" s="5" t="s">
        <v>56</v>
      </c>
      <c r="F200" s="6">
        <v>45625</v>
      </c>
      <c r="G200" s="11">
        <v>46137</v>
      </c>
      <c r="H200" s="6">
        <v>0</v>
      </c>
      <c r="I200" s="6">
        <f t="shared" si="15"/>
        <v>45625</v>
      </c>
      <c r="J200" s="5">
        <f t="shared" ca="1" si="16"/>
        <v>27</v>
      </c>
      <c r="K200" s="5" t="str">
        <f t="shared" ca="1" si="17"/>
        <v>0-30 Days</v>
      </c>
      <c r="L200" s="5" t="str">
        <f t="shared" ca="1" si="18"/>
        <v>Low</v>
      </c>
      <c r="M200" s="5" t="str">
        <f t="shared" ca="1" si="19"/>
        <v>Normal</v>
      </c>
      <c r="N200" s="5" t="s">
        <v>63</v>
      </c>
      <c r="O200" s="5"/>
    </row>
    <row r="201" spans="1:15" hidden="1">
      <c r="A201" s="2">
        <v>200</v>
      </c>
      <c r="B201" s="2" t="s">
        <v>40</v>
      </c>
      <c r="C201" s="12">
        <v>46137</v>
      </c>
      <c r="D201" s="2" t="s">
        <v>367</v>
      </c>
      <c r="E201" s="2" t="s">
        <v>56</v>
      </c>
      <c r="F201" s="3">
        <v>91396</v>
      </c>
      <c r="G201" s="12">
        <v>46162</v>
      </c>
      <c r="H201" s="3">
        <v>0</v>
      </c>
      <c r="I201" s="3">
        <f t="shared" si="15"/>
        <v>91396</v>
      </c>
      <c r="J201" s="2">
        <f t="shared" ca="1" si="16"/>
        <v>2</v>
      </c>
      <c r="K201" s="2" t="str">
        <f t="shared" ca="1" si="17"/>
        <v>0-30 Days</v>
      </c>
      <c r="L201" s="2" t="str">
        <f t="shared" ca="1" si="18"/>
        <v>Low</v>
      </c>
      <c r="M201" s="2" t="str">
        <f t="shared" ca="1" si="19"/>
        <v>Normal</v>
      </c>
      <c r="N201" s="2" t="s">
        <v>63</v>
      </c>
      <c r="O201" s="2"/>
    </row>
    <row r="202" spans="1:15" hidden="1">
      <c r="A202" s="5">
        <v>201</v>
      </c>
      <c r="B202" s="5" t="s">
        <v>40</v>
      </c>
      <c r="C202" s="11">
        <v>46087</v>
      </c>
      <c r="D202" s="5" t="s">
        <v>368</v>
      </c>
      <c r="E202" s="5" t="s">
        <v>54</v>
      </c>
      <c r="F202" s="6">
        <v>52613</v>
      </c>
      <c r="G202" s="11">
        <v>46112</v>
      </c>
      <c r="H202" s="6">
        <v>0</v>
      </c>
      <c r="I202" s="6">
        <f t="shared" si="15"/>
        <v>52613</v>
      </c>
      <c r="J202" s="5">
        <f t="shared" ca="1" si="16"/>
        <v>52</v>
      </c>
      <c r="K202" s="5" t="str">
        <f t="shared" ca="1" si="17"/>
        <v>31-60 Days</v>
      </c>
      <c r="L202" s="5" t="str">
        <f t="shared" ca="1" si="18"/>
        <v>Low-Medium</v>
      </c>
      <c r="M202" s="5" t="str">
        <f t="shared" ca="1" si="19"/>
        <v>Medium</v>
      </c>
      <c r="N202" s="5" t="s">
        <v>63</v>
      </c>
      <c r="O202" s="5"/>
    </row>
    <row r="203" spans="1:15" hidden="1">
      <c r="A203" s="2">
        <v>202</v>
      </c>
      <c r="B203" s="2" t="s">
        <v>40</v>
      </c>
      <c r="C203" s="12">
        <v>46109</v>
      </c>
      <c r="D203" s="2" t="s">
        <v>369</v>
      </c>
      <c r="E203" s="2" t="s">
        <v>54</v>
      </c>
      <c r="F203" s="3">
        <v>88584</v>
      </c>
      <c r="G203" s="12">
        <v>46134</v>
      </c>
      <c r="H203" s="3">
        <v>0</v>
      </c>
      <c r="I203" s="3">
        <f t="shared" si="15"/>
        <v>88584</v>
      </c>
      <c r="J203" s="2">
        <f t="shared" ca="1" si="16"/>
        <v>30</v>
      </c>
      <c r="K203" s="2" t="str">
        <f t="shared" ca="1" si="17"/>
        <v>0-30 Days</v>
      </c>
      <c r="L203" s="2" t="str">
        <f t="shared" ca="1" si="18"/>
        <v>Low</v>
      </c>
      <c r="M203" s="2" t="str">
        <f t="shared" ca="1" si="19"/>
        <v>Normal</v>
      </c>
      <c r="N203" s="2" t="s">
        <v>63</v>
      </c>
      <c r="O203" s="2"/>
    </row>
    <row r="204" spans="1:15" hidden="1">
      <c r="A204" s="5">
        <v>203</v>
      </c>
      <c r="B204" s="5" t="s">
        <v>40</v>
      </c>
      <c r="C204" s="11">
        <v>46140</v>
      </c>
      <c r="D204" s="5" t="s">
        <v>370</v>
      </c>
      <c r="E204" s="5" t="s">
        <v>371</v>
      </c>
      <c r="F204" s="6">
        <v>46578</v>
      </c>
      <c r="G204" s="11">
        <v>46140</v>
      </c>
      <c r="H204" s="6">
        <v>0</v>
      </c>
      <c r="I204" s="6">
        <f t="shared" si="15"/>
        <v>46578</v>
      </c>
      <c r="J204" s="5">
        <f t="shared" ca="1" si="16"/>
        <v>24</v>
      </c>
      <c r="K204" s="5" t="str">
        <f t="shared" ca="1" si="17"/>
        <v>0-30 Days</v>
      </c>
      <c r="L204" s="5" t="str">
        <f t="shared" ca="1" si="18"/>
        <v>Low</v>
      </c>
      <c r="M204" s="5" t="str">
        <f t="shared" ca="1" si="19"/>
        <v>Normal</v>
      </c>
      <c r="N204" s="5" t="s">
        <v>63</v>
      </c>
      <c r="O204" s="5"/>
    </row>
    <row r="205" spans="1:15" hidden="1">
      <c r="A205" s="2">
        <v>204</v>
      </c>
      <c r="B205" s="2" t="s">
        <v>41</v>
      </c>
      <c r="C205" s="12">
        <v>46125</v>
      </c>
      <c r="D205" s="2" t="s">
        <v>372</v>
      </c>
      <c r="E205" s="2" t="s">
        <v>373</v>
      </c>
      <c r="F205" s="3">
        <v>5452</v>
      </c>
      <c r="G205" s="12">
        <v>46150</v>
      </c>
      <c r="H205" s="3">
        <v>0</v>
      </c>
      <c r="I205" s="3">
        <f t="shared" si="15"/>
        <v>5452</v>
      </c>
      <c r="J205" s="2">
        <f t="shared" ca="1" si="16"/>
        <v>14</v>
      </c>
      <c r="K205" s="2" t="str">
        <f t="shared" ca="1" si="17"/>
        <v>0-30 Days</v>
      </c>
      <c r="L205" s="2" t="str">
        <f t="shared" ca="1" si="18"/>
        <v>Low</v>
      </c>
      <c r="M205" s="2" t="str">
        <f t="shared" ca="1" si="19"/>
        <v>Normal</v>
      </c>
      <c r="N205" s="2" t="s">
        <v>63</v>
      </c>
      <c r="O205" s="2"/>
    </row>
    <row r="206" spans="1:15" hidden="1">
      <c r="A206" s="5">
        <v>205</v>
      </c>
      <c r="B206" s="5" t="s">
        <v>41</v>
      </c>
      <c r="C206" s="11">
        <v>46133</v>
      </c>
      <c r="D206" s="5" t="s">
        <v>374</v>
      </c>
      <c r="E206" s="5" t="s">
        <v>375</v>
      </c>
      <c r="F206" s="6">
        <v>13436</v>
      </c>
      <c r="G206" s="11">
        <v>46158</v>
      </c>
      <c r="H206" s="6">
        <v>0</v>
      </c>
      <c r="I206" s="6">
        <f t="shared" si="15"/>
        <v>13436</v>
      </c>
      <c r="J206" s="5">
        <f t="shared" ca="1" si="16"/>
        <v>6</v>
      </c>
      <c r="K206" s="5" t="str">
        <f t="shared" ca="1" si="17"/>
        <v>0-30 Days</v>
      </c>
      <c r="L206" s="5" t="str">
        <f t="shared" ca="1" si="18"/>
        <v>Low</v>
      </c>
      <c r="M206" s="5" t="str">
        <f t="shared" ca="1" si="19"/>
        <v>Normal</v>
      </c>
      <c r="N206" s="5" t="s">
        <v>63</v>
      </c>
      <c r="O206" s="5"/>
    </row>
    <row r="207" spans="1:15" hidden="1">
      <c r="A207" s="2">
        <v>206</v>
      </c>
      <c r="B207" s="2" t="s">
        <v>41</v>
      </c>
      <c r="C207" s="12">
        <v>46105</v>
      </c>
      <c r="D207" s="2" t="s">
        <v>376</v>
      </c>
      <c r="E207" s="2" t="s">
        <v>377</v>
      </c>
      <c r="F207" s="3">
        <v>8720</v>
      </c>
      <c r="G207" s="12">
        <v>46130</v>
      </c>
      <c r="H207" s="3">
        <v>8720</v>
      </c>
      <c r="I207" s="3">
        <f t="shared" si="15"/>
        <v>0</v>
      </c>
      <c r="J207" s="2">
        <f t="shared" ca="1" si="16"/>
        <v>34</v>
      </c>
      <c r="K207" s="2" t="str">
        <f t="shared" si="17"/>
        <v>Current</v>
      </c>
      <c r="L207" s="2" t="str">
        <f t="shared" si="18"/>
        <v>-</v>
      </c>
      <c r="M207" s="2" t="str">
        <f t="shared" si="19"/>
        <v>-</v>
      </c>
      <c r="N207" s="110" t="s">
        <v>130</v>
      </c>
      <c r="O207" s="110" t="s">
        <v>378</v>
      </c>
    </row>
    <row r="208" spans="1:15" hidden="1">
      <c r="A208" s="5">
        <v>207</v>
      </c>
      <c r="B208" s="5" t="s">
        <v>41</v>
      </c>
      <c r="C208" s="11">
        <v>46135</v>
      </c>
      <c r="D208" s="5" t="s">
        <v>379</v>
      </c>
      <c r="E208" s="5" t="s">
        <v>380</v>
      </c>
      <c r="F208" s="6">
        <v>2156</v>
      </c>
      <c r="G208" s="11">
        <v>46160</v>
      </c>
      <c r="H208" s="6">
        <v>2156</v>
      </c>
      <c r="I208" s="6">
        <f t="shared" si="15"/>
        <v>0</v>
      </c>
      <c r="J208" s="5">
        <f t="shared" ca="1" si="16"/>
        <v>4</v>
      </c>
      <c r="K208" s="5" t="str">
        <f t="shared" si="17"/>
        <v>Current</v>
      </c>
      <c r="L208" s="5" t="str">
        <f t="shared" si="18"/>
        <v>-</v>
      </c>
      <c r="M208" s="5" t="str">
        <f t="shared" si="19"/>
        <v>-</v>
      </c>
      <c r="N208" s="5" t="s">
        <v>63</v>
      </c>
      <c r="O208" s="5" t="s">
        <v>378</v>
      </c>
    </row>
    <row r="209" spans="1:15" hidden="1">
      <c r="A209" s="2">
        <v>208</v>
      </c>
      <c r="B209" s="2" t="s">
        <v>41</v>
      </c>
      <c r="C209" s="12">
        <v>46151</v>
      </c>
      <c r="D209" s="2" t="s">
        <v>381</v>
      </c>
      <c r="E209" s="2" t="s">
        <v>380</v>
      </c>
      <c r="F209" s="3">
        <v>3708</v>
      </c>
      <c r="G209" s="12">
        <v>46176</v>
      </c>
      <c r="H209" s="3">
        <v>0</v>
      </c>
      <c r="I209" s="3">
        <f t="shared" si="15"/>
        <v>3708</v>
      </c>
      <c r="J209" s="2">
        <f t="shared" ca="1" si="16"/>
        <v>0</v>
      </c>
      <c r="K209" s="2" t="str">
        <f t="shared" ca="1" si="17"/>
        <v>0-30 Days</v>
      </c>
      <c r="L209" s="2" t="str">
        <f t="shared" ca="1" si="18"/>
        <v>Low</v>
      </c>
      <c r="M209" s="2" t="str">
        <f t="shared" ca="1" si="19"/>
        <v>Normal</v>
      </c>
      <c r="N209" s="2" t="s">
        <v>63</v>
      </c>
      <c r="O209" s="2"/>
    </row>
    <row r="210" spans="1:15" hidden="1">
      <c r="A210" s="5">
        <v>209</v>
      </c>
      <c r="B210" s="5" t="s">
        <v>41</v>
      </c>
      <c r="C210" s="11">
        <v>46109</v>
      </c>
      <c r="D210" s="5" t="s">
        <v>382</v>
      </c>
      <c r="E210" s="5" t="s">
        <v>383</v>
      </c>
      <c r="F210" s="6">
        <v>10164</v>
      </c>
      <c r="G210" s="11">
        <v>46134</v>
      </c>
      <c r="H210" s="6">
        <v>0</v>
      </c>
      <c r="I210" s="6">
        <f t="shared" si="15"/>
        <v>10164</v>
      </c>
      <c r="J210" s="5">
        <f t="shared" ca="1" si="16"/>
        <v>30</v>
      </c>
      <c r="K210" s="5" t="str">
        <f t="shared" ca="1" si="17"/>
        <v>0-30 Days</v>
      </c>
      <c r="L210" s="5" t="str">
        <f t="shared" ca="1" si="18"/>
        <v>Low</v>
      </c>
      <c r="M210" s="5" t="str">
        <f t="shared" ca="1" si="19"/>
        <v>Normal</v>
      </c>
      <c r="N210" s="5" t="s">
        <v>63</v>
      </c>
      <c r="O210" s="5"/>
    </row>
    <row r="211" spans="1:15" hidden="1">
      <c r="A211" s="2">
        <v>210</v>
      </c>
      <c r="B211" s="2" t="s">
        <v>41</v>
      </c>
      <c r="C211" s="12">
        <v>46051</v>
      </c>
      <c r="D211" s="2" t="s">
        <v>384</v>
      </c>
      <c r="E211" s="2" t="s">
        <v>385</v>
      </c>
      <c r="F211" s="3">
        <v>8136</v>
      </c>
      <c r="G211" s="12">
        <v>46076</v>
      </c>
      <c r="H211" s="3">
        <v>0</v>
      </c>
      <c r="I211" s="3">
        <f t="shared" si="15"/>
        <v>8136</v>
      </c>
      <c r="J211" s="2">
        <f t="shared" ca="1" si="16"/>
        <v>88</v>
      </c>
      <c r="K211" s="2" t="str">
        <f t="shared" ca="1" si="17"/>
        <v>61-90 Days</v>
      </c>
      <c r="L211" s="2" t="str">
        <f t="shared" ca="1" si="18"/>
        <v>Medium</v>
      </c>
      <c r="M211" s="2" t="str">
        <f t="shared" ca="1" si="19"/>
        <v>Urgent</v>
      </c>
      <c r="N211" s="2" t="s">
        <v>63</v>
      </c>
      <c r="O211" s="2" t="s">
        <v>386</v>
      </c>
    </row>
    <row r="212" spans="1:15" hidden="1">
      <c r="A212" s="5">
        <v>211</v>
      </c>
      <c r="B212" s="5" t="s">
        <v>41</v>
      </c>
      <c r="C212" s="11">
        <v>46050</v>
      </c>
      <c r="D212" s="5" t="s">
        <v>387</v>
      </c>
      <c r="E212" s="5" t="s">
        <v>388</v>
      </c>
      <c r="F212" s="6">
        <v>3000</v>
      </c>
      <c r="G212" s="11">
        <v>46075</v>
      </c>
      <c r="H212" s="6">
        <v>2600</v>
      </c>
      <c r="I212" s="6">
        <f t="shared" si="15"/>
        <v>400</v>
      </c>
      <c r="J212" s="5">
        <f t="shared" ca="1" si="16"/>
        <v>89</v>
      </c>
      <c r="K212" s="5" t="str">
        <f t="shared" ca="1" si="17"/>
        <v>61-90 Days</v>
      </c>
      <c r="L212" s="5" t="str">
        <f t="shared" ca="1" si="18"/>
        <v>Medium</v>
      </c>
      <c r="M212" s="5" t="str">
        <f t="shared" ca="1" si="19"/>
        <v>Urgent</v>
      </c>
      <c r="N212" s="5" t="s">
        <v>63</v>
      </c>
      <c r="O212" s="5" t="s">
        <v>389</v>
      </c>
    </row>
    <row r="213" spans="1:15" hidden="1">
      <c r="A213" s="2">
        <v>212</v>
      </c>
      <c r="B213" s="2" t="s">
        <v>41</v>
      </c>
      <c r="C213" s="12">
        <v>46027</v>
      </c>
      <c r="D213" s="2" t="s">
        <v>390</v>
      </c>
      <c r="E213" s="2" t="s">
        <v>391</v>
      </c>
      <c r="F213" s="3">
        <v>13733</v>
      </c>
      <c r="G213" s="12">
        <v>46027</v>
      </c>
      <c r="H213" s="3">
        <v>0</v>
      </c>
      <c r="I213" s="3">
        <f t="shared" si="15"/>
        <v>13733</v>
      </c>
      <c r="J213" s="2">
        <f t="shared" ca="1" si="16"/>
        <v>137</v>
      </c>
      <c r="K213" s="2" t="str">
        <f t="shared" ca="1" si="17"/>
        <v>90+ Days</v>
      </c>
      <c r="L213" s="2" t="str">
        <f t="shared" ca="1" si="18"/>
        <v>HIGH RISK</v>
      </c>
      <c r="M213" s="2" t="str">
        <f t="shared" ca="1" si="19"/>
        <v>Immediate Action</v>
      </c>
      <c r="N213" s="2" t="s">
        <v>63</v>
      </c>
      <c r="O213" s="2"/>
    </row>
    <row r="214" spans="1:15" hidden="1">
      <c r="A214" s="5">
        <v>213</v>
      </c>
      <c r="B214" s="5" t="s">
        <v>41</v>
      </c>
      <c r="C214" s="11">
        <v>46027</v>
      </c>
      <c r="D214" s="5" t="s">
        <v>392</v>
      </c>
      <c r="E214" s="5" t="s">
        <v>391</v>
      </c>
      <c r="F214" s="6">
        <v>13733</v>
      </c>
      <c r="G214" s="11">
        <v>46027</v>
      </c>
      <c r="H214" s="6">
        <v>0</v>
      </c>
      <c r="I214" s="6">
        <f t="shared" si="15"/>
        <v>13733</v>
      </c>
      <c r="J214" s="5">
        <f t="shared" ca="1" si="16"/>
        <v>137</v>
      </c>
      <c r="K214" s="5" t="str">
        <f t="shared" ca="1" si="17"/>
        <v>90+ Days</v>
      </c>
      <c r="L214" s="5" t="str">
        <f t="shared" ca="1" si="18"/>
        <v>HIGH RISK</v>
      </c>
      <c r="M214" s="5" t="str">
        <f t="shared" ca="1" si="19"/>
        <v>Immediate Action</v>
      </c>
      <c r="N214" s="5" t="s">
        <v>63</v>
      </c>
      <c r="O214" s="5"/>
    </row>
    <row r="215" spans="1:15" hidden="1">
      <c r="A215" s="2">
        <v>214</v>
      </c>
      <c r="B215" s="2" t="s">
        <v>41</v>
      </c>
      <c r="C215" s="12">
        <v>46107</v>
      </c>
      <c r="D215" s="2" t="s">
        <v>393</v>
      </c>
      <c r="E215" s="2" t="s">
        <v>394</v>
      </c>
      <c r="F215" s="3">
        <v>100</v>
      </c>
      <c r="G215" s="12">
        <v>46132</v>
      </c>
      <c r="H215" s="3">
        <v>0</v>
      </c>
      <c r="I215" s="3">
        <f t="shared" si="15"/>
        <v>100</v>
      </c>
      <c r="J215" s="2">
        <f t="shared" ca="1" si="16"/>
        <v>32</v>
      </c>
      <c r="K215" s="2" t="str">
        <f t="shared" ca="1" si="17"/>
        <v>31-60 Days</v>
      </c>
      <c r="L215" s="2" t="str">
        <f t="shared" ca="1" si="18"/>
        <v>Low-Medium</v>
      </c>
      <c r="M215" s="2" t="str">
        <f t="shared" ca="1" si="19"/>
        <v>Medium</v>
      </c>
      <c r="N215" s="2" t="s">
        <v>63</v>
      </c>
      <c r="O215" s="2"/>
    </row>
    <row r="216" spans="1:15" hidden="1">
      <c r="A216" s="5">
        <v>215</v>
      </c>
      <c r="B216" s="5" t="s">
        <v>41</v>
      </c>
      <c r="C216" s="11">
        <v>46136</v>
      </c>
      <c r="D216" s="5" t="s">
        <v>395</v>
      </c>
      <c r="E216" s="5" t="s">
        <v>396</v>
      </c>
      <c r="F216" s="6">
        <v>2544</v>
      </c>
      <c r="G216" s="11">
        <v>46161</v>
      </c>
      <c r="H216" s="6">
        <v>0</v>
      </c>
      <c r="I216" s="6">
        <f t="shared" si="15"/>
        <v>2544</v>
      </c>
      <c r="J216" s="5">
        <f t="shared" ca="1" si="16"/>
        <v>3</v>
      </c>
      <c r="K216" s="5" t="str">
        <f t="shared" ca="1" si="17"/>
        <v>0-30 Days</v>
      </c>
      <c r="L216" s="5" t="str">
        <f t="shared" ca="1" si="18"/>
        <v>Low</v>
      </c>
      <c r="M216" s="5" t="str">
        <f t="shared" ca="1" si="19"/>
        <v>Normal</v>
      </c>
      <c r="N216" s="5" t="s">
        <v>63</v>
      </c>
      <c r="O216" s="5"/>
    </row>
    <row r="217" spans="1:15" hidden="1">
      <c r="A217" s="2">
        <v>216</v>
      </c>
      <c r="B217" s="2" t="s">
        <v>41</v>
      </c>
      <c r="C217" s="12">
        <v>46127</v>
      </c>
      <c r="D217" s="2" t="s">
        <v>397</v>
      </c>
      <c r="E217" s="2" t="s">
        <v>398</v>
      </c>
      <c r="F217" s="3">
        <v>29883</v>
      </c>
      <c r="G217" s="12">
        <v>46152</v>
      </c>
      <c r="H217" s="3">
        <v>0</v>
      </c>
      <c r="I217" s="3">
        <f t="shared" si="15"/>
        <v>29883</v>
      </c>
      <c r="J217" s="2">
        <f t="shared" ca="1" si="16"/>
        <v>12</v>
      </c>
      <c r="K217" s="2" t="str">
        <f t="shared" ca="1" si="17"/>
        <v>0-30 Days</v>
      </c>
      <c r="L217" s="2" t="str">
        <f t="shared" ca="1" si="18"/>
        <v>Low</v>
      </c>
      <c r="M217" s="2" t="str">
        <f t="shared" ca="1" si="19"/>
        <v>Normal</v>
      </c>
      <c r="N217" s="2" t="s">
        <v>63</v>
      </c>
      <c r="O217" s="2"/>
    </row>
    <row r="218" spans="1:15" hidden="1">
      <c r="A218" s="5">
        <v>217</v>
      </c>
      <c r="B218" s="5" t="s">
        <v>41</v>
      </c>
      <c r="C218" s="11">
        <v>45960</v>
      </c>
      <c r="D218" s="5" t="s">
        <v>399</v>
      </c>
      <c r="E218" s="5" t="s">
        <v>400</v>
      </c>
      <c r="F218" s="6">
        <v>500</v>
      </c>
      <c r="G218" s="11">
        <v>45985</v>
      </c>
      <c r="H218" s="6">
        <v>0</v>
      </c>
      <c r="I218" s="6">
        <f t="shared" si="15"/>
        <v>500</v>
      </c>
      <c r="J218" s="5">
        <f t="shared" ca="1" si="16"/>
        <v>179</v>
      </c>
      <c r="K218" s="5" t="str">
        <f t="shared" ca="1" si="17"/>
        <v>90+ Days</v>
      </c>
      <c r="L218" s="5" t="str">
        <f t="shared" ca="1" si="18"/>
        <v>HIGH RISK</v>
      </c>
      <c r="M218" s="5" t="str">
        <f t="shared" ca="1" si="19"/>
        <v>Immediate Action</v>
      </c>
      <c r="N218" s="5" t="s">
        <v>63</v>
      </c>
      <c r="O218" s="5"/>
    </row>
    <row r="219" spans="1:15" hidden="1">
      <c r="A219" s="2">
        <v>218</v>
      </c>
      <c r="B219" s="2" t="s">
        <v>41</v>
      </c>
      <c r="C219" s="12">
        <v>46095</v>
      </c>
      <c r="D219" s="2" t="s">
        <v>401</v>
      </c>
      <c r="E219" s="2" t="s">
        <v>400</v>
      </c>
      <c r="F219" s="3">
        <v>59388</v>
      </c>
      <c r="G219" s="12">
        <v>46120</v>
      </c>
      <c r="H219" s="3">
        <v>0</v>
      </c>
      <c r="I219" s="3">
        <f t="shared" si="15"/>
        <v>59388</v>
      </c>
      <c r="J219" s="2">
        <f t="shared" ca="1" si="16"/>
        <v>44</v>
      </c>
      <c r="K219" s="2" t="str">
        <f t="shared" ca="1" si="17"/>
        <v>31-60 Days</v>
      </c>
      <c r="L219" s="2" t="str">
        <f t="shared" ca="1" si="18"/>
        <v>Low-Medium</v>
      </c>
      <c r="M219" s="2" t="str">
        <f t="shared" ca="1" si="19"/>
        <v>Medium</v>
      </c>
      <c r="N219" s="2" t="s">
        <v>63</v>
      </c>
      <c r="O219" s="2"/>
    </row>
    <row r="220" spans="1:15" hidden="1">
      <c r="A220" s="5">
        <v>219</v>
      </c>
      <c r="B220" s="5" t="s">
        <v>41</v>
      </c>
      <c r="C220" s="11">
        <v>46141</v>
      </c>
      <c r="D220" s="5" t="s">
        <v>402</v>
      </c>
      <c r="E220" s="5" t="s">
        <v>400</v>
      </c>
      <c r="F220" s="6">
        <v>2580</v>
      </c>
      <c r="G220" s="11">
        <v>46166</v>
      </c>
      <c r="H220" s="6">
        <v>0</v>
      </c>
      <c r="I220" s="6">
        <f t="shared" si="15"/>
        <v>2580</v>
      </c>
      <c r="J220" s="5">
        <f t="shared" ca="1" si="16"/>
        <v>0</v>
      </c>
      <c r="K220" s="5" t="str">
        <f t="shared" ca="1" si="17"/>
        <v>0-30 Days</v>
      </c>
      <c r="L220" s="5" t="str">
        <f t="shared" ca="1" si="18"/>
        <v>Low</v>
      </c>
      <c r="M220" s="5" t="str">
        <f t="shared" ca="1" si="19"/>
        <v>Normal</v>
      </c>
      <c r="N220" s="5" t="s">
        <v>63</v>
      </c>
      <c r="O220" s="5"/>
    </row>
    <row r="221" spans="1:15" hidden="1">
      <c r="A221" s="2">
        <v>220</v>
      </c>
      <c r="B221" s="2" t="s">
        <v>41</v>
      </c>
      <c r="C221" s="12">
        <v>46130</v>
      </c>
      <c r="D221" s="2" t="s">
        <v>403</v>
      </c>
      <c r="E221" s="2" t="s">
        <v>404</v>
      </c>
      <c r="F221" s="3">
        <v>5960</v>
      </c>
      <c r="G221" s="12">
        <v>46155</v>
      </c>
      <c r="H221" s="3">
        <v>0</v>
      </c>
      <c r="I221" s="3">
        <f t="shared" si="15"/>
        <v>5960</v>
      </c>
      <c r="J221" s="2">
        <f t="shared" ca="1" si="16"/>
        <v>9</v>
      </c>
      <c r="K221" s="2" t="str">
        <f t="shared" ca="1" si="17"/>
        <v>0-30 Days</v>
      </c>
      <c r="L221" s="2" t="str">
        <f t="shared" ca="1" si="18"/>
        <v>Low</v>
      </c>
      <c r="M221" s="2" t="str">
        <f t="shared" ca="1" si="19"/>
        <v>Normal</v>
      </c>
      <c r="N221" s="2" t="s">
        <v>63</v>
      </c>
      <c r="O221" s="2"/>
    </row>
    <row r="222" spans="1:15" hidden="1">
      <c r="A222" s="5">
        <v>221</v>
      </c>
      <c r="B222" s="5" t="s">
        <v>41</v>
      </c>
      <c r="C222" s="11">
        <v>46148</v>
      </c>
      <c r="D222" s="5" t="s">
        <v>405</v>
      </c>
      <c r="E222" s="5" t="s">
        <v>404</v>
      </c>
      <c r="F222" s="6">
        <v>916</v>
      </c>
      <c r="G222" s="11">
        <v>46173</v>
      </c>
      <c r="H222" s="6">
        <v>0</v>
      </c>
      <c r="I222" s="6">
        <f t="shared" si="15"/>
        <v>916</v>
      </c>
      <c r="J222" s="5">
        <f t="shared" ca="1" si="16"/>
        <v>0</v>
      </c>
      <c r="K222" s="5" t="str">
        <f t="shared" ca="1" si="17"/>
        <v>0-30 Days</v>
      </c>
      <c r="L222" s="5" t="str">
        <f t="shared" ca="1" si="18"/>
        <v>Low</v>
      </c>
      <c r="M222" s="5" t="str">
        <f t="shared" ca="1" si="19"/>
        <v>Normal</v>
      </c>
      <c r="N222" s="5" t="s">
        <v>63</v>
      </c>
      <c r="O222" s="5"/>
    </row>
    <row r="223" spans="1:15" hidden="1">
      <c r="A223" s="2">
        <v>222</v>
      </c>
      <c r="B223" s="2" t="s">
        <v>41</v>
      </c>
      <c r="C223" s="12">
        <v>46101</v>
      </c>
      <c r="D223" s="2" t="s">
        <v>406</v>
      </c>
      <c r="E223" s="2" t="s">
        <v>407</v>
      </c>
      <c r="F223" s="3">
        <v>2476</v>
      </c>
      <c r="G223" s="12">
        <v>46126</v>
      </c>
      <c r="H223" s="3">
        <v>2476</v>
      </c>
      <c r="I223" s="3">
        <f t="shared" si="15"/>
        <v>0</v>
      </c>
      <c r="J223" s="2">
        <f t="shared" ca="1" si="16"/>
        <v>38</v>
      </c>
      <c r="K223" s="2" t="str">
        <f t="shared" si="17"/>
        <v>Current</v>
      </c>
      <c r="L223" s="2" t="str">
        <f t="shared" si="18"/>
        <v>-</v>
      </c>
      <c r="M223" s="2" t="str">
        <f t="shared" si="19"/>
        <v>-</v>
      </c>
      <c r="N223" s="110" t="s">
        <v>130</v>
      </c>
      <c r="O223" s="2" t="s">
        <v>378</v>
      </c>
    </row>
    <row r="224" spans="1:15" hidden="1">
      <c r="A224" s="5">
        <v>223</v>
      </c>
      <c r="B224" s="5" t="s">
        <v>41</v>
      </c>
      <c r="C224" s="11">
        <v>46105</v>
      </c>
      <c r="D224" s="5" t="s">
        <v>408</v>
      </c>
      <c r="E224" s="5" t="s">
        <v>409</v>
      </c>
      <c r="F224" s="6">
        <v>20549</v>
      </c>
      <c r="G224" s="11">
        <v>46130</v>
      </c>
      <c r="H224" s="6">
        <v>0</v>
      </c>
      <c r="I224" s="6">
        <f t="shared" si="15"/>
        <v>20549</v>
      </c>
      <c r="J224" s="5">
        <f t="shared" ca="1" si="16"/>
        <v>34</v>
      </c>
      <c r="K224" s="5" t="str">
        <f t="shared" ca="1" si="17"/>
        <v>31-60 Days</v>
      </c>
      <c r="L224" s="5" t="str">
        <f t="shared" ca="1" si="18"/>
        <v>Low-Medium</v>
      </c>
      <c r="M224" s="5" t="str">
        <f t="shared" ca="1" si="19"/>
        <v>Medium</v>
      </c>
      <c r="N224" s="5" t="s">
        <v>63</v>
      </c>
      <c r="O224" s="5"/>
    </row>
    <row r="225" spans="1:15" hidden="1">
      <c r="A225" s="2">
        <v>224</v>
      </c>
      <c r="B225" s="2" t="s">
        <v>41</v>
      </c>
      <c r="C225" s="12">
        <v>46112</v>
      </c>
      <c r="D225" s="2" t="s">
        <v>410</v>
      </c>
      <c r="E225" s="2" t="s">
        <v>409</v>
      </c>
      <c r="F225" s="3">
        <v>12705</v>
      </c>
      <c r="G225" s="12">
        <v>46137</v>
      </c>
      <c r="H225" s="3">
        <v>0</v>
      </c>
      <c r="I225" s="3">
        <f t="shared" si="15"/>
        <v>12705</v>
      </c>
      <c r="J225" s="2">
        <f t="shared" ca="1" si="16"/>
        <v>27</v>
      </c>
      <c r="K225" s="2" t="str">
        <f t="shared" ca="1" si="17"/>
        <v>0-30 Days</v>
      </c>
      <c r="L225" s="2" t="str">
        <f t="shared" ca="1" si="18"/>
        <v>Low</v>
      </c>
      <c r="M225" s="2" t="str">
        <f t="shared" ca="1" si="19"/>
        <v>Normal</v>
      </c>
      <c r="N225" s="2" t="s">
        <v>63</v>
      </c>
      <c r="O225" s="2"/>
    </row>
    <row r="226" spans="1:15" hidden="1">
      <c r="A226" s="5">
        <v>225</v>
      </c>
      <c r="B226" s="5" t="s">
        <v>41</v>
      </c>
      <c r="C226" s="11">
        <v>46112</v>
      </c>
      <c r="D226" s="5" t="s">
        <v>411</v>
      </c>
      <c r="E226" s="5" t="s">
        <v>412</v>
      </c>
      <c r="F226" s="6">
        <v>5520</v>
      </c>
      <c r="G226" s="11">
        <v>46137</v>
      </c>
      <c r="H226" s="6">
        <v>0</v>
      </c>
      <c r="I226" s="6">
        <f t="shared" si="15"/>
        <v>5520</v>
      </c>
      <c r="J226" s="5">
        <f t="shared" ca="1" si="16"/>
        <v>27</v>
      </c>
      <c r="K226" s="5" t="str">
        <f t="shared" ca="1" si="17"/>
        <v>0-30 Days</v>
      </c>
      <c r="L226" s="5" t="str">
        <f t="shared" ca="1" si="18"/>
        <v>Low</v>
      </c>
      <c r="M226" s="5" t="str">
        <f t="shared" ca="1" si="19"/>
        <v>Normal</v>
      </c>
      <c r="N226" s="5" t="s">
        <v>63</v>
      </c>
      <c r="O226" s="5"/>
    </row>
    <row r="227" spans="1:15" hidden="1">
      <c r="A227" s="2">
        <v>226</v>
      </c>
      <c r="B227" s="2" t="s">
        <v>41</v>
      </c>
      <c r="C227" s="12">
        <v>45470</v>
      </c>
      <c r="D227" s="2" t="s">
        <v>413</v>
      </c>
      <c r="E227" s="2" t="s">
        <v>414</v>
      </c>
      <c r="F227" s="3">
        <v>4947</v>
      </c>
      <c r="G227" s="12">
        <v>45495</v>
      </c>
      <c r="H227" s="3">
        <v>0</v>
      </c>
      <c r="I227" s="3">
        <f t="shared" si="15"/>
        <v>4947</v>
      </c>
      <c r="J227" s="2">
        <f t="shared" ca="1" si="16"/>
        <v>669</v>
      </c>
      <c r="K227" s="2" t="str">
        <f t="shared" ca="1" si="17"/>
        <v>90+ Days</v>
      </c>
      <c r="L227" s="2" t="str">
        <f t="shared" ca="1" si="18"/>
        <v>HIGH RISK</v>
      </c>
      <c r="M227" s="2" t="str">
        <f t="shared" ca="1" si="19"/>
        <v>Immediate Action</v>
      </c>
      <c r="N227" s="2" t="s">
        <v>63</v>
      </c>
      <c r="O227" s="2"/>
    </row>
    <row r="228" spans="1:15" hidden="1">
      <c r="A228" s="5">
        <v>227</v>
      </c>
      <c r="B228" s="5" t="s">
        <v>41</v>
      </c>
      <c r="C228" s="11">
        <v>46126</v>
      </c>
      <c r="D228" s="5" t="s">
        <v>415</v>
      </c>
      <c r="E228" s="5" t="s">
        <v>414</v>
      </c>
      <c r="F228" s="6">
        <v>13863</v>
      </c>
      <c r="G228" s="11">
        <v>46151</v>
      </c>
      <c r="H228" s="6">
        <v>0</v>
      </c>
      <c r="I228" s="6">
        <f t="shared" si="15"/>
        <v>13863</v>
      </c>
      <c r="J228" s="5">
        <f t="shared" ca="1" si="16"/>
        <v>13</v>
      </c>
      <c r="K228" s="5" t="str">
        <f t="shared" ca="1" si="17"/>
        <v>0-30 Days</v>
      </c>
      <c r="L228" s="5" t="str">
        <f t="shared" ca="1" si="18"/>
        <v>Low</v>
      </c>
      <c r="M228" s="5" t="str">
        <f t="shared" ca="1" si="19"/>
        <v>Normal</v>
      </c>
      <c r="N228" s="5" t="s">
        <v>63</v>
      </c>
      <c r="O228" s="5"/>
    </row>
    <row r="229" spans="1:15" hidden="1">
      <c r="A229" s="2">
        <v>228</v>
      </c>
      <c r="B229" s="2" t="s">
        <v>41</v>
      </c>
      <c r="C229" s="12">
        <v>45362</v>
      </c>
      <c r="D229" s="2" t="s">
        <v>416</v>
      </c>
      <c r="E229" s="2" t="s">
        <v>417</v>
      </c>
      <c r="F229" s="3">
        <v>2733</v>
      </c>
      <c r="G229" s="12">
        <v>45362</v>
      </c>
      <c r="H229" s="3">
        <v>0</v>
      </c>
      <c r="I229" s="3">
        <f t="shared" si="15"/>
        <v>2733</v>
      </c>
      <c r="J229" s="2">
        <f t="shared" ca="1" si="16"/>
        <v>802</v>
      </c>
      <c r="K229" s="2" t="str">
        <f t="shared" ca="1" si="17"/>
        <v>90+ Days</v>
      </c>
      <c r="L229" s="2" t="str">
        <f t="shared" ca="1" si="18"/>
        <v>HIGH RISK</v>
      </c>
      <c r="M229" s="2" t="str">
        <f t="shared" ca="1" si="19"/>
        <v>Immediate Action</v>
      </c>
      <c r="N229" s="2" t="s">
        <v>63</v>
      </c>
      <c r="O229" s="2"/>
    </row>
    <row r="230" spans="1:15" hidden="1">
      <c r="A230" s="5">
        <v>229</v>
      </c>
      <c r="B230" s="5" t="s">
        <v>41</v>
      </c>
      <c r="C230" s="11">
        <v>46107</v>
      </c>
      <c r="D230" s="5" t="s">
        <v>418</v>
      </c>
      <c r="E230" s="5" t="s">
        <v>419</v>
      </c>
      <c r="F230" s="6">
        <v>100</v>
      </c>
      <c r="G230" s="11">
        <v>46132</v>
      </c>
      <c r="H230" s="6">
        <v>0</v>
      </c>
      <c r="I230" s="6">
        <f t="shared" si="15"/>
        <v>100</v>
      </c>
      <c r="J230" s="5">
        <f t="shared" ca="1" si="16"/>
        <v>32</v>
      </c>
      <c r="K230" s="5" t="str">
        <f t="shared" ca="1" si="17"/>
        <v>31-60 Days</v>
      </c>
      <c r="L230" s="5" t="str">
        <f t="shared" ca="1" si="18"/>
        <v>Low-Medium</v>
      </c>
      <c r="M230" s="5" t="str">
        <f t="shared" ca="1" si="19"/>
        <v>Medium</v>
      </c>
      <c r="N230" s="5" t="s">
        <v>63</v>
      </c>
      <c r="O230" s="5"/>
    </row>
    <row r="231" spans="1:15" hidden="1">
      <c r="A231" s="2">
        <v>230</v>
      </c>
      <c r="B231" s="2" t="s">
        <v>41</v>
      </c>
      <c r="C231" s="12">
        <v>46107</v>
      </c>
      <c r="D231" s="2" t="s">
        <v>420</v>
      </c>
      <c r="E231" s="2" t="s">
        <v>421</v>
      </c>
      <c r="F231" s="3">
        <v>100</v>
      </c>
      <c r="G231" s="12">
        <v>46132</v>
      </c>
      <c r="H231" s="3">
        <v>0</v>
      </c>
      <c r="I231" s="3">
        <f t="shared" si="15"/>
        <v>100</v>
      </c>
      <c r="J231" s="2">
        <f t="shared" ca="1" si="16"/>
        <v>32</v>
      </c>
      <c r="K231" s="2" t="str">
        <f t="shared" ca="1" si="17"/>
        <v>31-60 Days</v>
      </c>
      <c r="L231" s="2" t="str">
        <f t="shared" ca="1" si="18"/>
        <v>Low-Medium</v>
      </c>
      <c r="M231" s="2" t="str">
        <f t="shared" ca="1" si="19"/>
        <v>Medium</v>
      </c>
      <c r="N231" s="2" t="s">
        <v>63</v>
      </c>
      <c r="O231" s="2"/>
    </row>
    <row r="232" spans="1:15" hidden="1">
      <c r="A232" s="5">
        <v>231</v>
      </c>
      <c r="B232" s="5" t="s">
        <v>41</v>
      </c>
      <c r="C232" s="11">
        <v>46122</v>
      </c>
      <c r="D232" s="5" t="s">
        <v>422</v>
      </c>
      <c r="E232" s="5" t="s">
        <v>423</v>
      </c>
      <c r="F232" s="6">
        <v>37104</v>
      </c>
      <c r="G232" s="11">
        <v>46147</v>
      </c>
      <c r="H232" s="6">
        <v>0</v>
      </c>
      <c r="I232" s="6">
        <f t="shared" si="15"/>
        <v>37104</v>
      </c>
      <c r="J232" s="5">
        <f t="shared" ca="1" si="16"/>
        <v>17</v>
      </c>
      <c r="K232" s="5" t="str">
        <f t="shared" ca="1" si="17"/>
        <v>0-30 Days</v>
      </c>
      <c r="L232" s="5" t="str">
        <f t="shared" ca="1" si="18"/>
        <v>Low</v>
      </c>
      <c r="M232" s="5" t="str">
        <f t="shared" ca="1" si="19"/>
        <v>Normal</v>
      </c>
      <c r="N232" s="5" t="s">
        <v>63</v>
      </c>
      <c r="O232" s="5"/>
    </row>
    <row r="233" spans="1:15" hidden="1">
      <c r="A233" s="2">
        <v>232</v>
      </c>
      <c r="B233" s="2" t="s">
        <v>41</v>
      </c>
      <c r="C233" s="12">
        <v>46112</v>
      </c>
      <c r="D233" s="2" t="s">
        <v>424</v>
      </c>
      <c r="E233" s="2" t="s">
        <v>425</v>
      </c>
      <c r="F233" s="3">
        <v>15873</v>
      </c>
      <c r="G233" s="12">
        <v>46137</v>
      </c>
      <c r="H233" s="3">
        <v>15873</v>
      </c>
      <c r="I233" s="3">
        <f t="shared" si="15"/>
        <v>0</v>
      </c>
      <c r="J233" s="2">
        <f t="shared" ca="1" si="16"/>
        <v>27</v>
      </c>
      <c r="K233" s="2" t="str">
        <f t="shared" si="17"/>
        <v>Current</v>
      </c>
      <c r="L233" s="2" t="str">
        <f t="shared" si="18"/>
        <v>-</v>
      </c>
      <c r="M233" s="2" t="str">
        <f t="shared" si="19"/>
        <v>-</v>
      </c>
      <c r="N233" s="110" t="s">
        <v>130</v>
      </c>
      <c r="O233" s="2"/>
    </row>
    <row r="234" spans="1:15" hidden="1">
      <c r="A234" s="5">
        <v>233</v>
      </c>
      <c r="B234" s="5" t="s">
        <v>41</v>
      </c>
      <c r="C234" s="11">
        <v>46118</v>
      </c>
      <c r="D234" s="5" t="s">
        <v>426</v>
      </c>
      <c r="E234" s="5" t="s">
        <v>425</v>
      </c>
      <c r="F234" s="6">
        <v>7623</v>
      </c>
      <c r="G234" s="11">
        <v>46143</v>
      </c>
      <c r="H234" s="6">
        <v>7623</v>
      </c>
      <c r="I234" s="6">
        <f t="shared" si="15"/>
        <v>0</v>
      </c>
      <c r="J234" s="5">
        <f t="shared" ca="1" si="16"/>
        <v>21</v>
      </c>
      <c r="K234" s="5" t="str">
        <f t="shared" si="17"/>
        <v>Current</v>
      </c>
      <c r="L234" s="5" t="str">
        <f t="shared" si="18"/>
        <v>-</v>
      </c>
      <c r="M234" s="5" t="str">
        <f t="shared" si="19"/>
        <v>-</v>
      </c>
      <c r="N234" s="109" t="s">
        <v>130</v>
      </c>
      <c r="O234" s="5"/>
    </row>
    <row r="235" spans="1:15" hidden="1">
      <c r="A235" s="2">
        <v>234</v>
      </c>
      <c r="B235" s="2" t="s">
        <v>41</v>
      </c>
      <c r="C235" s="12">
        <v>46156</v>
      </c>
      <c r="D235" s="2" t="s">
        <v>427</v>
      </c>
      <c r="E235" s="2" t="s">
        <v>425</v>
      </c>
      <c r="F235" s="3">
        <v>22152</v>
      </c>
      <c r="G235" s="12">
        <v>46181</v>
      </c>
      <c r="H235" s="3">
        <v>0</v>
      </c>
      <c r="I235" s="3">
        <f t="shared" si="15"/>
        <v>22152</v>
      </c>
      <c r="J235" s="2">
        <f t="shared" ca="1" si="16"/>
        <v>0</v>
      </c>
      <c r="K235" s="2" t="str">
        <f t="shared" ca="1" si="17"/>
        <v>0-30 Days</v>
      </c>
      <c r="L235" s="2" t="str">
        <f t="shared" ca="1" si="18"/>
        <v>Low</v>
      </c>
      <c r="M235" s="2" t="str">
        <f t="shared" ca="1" si="19"/>
        <v>Normal</v>
      </c>
      <c r="N235" s="2" t="s">
        <v>63</v>
      </c>
      <c r="O235" s="2"/>
    </row>
    <row r="236" spans="1:15" hidden="1">
      <c r="A236" s="5">
        <v>235</v>
      </c>
      <c r="B236" s="5" t="s">
        <v>41</v>
      </c>
      <c r="C236" s="11">
        <v>46062</v>
      </c>
      <c r="D236" s="5" t="s">
        <v>428</v>
      </c>
      <c r="E236" s="5" t="s">
        <v>429</v>
      </c>
      <c r="F236" s="6">
        <v>2852</v>
      </c>
      <c r="G236" s="11">
        <v>46087</v>
      </c>
      <c r="H236" s="6">
        <v>0</v>
      </c>
      <c r="I236" s="6">
        <f t="shared" si="15"/>
        <v>2852</v>
      </c>
      <c r="J236" s="5">
        <f t="shared" ca="1" si="16"/>
        <v>77</v>
      </c>
      <c r="K236" s="5" t="str">
        <f t="shared" ca="1" si="17"/>
        <v>61-90 Days</v>
      </c>
      <c r="L236" s="5" t="str">
        <f t="shared" ca="1" si="18"/>
        <v>Medium</v>
      </c>
      <c r="M236" s="5" t="str">
        <f t="shared" ca="1" si="19"/>
        <v>Urgent</v>
      </c>
      <c r="N236" s="5" t="s">
        <v>63</v>
      </c>
      <c r="O236" s="5"/>
    </row>
    <row r="237" spans="1:15" hidden="1">
      <c r="A237" s="2">
        <v>236</v>
      </c>
      <c r="B237" s="2" t="s">
        <v>41</v>
      </c>
      <c r="C237" s="12">
        <v>46071</v>
      </c>
      <c r="D237" s="2" t="s">
        <v>430</v>
      </c>
      <c r="E237" s="2" t="s">
        <v>431</v>
      </c>
      <c r="F237" s="3">
        <v>42121</v>
      </c>
      <c r="G237" s="12">
        <v>46096</v>
      </c>
      <c r="H237" s="3">
        <v>20000</v>
      </c>
      <c r="I237" s="3">
        <f t="shared" si="15"/>
        <v>22121</v>
      </c>
      <c r="J237" s="2">
        <f t="shared" ca="1" si="16"/>
        <v>68</v>
      </c>
      <c r="K237" s="2" t="str">
        <f t="shared" ca="1" si="17"/>
        <v>61-90 Days</v>
      </c>
      <c r="L237" s="2" t="str">
        <f t="shared" ca="1" si="18"/>
        <v>Medium</v>
      </c>
      <c r="M237" s="2" t="str">
        <f t="shared" ca="1" si="19"/>
        <v>Urgent</v>
      </c>
      <c r="N237" s="2" t="s">
        <v>63</v>
      </c>
      <c r="O237" s="111" t="s">
        <v>432</v>
      </c>
    </row>
    <row r="238" spans="1:15" hidden="1">
      <c r="A238" s="5">
        <v>237</v>
      </c>
      <c r="B238" s="5" t="s">
        <v>41</v>
      </c>
      <c r="C238" s="11">
        <v>46111</v>
      </c>
      <c r="D238" s="5" t="s">
        <v>433</v>
      </c>
      <c r="E238" s="5" t="s">
        <v>434</v>
      </c>
      <c r="F238" s="6">
        <v>8190</v>
      </c>
      <c r="G238" s="11">
        <v>46136</v>
      </c>
      <c r="H238" s="6">
        <v>0</v>
      </c>
      <c r="I238" s="6">
        <f t="shared" si="15"/>
        <v>8190</v>
      </c>
      <c r="J238" s="5">
        <f t="shared" ca="1" si="16"/>
        <v>28</v>
      </c>
      <c r="K238" s="5" t="str">
        <f t="shared" ca="1" si="17"/>
        <v>0-30 Days</v>
      </c>
      <c r="L238" s="5" t="str">
        <f t="shared" ca="1" si="18"/>
        <v>Low</v>
      </c>
      <c r="M238" s="5" t="str">
        <f t="shared" ca="1" si="19"/>
        <v>Normal</v>
      </c>
      <c r="N238" s="5" t="s">
        <v>63</v>
      </c>
      <c r="O238" s="5"/>
    </row>
    <row r="239" spans="1:15" hidden="1">
      <c r="A239" s="2">
        <v>238</v>
      </c>
      <c r="B239" s="2" t="s">
        <v>41</v>
      </c>
      <c r="C239" s="12">
        <v>45954</v>
      </c>
      <c r="D239" s="2" t="s">
        <v>435</v>
      </c>
      <c r="E239" s="2" t="s">
        <v>436</v>
      </c>
      <c r="F239" s="3">
        <v>500</v>
      </c>
      <c r="G239" s="12">
        <v>45979</v>
      </c>
      <c r="H239" s="3">
        <v>0</v>
      </c>
      <c r="I239" s="3">
        <f t="shared" si="15"/>
        <v>500</v>
      </c>
      <c r="J239" s="2">
        <f t="shared" ca="1" si="16"/>
        <v>185</v>
      </c>
      <c r="K239" s="2" t="str">
        <f t="shared" ca="1" si="17"/>
        <v>90+ Days</v>
      </c>
      <c r="L239" s="2" t="str">
        <f t="shared" ca="1" si="18"/>
        <v>HIGH RISK</v>
      </c>
      <c r="M239" s="2" t="str">
        <f t="shared" ca="1" si="19"/>
        <v>Immediate Action</v>
      </c>
      <c r="N239" s="2" t="s">
        <v>63</v>
      </c>
      <c r="O239" s="2"/>
    </row>
    <row r="240" spans="1:15" hidden="1">
      <c r="A240" s="5">
        <v>239</v>
      </c>
      <c r="B240" s="5" t="s">
        <v>41</v>
      </c>
      <c r="C240" s="11">
        <v>46118</v>
      </c>
      <c r="D240" s="5" t="s">
        <v>437</v>
      </c>
      <c r="E240" s="5" t="s">
        <v>436</v>
      </c>
      <c r="F240" s="6">
        <v>6100</v>
      </c>
      <c r="G240" s="11">
        <v>46143</v>
      </c>
      <c r="H240" s="6">
        <v>0</v>
      </c>
      <c r="I240" s="6">
        <f t="shared" si="15"/>
        <v>6100</v>
      </c>
      <c r="J240" s="5">
        <f t="shared" ca="1" si="16"/>
        <v>21</v>
      </c>
      <c r="K240" s="5" t="str">
        <f t="shared" ca="1" si="17"/>
        <v>0-30 Days</v>
      </c>
      <c r="L240" s="5" t="str">
        <f t="shared" ca="1" si="18"/>
        <v>Low</v>
      </c>
      <c r="M240" s="5" t="str">
        <f t="shared" ca="1" si="19"/>
        <v>Normal</v>
      </c>
      <c r="N240" s="5" t="s">
        <v>63</v>
      </c>
      <c r="O240" s="5"/>
    </row>
    <row r="241" spans="1:15" hidden="1">
      <c r="A241" s="2">
        <v>240</v>
      </c>
      <c r="B241" s="2" t="s">
        <v>41</v>
      </c>
      <c r="C241" s="12">
        <v>46105</v>
      </c>
      <c r="D241" s="2" t="s">
        <v>438</v>
      </c>
      <c r="E241" s="2" t="s">
        <v>439</v>
      </c>
      <c r="F241" s="3">
        <v>2287</v>
      </c>
      <c r="G241" s="12">
        <v>46130</v>
      </c>
      <c r="H241" s="3">
        <v>2287</v>
      </c>
      <c r="I241" s="3">
        <f t="shared" si="15"/>
        <v>0</v>
      </c>
      <c r="J241" s="2">
        <f t="shared" ca="1" si="16"/>
        <v>34</v>
      </c>
      <c r="K241" s="2" t="str">
        <f t="shared" si="17"/>
        <v>Current</v>
      </c>
      <c r="L241" s="2" t="str">
        <f t="shared" si="18"/>
        <v>-</v>
      </c>
      <c r="M241" s="2" t="str">
        <f t="shared" si="19"/>
        <v>-</v>
      </c>
      <c r="N241" s="110" t="s">
        <v>130</v>
      </c>
      <c r="O241" s="110" t="s">
        <v>378</v>
      </c>
    </row>
    <row r="242" spans="1:15" hidden="1">
      <c r="A242" s="5">
        <v>241</v>
      </c>
      <c r="B242" s="5" t="s">
        <v>41</v>
      </c>
      <c r="C242" s="11">
        <v>46126</v>
      </c>
      <c r="D242" s="5" t="s">
        <v>440</v>
      </c>
      <c r="E242" s="5" t="s">
        <v>441</v>
      </c>
      <c r="F242" s="6">
        <v>2795</v>
      </c>
      <c r="G242" s="11">
        <v>46126</v>
      </c>
      <c r="H242" s="6">
        <v>0</v>
      </c>
      <c r="I242" s="6">
        <f t="shared" si="15"/>
        <v>2795</v>
      </c>
      <c r="J242" s="5">
        <f t="shared" ca="1" si="16"/>
        <v>38</v>
      </c>
      <c r="K242" s="5" t="str">
        <f t="shared" ca="1" si="17"/>
        <v>31-60 Days</v>
      </c>
      <c r="L242" s="5" t="str">
        <f t="shared" ca="1" si="18"/>
        <v>Low-Medium</v>
      </c>
      <c r="M242" s="5" t="str">
        <f t="shared" ca="1" si="19"/>
        <v>Medium</v>
      </c>
      <c r="N242" s="5" t="s">
        <v>63</v>
      </c>
      <c r="O242" s="5"/>
    </row>
    <row r="243" spans="1:15" hidden="1">
      <c r="A243" s="2">
        <v>242</v>
      </c>
      <c r="B243" s="2" t="s">
        <v>41</v>
      </c>
      <c r="C243" s="12">
        <v>46112</v>
      </c>
      <c r="D243" s="2" t="s">
        <v>442</v>
      </c>
      <c r="E243" s="2" t="s">
        <v>443</v>
      </c>
      <c r="F243" s="3">
        <v>96214</v>
      </c>
      <c r="G243" s="12">
        <v>46137</v>
      </c>
      <c r="H243" s="3">
        <v>0</v>
      </c>
      <c r="I243" s="3">
        <f t="shared" si="15"/>
        <v>96214</v>
      </c>
      <c r="J243" s="2">
        <f t="shared" ca="1" si="16"/>
        <v>27</v>
      </c>
      <c r="K243" s="2" t="str">
        <f t="shared" ca="1" si="17"/>
        <v>0-30 Days</v>
      </c>
      <c r="L243" s="2" t="str">
        <f t="shared" ca="1" si="18"/>
        <v>Low</v>
      </c>
      <c r="M243" s="2" t="str">
        <f t="shared" ca="1" si="19"/>
        <v>Normal</v>
      </c>
      <c r="N243" s="2" t="s">
        <v>63</v>
      </c>
      <c r="O243" s="2"/>
    </row>
    <row r="244" spans="1:15" hidden="1">
      <c r="A244" s="5">
        <v>243</v>
      </c>
      <c r="B244" s="5" t="s">
        <v>41</v>
      </c>
      <c r="C244" s="11">
        <v>46101</v>
      </c>
      <c r="D244" s="5" t="s">
        <v>444</v>
      </c>
      <c r="E244" s="5" t="s">
        <v>445</v>
      </c>
      <c r="F244" s="6">
        <v>3580</v>
      </c>
      <c r="G244" s="11">
        <v>46126</v>
      </c>
      <c r="H244" s="6">
        <v>0</v>
      </c>
      <c r="I244" s="6">
        <f t="shared" si="15"/>
        <v>3580</v>
      </c>
      <c r="J244" s="5">
        <f t="shared" ca="1" si="16"/>
        <v>38</v>
      </c>
      <c r="K244" s="5" t="str">
        <f t="shared" ca="1" si="17"/>
        <v>31-60 Days</v>
      </c>
      <c r="L244" s="5" t="str">
        <f t="shared" ca="1" si="18"/>
        <v>Low-Medium</v>
      </c>
      <c r="M244" s="5" t="str">
        <f t="shared" ca="1" si="19"/>
        <v>Medium</v>
      </c>
      <c r="N244" s="5" t="s">
        <v>63</v>
      </c>
      <c r="O244" s="5"/>
    </row>
    <row r="245" spans="1:15" hidden="1">
      <c r="A245" s="2">
        <v>244</v>
      </c>
      <c r="B245" s="2" t="s">
        <v>41</v>
      </c>
      <c r="C245" s="12">
        <v>46107</v>
      </c>
      <c r="D245" s="2" t="s">
        <v>446</v>
      </c>
      <c r="E245" s="2" t="s">
        <v>447</v>
      </c>
      <c r="F245" s="3">
        <v>100</v>
      </c>
      <c r="G245" s="12">
        <v>46132</v>
      </c>
      <c r="H245" s="3">
        <v>0</v>
      </c>
      <c r="I245" s="3">
        <f t="shared" si="15"/>
        <v>100</v>
      </c>
      <c r="J245" s="2">
        <f t="shared" ca="1" si="16"/>
        <v>32</v>
      </c>
      <c r="K245" s="2" t="str">
        <f t="shared" ca="1" si="17"/>
        <v>31-60 Days</v>
      </c>
      <c r="L245" s="2" t="str">
        <f t="shared" ca="1" si="18"/>
        <v>Low-Medium</v>
      </c>
      <c r="M245" s="2" t="str">
        <f t="shared" ca="1" si="19"/>
        <v>Medium</v>
      </c>
      <c r="N245" s="2" t="s">
        <v>63</v>
      </c>
      <c r="O245" s="2"/>
    </row>
    <row r="246" spans="1:15" hidden="1">
      <c r="A246" s="5">
        <v>245</v>
      </c>
      <c r="B246" s="5" t="s">
        <v>41</v>
      </c>
      <c r="C246" s="11">
        <v>46098</v>
      </c>
      <c r="D246" s="5" t="s">
        <v>448</v>
      </c>
      <c r="E246" s="5" t="s">
        <v>449</v>
      </c>
      <c r="F246" s="6">
        <v>886</v>
      </c>
      <c r="G246" s="11">
        <v>46123</v>
      </c>
      <c r="H246" s="6">
        <v>0</v>
      </c>
      <c r="I246" s="6">
        <f t="shared" si="15"/>
        <v>886</v>
      </c>
      <c r="J246" s="5">
        <f t="shared" ca="1" si="16"/>
        <v>41</v>
      </c>
      <c r="K246" s="5" t="str">
        <f t="shared" ca="1" si="17"/>
        <v>31-60 Days</v>
      </c>
      <c r="L246" s="5" t="str">
        <f t="shared" ca="1" si="18"/>
        <v>Low-Medium</v>
      </c>
      <c r="M246" s="5" t="str">
        <f t="shared" ca="1" si="19"/>
        <v>Medium</v>
      </c>
      <c r="N246" s="5" t="s">
        <v>63</v>
      </c>
      <c r="O246" s="5"/>
    </row>
    <row r="247" spans="1:15" hidden="1">
      <c r="A247" s="2">
        <v>246</v>
      </c>
      <c r="B247" s="2" t="s">
        <v>41</v>
      </c>
      <c r="C247" s="12">
        <v>46013</v>
      </c>
      <c r="D247" s="2" t="s">
        <v>450</v>
      </c>
      <c r="E247" s="2" t="s">
        <v>451</v>
      </c>
      <c r="F247" s="3">
        <v>2232</v>
      </c>
      <c r="G247" s="12">
        <v>46038</v>
      </c>
      <c r="H247" s="3">
        <v>0</v>
      </c>
      <c r="I247" s="3">
        <f t="shared" si="15"/>
        <v>2232</v>
      </c>
      <c r="J247" s="2">
        <f t="shared" ca="1" si="16"/>
        <v>126</v>
      </c>
      <c r="K247" s="2" t="str">
        <f t="shared" ca="1" si="17"/>
        <v>90+ Days</v>
      </c>
      <c r="L247" s="2" t="str">
        <f t="shared" ca="1" si="18"/>
        <v>HIGH RISK</v>
      </c>
      <c r="M247" s="2" t="str">
        <f t="shared" ca="1" si="19"/>
        <v>Immediate Action</v>
      </c>
      <c r="N247" s="2" t="s">
        <v>63</v>
      </c>
      <c r="O247" s="2"/>
    </row>
    <row r="248" spans="1:15" hidden="1">
      <c r="A248" s="5">
        <v>247</v>
      </c>
      <c r="B248" s="5" t="s">
        <v>41</v>
      </c>
      <c r="C248" s="11">
        <v>46129</v>
      </c>
      <c r="D248" s="5" t="s">
        <v>452</v>
      </c>
      <c r="E248" s="5" t="s">
        <v>453</v>
      </c>
      <c r="F248" s="6">
        <v>4988</v>
      </c>
      <c r="G248" s="11">
        <v>46154</v>
      </c>
      <c r="H248" s="6">
        <v>0</v>
      </c>
      <c r="I248" s="6">
        <f t="shared" si="15"/>
        <v>4988</v>
      </c>
      <c r="J248" s="5">
        <f t="shared" ca="1" si="16"/>
        <v>10</v>
      </c>
      <c r="K248" s="5" t="str">
        <f t="shared" ca="1" si="17"/>
        <v>0-30 Days</v>
      </c>
      <c r="L248" s="5" t="str">
        <f t="shared" ca="1" si="18"/>
        <v>Low</v>
      </c>
      <c r="M248" s="5" t="str">
        <f t="shared" ca="1" si="19"/>
        <v>Normal</v>
      </c>
      <c r="N248" s="5" t="s">
        <v>63</v>
      </c>
      <c r="O248" s="5"/>
    </row>
    <row r="249" spans="1:15" hidden="1">
      <c r="A249" s="2">
        <v>248</v>
      </c>
      <c r="B249" s="2" t="s">
        <v>41</v>
      </c>
      <c r="C249" s="12">
        <v>46050</v>
      </c>
      <c r="D249" s="2" t="s">
        <v>454</v>
      </c>
      <c r="E249" s="2" t="s">
        <v>455</v>
      </c>
      <c r="F249" s="3">
        <v>6200</v>
      </c>
      <c r="G249" s="12">
        <v>46075</v>
      </c>
      <c r="H249" s="3">
        <v>0</v>
      </c>
      <c r="I249" s="3">
        <f t="shared" si="15"/>
        <v>6200</v>
      </c>
      <c r="J249" s="2">
        <f t="shared" ca="1" si="16"/>
        <v>89</v>
      </c>
      <c r="K249" s="2" t="str">
        <f t="shared" ca="1" si="17"/>
        <v>61-90 Days</v>
      </c>
      <c r="L249" s="2" t="str">
        <f t="shared" ca="1" si="18"/>
        <v>Medium</v>
      </c>
      <c r="M249" s="2" t="str">
        <f t="shared" ca="1" si="19"/>
        <v>Urgent</v>
      </c>
      <c r="N249" s="2" t="s">
        <v>63</v>
      </c>
      <c r="O249" s="2"/>
    </row>
    <row r="250" spans="1:15" hidden="1">
      <c r="A250" s="5">
        <v>249</v>
      </c>
      <c r="B250" s="5" t="s">
        <v>41</v>
      </c>
      <c r="C250" s="11">
        <v>46129</v>
      </c>
      <c r="D250" s="5" t="s">
        <v>456</v>
      </c>
      <c r="E250" s="5" t="s">
        <v>457</v>
      </c>
      <c r="F250" s="6">
        <v>2214</v>
      </c>
      <c r="G250" s="11">
        <v>46154</v>
      </c>
      <c r="H250" s="6">
        <v>0</v>
      </c>
      <c r="I250" s="6">
        <f t="shared" si="15"/>
        <v>2214</v>
      </c>
      <c r="J250" s="5">
        <f t="shared" ca="1" si="16"/>
        <v>10</v>
      </c>
      <c r="K250" s="5" t="str">
        <f t="shared" ca="1" si="17"/>
        <v>0-30 Days</v>
      </c>
      <c r="L250" s="5" t="str">
        <f t="shared" ca="1" si="18"/>
        <v>Low</v>
      </c>
      <c r="M250" s="5" t="str">
        <f t="shared" ca="1" si="19"/>
        <v>Normal</v>
      </c>
      <c r="N250" s="5" t="s">
        <v>63</v>
      </c>
      <c r="O250" s="5"/>
    </row>
    <row r="251" spans="1:15" hidden="1">
      <c r="A251" s="2">
        <v>250</v>
      </c>
      <c r="B251" s="2" t="s">
        <v>41</v>
      </c>
      <c r="C251" s="12">
        <v>46099</v>
      </c>
      <c r="D251" s="2" t="s">
        <v>458</v>
      </c>
      <c r="E251" s="2" t="s">
        <v>459</v>
      </c>
      <c r="F251" s="3">
        <v>104942</v>
      </c>
      <c r="G251" s="12">
        <v>46124</v>
      </c>
      <c r="H251" s="3">
        <v>0</v>
      </c>
      <c r="I251" s="3">
        <f t="shared" si="15"/>
        <v>104942</v>
      </c>
      <c r="J251" s="2">
        <f t="shared" ca="1" si="16"/>
        <v>40</v>
      </c>
      <c r="K251" s="2" t="str">
        <f t="shared" ca="1" si="17"/>
        <v>31-60 Days</v>
      </c>
      <c r="L251" s="2" t="str">
        <f t="shared" ca="1" si="18"/>
        <v>Low-Medium</v>
      </c>
      <c r="M251" s="2" t="str">
        <f t="shared" ca="1" si="19"/>
        <v>Medium</v>
      </c>
      <c r="N251" s="2" t="s">
        <v>63</v>
      </c>
      <c r="O251" s="2"/>
    </row>
    <row r="252" spans="1:15" hidden="1">
      <c r="A252" s="5">
        <v>251</v>
      </c>
      <c r="B252" s="5" t="s">
        <v>41</v>
      </c>
      <c r="C252" s="11">
        <v>46092</v>
      </c>
      <c r="D252" s="5" t="s">
        <v>460</v>
      </c>
      <c r="E252" s="5" t="s">
        <v>461</v>
      </c>
      <c r="F252" s="6">
        <v>11511</v>
      </c>
      <c r="G252" s="11">
        <v>46117</v>
      </c>
      <c r="H252" s="6">
        <v>11511</v>
      </c>
      <c r="I252" s="6">
        <f t="shared" si="15"/>
        <v>0</v>
      </c>
      <c r="J252" s="5">
        <f t="shared" ca="1" si="16"/>
        <v>47</v>
      </c>
      <c r="K252" s="5" t="str">
        <f t="shared" si="17"/>
        <v>Current</v>
      </c>
      <c r="L252" s="5" t="str">
        <f t="shared" si="18"/>
        <v>-</v>
      </c>
      <c r="M252" s="5" t="str">
        <f t="shared" si="19"/>
        <v>-</v>
      </c>
      <c r="N252" s="109" t="s">
        <v>130</v>
      </c>
      <c r="O252" s="109" t="s">
        <v>378</v>
      </c>
    </row>
    <row r="253" spans="1:15" hidden="1">
      <c r="A253" s="2">
        <v>252</v>
      </c>
      <c r="B253" s="2" t="s">
        <v>41</v>
      </c>
      <c r="C253" s="12">
        <v>46153</v>
      </c>
      <c r="D253" s="2" t="s">
        <v>462</v>
      </c>
      <c r="E253" s="2" t="s">
        <v>461</v>
      </c>
      <c r="F253" s="3">
        <v>5201</v>
      </c>
      <c r="G253" s="12">
        <v>46178</v>
      </c>
      <c r="H253" s="3">
        <v>0</v>
      </c>
      <c r="I253" s="3">
        <f t="shared" si="15"/>
        <v>5201</v>
      </c>
      <c r="J253" s="2">
        <f t="shared" ca="1" si="16"/>
        <v>0</v>
      </c>
      <c r="K253" s="2" t="str">
        <f t="shared" ca="1" si="17"/>
        <v>0-30 Days</v>
      </c>
      <c r="L253" s="2" t="str">
        <f t="shared" ca="1" si="18"/>
        <v>Low</v>
      </c>
      <c r="M253" s="2" t="str">
        <f t="shared" ca="1" si="19"/>
        <v>Normal</v>
      </c>
      <c r="N253" s="2" t="s">
        <v>63</v>
      </c>
      <c r="O253" s="2"/>
    </row>
    <row r="254" spans="1:15" hidden="1">
      <c r="A254" s="5">
        <v>253</v>
      </c>
      <c r="B254" s="5" t="s">
        <v>41</v>
      </c>
      <c r="C254" s="11">
        <v>46015</v>
      </c>
      <c r="D254" s="5" t="s">
        <v>463</v>
      </c>
      <c r="E254" s="5" t="s">
        <v>464</v>
      </c>
      <c r="F254" s="6">
        <v>6182</v>
      </c>
      <c r="G254" s="11">
        <v>46040</v>
      </c>
      <c r="H254" s="6">
        <v>0</v>
      </c>
      <c r="I254" s="6">
        <f t="shared" si="15"/>
        <v>6182</v>
      </c>
      <c r="J254" s="5">
        <f t="shared" ca="1" si="16"/>
        <v>124</v>
      </c>
      <c r="K254" s="5" t="str">
        <f t="shared" ca="1" si="17"/>
        <v>90+ Days</v>
      </c>
      <c r="L254" s="5" t="str">
        <f t="shared" ca="1" si="18"/>
        <v>HIGH RISK</v>
      </c>
      <c r="M254" s="5" t="str">
        <f t="shared" ca="1" si="19"/>
        <v>Immediate Action</v>
      </c>
      <c r="N254" s="5" t="s">
        <v>63</v>
      </c>
      <c r="O254" s="5"/>
    </row>
    <row r="255" spans="1:15" hidden="1">
      <c r="A255" s="2">
        <v>254</v>
      </c>
      <c r="B255" s="2" t="s">
        <v>41</v>
      </c>
      <c r="C255" s="12">
        <v>46121</v>
      </c>
      <c r="D255" s="2" t="s">
        <v>465</v>
      </c>
      <c r="E255" s="2" t="s">
        <v>466</v>
      </c>
      <c r="F255" s="3">
        <v>17710</v>
      </c>
      <c r="G255" s="12">
        <v>46146</v>
      </c>
      <c r="H255" s="3">
        <v>0</v>
      </c>
      <c r="I255" s="3">
        <f t="shared" si="15"/>
        <v>17710</v>
      </c>
      <c r="J255" s="2">
        <f t="shared" ca="1" si="16"/>
        <v>18</v>
      </c>
      <c r="K255" s="2" t="str">
        <f t="shared" ca="1" si="17"/>
        <v>0-30 Days</v>
      </c>
      <c r="L255" s="2" t="str">
        <f t="shared" ca="1" si="18"/>
        <v>Low</v>
      </c>
      <c r="M255" s="2" t="str">
        <f t="shared" ca="1" si="19"/>
        <v>Normal</v>
      </c>
      <c r="N255" s="2" t="s">
        <v>63</v>
      </c>
      <c r="O255" s="2"/>
    </row>
    <row r="256" spans="1:15" hidden="1">
      <c r="A256" s="5">
        <v>255</v>
      </c>
      <c r="B256" s="5" t="s">
        <v>41</v>
      </c>
      <c r="C256" s="11">
        <v>46122</v>
      </c>
      <c r="D256" s="5" t="s">
        <v>467</v>
      </c>
      <c r="E256" s="5" t="s">
        <v>466</v>
      </c>
      <c r="F256" s="6">
        <v>8855</v>
      </c>
      <c r="G256" s="11">
        <v>46147</v>
      </c>
      <c r="H256" s="6">
        <v>0</v>
      </c>
      <c r="I256" s="6">
        <f t="shared" si="15"/>
        <v>8855</v>
      </c>
      <c r="J256" s="5">
        <f t="shared" ca="1" si="16"/>
        <v>17</v>
      </c>
      <c r="K256" s="5" t="str">
        <f t="shared" ca="1" si="17"/>
        <v>0-30 Days</v>
      </c>
      <c r="L256" s="5" t="str">
        <f t="shared" ca="1" si="18"/>
        <v>Low</v>
      </c>
      <c r="M256" s="5" t="str">
        <f t="shared" ca="1" si="19"/>
        <v>Normal</v>
      </c>
      <c r="N256" s="5" t="s">
        <v>63</v>
      </c>
      <c r="O256" s="5"/>
    </row>
    <row r="257" spans="1:15" hidden="1">
      <c r="A257" s="2">
        <v>256</v>
      </c>
      <c r="B257" s="2" t="s">
        <v>41</v>
      </c>
      <c r="C257" s="12">
        <v>46130</v>
      </c>
      <c r="D257" s="2" t="s">
        <v>468</v>
      </c>
      <c r="E257" s="2" t="s">
        <v>466</v>
      </c>
      <c r="F257" s="3">
        <v>5572</v>
      </c>
      <c r="G257" s="12">
        <v>46155</v>
      </c>
      <c r="H257" s="3">
        <v>0</v>
      </c>
      <c r="I257" s="3">
        <f t="shared" si="15"/>
        <v>5572</v>
      </c>
      <c r="J257" s="2">
        <f t="shared" ca="1" si="16"/>
        <v>9</v>
      </c>
      <c r="K257" s="2" t="str">
        <f t="shared" ca="1" si="17"/>
        <v>0-30 Days</v>
      </c>
      <c r="L257" s="2" t="str">
        <f t="shared" ca="1" si="18"/>
        <v>Low</v>
      </c>
      <c r="M257" s="2" t="str">
        <f t="shared" ca="1" si="19"/>
        <v>Normal</v>
      </c>
      <c r="N257" s="2" t="s">
        <v>63</v>
      </c>
      <c r="O257" s="2"/>
    </row>
    <row r="258" spans="1:15" hidden="1">
      <c r="A258" s="5">
        <v>257</v>
      </c>
      <c r="B258" s="5" t="s">
        <v>41</v>
      </c>
      <c r="C258" s="11">
        <v>46142</v>
      </c>
      <c r="D258" s="5" t="s">
        <v>469</v>
      </c>
      <c r="E258" s="5" t="s">
        <v>466</v>
      </c>
      <c r="F258" s="6">
        <v>5144</v>
      </c>
      <c r="G258" s="11">
        <v>46167</v>
      </c>
      <c r="H258" s="6">
        <v>0</v>
      </c>
      <c r="I258" s="6">
        <f t="shared" ref="I258:I321" si="20">MAX(0,F258-H258)</f>
        <v>5144</v>
      </c>
      <c r="J258" s="5">
        <f t="shared" ref="J258:J266" ca="1" si="21">IF(G258="",0,MAX(0,TODAY()-G258))</f>
        <v>0</v>
      </c>
      <c r="K258" s="5" t="str">
        <f t="shared" ref="K258:K321" ca="1" si="22">IF(I258&lt;=0,"Current",IF(J258&lt;=30,"0-30 Days",IF(J258&lt;=60,"31-60 Days",IF(J258&lt;=90,"61-90 Days","90+ Days"))))</f>
        <v>0-30 Days</v>
      </c>
      <c r="L258" s="5" t="str">
        <f t="shared" ref="L258:L266" ca="1" si="23">IF(I258&lt;=0,"-",IF(J258&lt;=30,"Low",IF(J258&lt;=60,"Low-Medium",IF(J258&lt;=90,"Medium","HIGH RISK"))))</f>
        <v>Low</v>
      </c>
      <c r="M258" s="5" t="str">
        <f t="shared" ref="M258:M266" ca="1" si="24">IF(I258&lt;=0,"-",IF(J258&lt;=30,"Normal",IF(J258&lt;=60,"Medium",IF(J258&lt;=90,"Urgent","Immediate Action"))))</f>
        <v>Normal</v>
      </c>
      <c r="N258" s="5" t="s">
        <v>63</v>
      </c>
      <c r="O258" s="5"/>
    </row>
    <row r="259" spans="1:15" hidden="1">
      <c r="A259" s="2">
        <v>258</v>
      </c>
      <c r="B259" s="2" t="s">
        <v>41</v>
      </c>
      <c r="C259" s="12">
        <v>46148</v>
      </c>
      <c r="D259" s="2" t="s">
        <v>470</v>
      </c>
      <c r="E259" s="2" t="s">
        <v>466</v>
      </c>
      <c r="F259" s="3">
        <v>2291</v>
      </c>
      <c r="G259" s="12">
        <v>46173</v>
      </c>
      <c r="H259" s="3">
        <v>0</v>
      </c>
      <c r="I259" s="3">
        <f t="shared" si="20"/>
        <v>2291</v>
      </c>
      <c r="J259" s="2">
        <f t="shared" ca="1" si="21"/>
        <v>0</v>
      </c>
      <c r="K259" s="2" t="str">
        <f t="shared" ca="1" si="22"/>
        <v>0-30 Days</v>
      </c>
      <c r="L259" s="2" t="str">
        <f t="shared" ca="1" si="23"/>
        <v>Low</v>
      </c>
      <c r="M259" s="2" t="str">
        <f t="shared" ca="1" si="24"/>
        <v>Normal</v>
      </c>
      <c r="N259" s="2" t="s">
        <v>63</v>
      </c>
      <c r="O259" s="2"/>
    </row>
    <row r="260" spans="1:15" hidden="1">
      <c r="A260" s="5">
        <v>259</v>
      </c>
      <c r="B260" s="5" t="s">
        <v>41</v>
      </c>
      <c r="C260" s="11">
        <v>46150</v>
      </c>
      <c r="D260" s="5" t="s">
        <v>471</v>
      </c>
      <c r="E260" s="5" t="s">
        <v>466</v>
      </c>
      <c r="F260" s="6">
        <v>21163</v>
      </c>
      <c r="G260" s="11">
        <v>46175</v>
      </c>
      <c r="H260" s="6">
        <v>0</v>
      </c>
      <c r="I260" s="6">
        <f t="shared" si="20"/>
        <v>21163</v>
      </c>
      <c r="J260" s="5">
        <f t="shared" ca="1" si="21"/>
        <v>0</v>
      </c>
      <c r="K260" s="5" t="str">
        <f t="shared" ca="1" si="22"/>
        <v>0-30 Days</v>
      </c>
      <c r="L260" s="5" t="str">
        <f t="shared" ca="1" si="23"/>
        <v>Low</v>
      </c>
      <c r="M260" s="5" t="str">
        <f t="shared" ca="1" si="24"/>
        <v>Normal</v>
      </c>
      <c r="N260" s="5" t="s">
        <v>63</v>
      </c>
      <c r="O260" s="5"/>
    </row>
    <row r="261" spans="1:15" hidden="1">
      <c r="A261" s="2">
        <v>260</v>
      </c>
      <c r="B261" s="2" t="s">
        <v>41</v>
      </c>
      <c r="C261" s="12">
        <v>46156</v>
      </c>
      <c r="D261" s="2" t="s">
        <v>472</v>
      </c>
      <c r="E261" s="2" t="s">
        <v>466</v>
      </c>
      <c r="F261" s="3">
        <v>7384</v>
      </c>
      <c r="G261" s="12">
        <v>46181</v>
      </c>
      <c r="H261" s="3">
        <v>0</v>
      </c>
      <c r="I261" s="3">
        <f t="shared" si="20"/>
        <v>7384</v>
      </c>
      <c r="J261" s="2">
        <f t="shared" ca="1" si="21"/>
        <v>0</v>
      </c>
      <c r="K261" s="2" t="str">
        <f t="shared" ca="1" si="22"/>
        <v>0-30 Days</v>
      </c>
      <c r="L261" s="2" t="str">
        <f t="shared" ca="1" si="23"/>
        <v>Low</v>
      </c>
      <c r="M261" s="2" t="str">
        <f t="shared" ca="1" si="24"/>
        <v>Normal</v>
      </c>
      <c r="N261" s="2" t="s">
        <v>63</v>
      </c>
      <c r="O261" s="2"/>
    </row>
    <row r="262" spans="1:15" hidden="1">
      <c r="A262" s="5">
        <v>261</v>
      </c>
      <c r="B262" s="5" t="s">
        <v>41</v>
      </c>
      <c r="C262" s="11">
        <v>46115</v>
      </c>
      <c r="D262" s="5" t="s">
        <v>473</v>
      </c>
      <c r="E262" s="5" t="s">
        <v>474</v>
      </c>
      <c r="F262" s="6">
        <v>22</v>
      </c>
      <c r="G262" s="11">
        <v>46140</v>
      </c>
      <c r="H262" s="6">
        <v>0</v>
      </c>
      <c r="I262" s="6">
        <f t="shared" si="20"/>
        <v>22</v>
      </c>
      <c r="J262" s="5">
        <f t="shared" ca="1" si="21"/>
        <v>24</v>
      </c>
      <c r="K262" s="5" t="str">
        <f t="shared" ca="1" si="22"/>
        <v>0-30 Days</v>
      </c>
      <c r="L262" s="5" t="str">
        <f t="shared" ca="1" si="23"/>
        <v>Low</v>
      </c>
      <c r="M262" s="5" t="str">
        <f t="shared" ca="1" si="24"/>
        <v>Normal</v>
      </c>
      <c r="N262" s="5" t="s">
        <v>63</v>
      </c>
      <c r="O262" s="5"/>
    </row>
    <row r="263" spans="1:15" hidden="1">
      <c r="A263" s="2">
        <v>262</v>
      </c>
      <c r="B263" s="2" t="s">
        <v>41</v>
      </c>
      <c r="C263" s="12">
        <v>46125</v>
      </c>
      <c r="D263" s="2" t="s">
        <v>475</v>
      </c>
      <c r="E263" s="2" t="s">
        <v>474</v>
      </c>
      <c r="F263" s="3">
        <v>16</v>
      </c>
      <c r="G263" s="12">
        <v>46150</v>
      </c>
      <c r="H263" s="3">
        <v>0</v>
      </c>
      <c r="I263" s="3">
        <f t="shared" si="20"/>
        <v>16</v>
      </c>
      <c r="J263" s="2">
        <f t="shared" ca="1" si="21"/>
        <v>14</v>
      </c>
      <c r="K263" s="2" t="str">
        <f t="shared" ca="1" si="22"/>
        <v>0-30 Days</v>
      </c>
      <c r="L263" s="2" t="str">
        <f t="shared" ca="1" si="23"/>
        <v>Low</v>
      </c>
      <c r="M263" s="2" t="str">
        <f t="shared" ca="1" si="24"/>
        <v>Normal</v>
      </c>
      <c r="N263" s="2" t="s">
        <v>63</v>
      </c>
      <c r="O263" s="2"/>
    </row>
    <row r="264" spans="1:15" hidden="1">
      <c r="A264" s="5">
        <v>263</v>
      </c>
      <c r="B264" s="5" t="s">
        <v>41</v>
      </c>
      <c r="C264" s="11">
        <v>46146</v>
      </c>
      <c r="D264" s="5" t="s">
        <v>476</v>
      </c>
      <c r="E264" s="5" t="s">
        <v>474</v>
      </c>
      <c r="F264" s="6">
        <v>3660</v>
      </c>
      <c r="G264" s="11">
        <v>46171</v>
      </c>
      <c r="H264" s="6">
        <v>0</v>
      </c>
      <c r="I264" s="6">
        <f t="shared" si="20"/>
        <v>3660</v>
      </c>
      <c r="J264" s="5">
        <f t="shared" ca="1" si="21"/>
        <v>0</v>
      </c>
      <c r="K264" s="5" t="str">
        <f t="shared" ca="1" si="22"/>
        <v>0-30 Days</v>
      </c>
      <c r="L264" s="5" t="str">
        <f t="shared" ca="1" si="23"/>
        <v>Low</v>
      </c>
      <c r="M264" s="5" t="str">
        <f t="shared" ca="1" si="24"/>
        <v>Normal</v>
      </c>
      <c r="N264" s="5" t="s">
        <v>63</v>
      </c>
      <c r="O264" s="5"/>
    </row>
    <row r="265" spans="1:15" hidden="1">
      <c r="A265" s="2">
        <v>264</v>
      </c>
      <c r="B265" s="2" t="s">
        <v>41</v>
      </c>
      <c r="C265" s="12">
        <v>46111</v>
      </c>
      <c r="D265" s="2" t="s">
        <v>477</v>
      </c>
      <c r="E265" s="2" t="s">
        <v>478</v>
      </c>
      <c r="F265" s="3">
        <v>1655</v>
      </c>
      <c r="G265" s="12">
        <v>46136</v>
      </c>
      <c r="H265" s="3">
        <v>0</v>
      </c>
      <c r="I265" s="3">
        <f t="shared" si="20"/>
        <v>1655</v>
      </c>
      <c r="J265" s="2">
        <f t="shared" ca="1" si="21"/>
        <v>28</v>
      </c>
      <c r="K265" s="2" t="str">
        <f t="shared" ca="1" si="22"/>
        <v>0-30 Days</v>
      </c>
      <c r="L265" s="2" t="str">
        <f t="shared" ca="1" si="23"/>
        <v>Low</v>
      </c>
      <c r="M265" s="2" t="str">
        <f t="shared" ca="1" si="24"/>
        <v>Normal</v>
      </c>
      <c r="N265" s="2" t="s">
        <v>63</v>
      </c>
      <c r="O265" s="2"/>
    </row>
    <row r="266" spans="1:15" hidden="1">
      <c r="A266" s="5">
        <v>265</v>
      </c>
      <c r="B266" s="5" t="s">
        <v>41</v>
      </c>
      <c r="C266" s="11">
        <v>46121</v>
      </c>
      <c r="D266" s="5" t="s">
        <v>479</v>
      </c>
      <c r="E266" s="5" t="s">
        <v>478</v>
      </c>
      <c r="F266" s="6">
        <v>251</v>
      </c>
      <c r="G266" s="11">
        <v>46146</v>
      </c>
      <c r="H266" s="6">
        <v>0</v>
      </c>
      <c r="I266" s="6">
        <f t="shared" si="20"/>
        <v>251</v>
      </c>
      <c r="J266" s="5">
        <f t="shared" ca="1" si="21"/>
        <v>18</v>
      </c>
      <c r="K266" s="5" t="str">
        <f t="shared" ca="1" si="22"/>
        <v>0-30 Days</v>
      </c>
      <c r="L266" s="5" t="str">
        <f t="shared" ca="1" si="23"/>
        <v>Low</v>
      </c>
      <c r="M266" s="5" t="str">
        <f t="shared" ca="1" si="24"/>
        <v>Normal</v>
      </c>
      <c r="N266" s="5" t="s">
        <v>63</v>
      </c>
      <c r="O266" s="5"/>
    </row>
  </sheetData>
  <autoFilter ref="A1:O266" xr:uid="{00000000-0009-0000-0000-000001000000}">
    <filterColumn colId="1">
      <filters>
        <filter val="Praveen"/>
      </filters>
    </filterColumn>
  </autoFilter>
  <conditionalFormatting sqref="A2:O266">
    <cfRule type="expression" dxfId="23" priority="1">
      <formula>AND($J2&gt;=90,$I2&gt;0)</formula>
    </cfRule>
    <cfRule type="expression" dxfId="22" priority="2">
      <formula>AND($J2&gt;=61,$J2&lt;90,$I2&gt;0)</formula>
    </cfRule>
    <cfRule type="expression" dxfId="21" priority="3">
      <formula>AND($J2&gt;=31,$J2&lt;61,$I2&gt;0)</formula>
    </cfRule>
    <cfRule type="expression" dxfId="20" priority="4">
      <formula>AND($J2&gt;=1,$J2&lt;31,$I2&gt;0)</formula>
    </cfRule>
    <cfRule type="expression" dxfId="19" priority="5">
      <formula>$I2&lt;=0</formula>
    </cfRule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6"/>
  <sheetViews>
    <sheetView workbookViewId="0">
      <pane ySplit="4" topLeftCell="A38" activePane="bottomLeft" state="frozen"/>
      <selection pane="bottomLeft" activeCell="B55" sqref="B55"/>
    </sheetView>
  </sheetViews>
  <sheetFormatPr defaultRowHeight="14.4"/>
  <cols>
    <col min="1" max="1" width="6" customWidth="1"/>
    <col min="2" max="2" width="39.33203125" bestFit="1" customWidth="1"/>
    <col min="3" max="3" width="22" customWidth="1"/>
    <col min="4" max="6" width="16" customWidth="1"/>
    <col min="7" max="7" width="14" customWidth="1"/>
    <col min="8" max="8" width="16" customWidth="1"/>
    <col min="9" max="9" width="14" customWidth="1"/>
    <col min="10" max="10" width="30" customWidth="1"/>
    <col min="11" max="11" width="14" customWidth="1"/>
    <col min="12" max="12" width="30" customWidth="1"/>
    <col min="13" max="13" width="18" customWidth="1"/>
  </cols>
  <sheetData>
    <row r="1" spans="1:13" ht="36" customHeight="1">
      <c r="A1" s="115" t="s">
        <v>480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2.2" customHeight="1">
      <c r="A2" s="117" t="s">
        <v>481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6" customHeight="1"/>
    <row r="4" spans="1:13" ht="30" customHeight="1">
      <c r="A4" s="108" t="s">
        <v>2</v>
      </c>
      <c r="B4" s="108" t="s">
        <v>6</v>
      </c>
      <c r="C4" s="108" t="s">
        <v>5</v>
      </c>
      <c r="D4" s="108" t="s">
        <v>482</v>
      </c>
      <c r="E4" s="108" t="s">
        <v>8</v>
      </c>
      <c r="F4" s="108" t="s">
        <v>10</v>
      </c>
      <c r="G4" s="108" t="s">
        <v>11</v>
      </c>
      <c r="H4" s="108" t="s">
        <v>12</v>
      </c>
      <c r="I4" s="108" t="s">
        <v>13</v>
      </c>
      <c r="J4" s="108" t="s">
        <v>483</v>
      </c>
      <c r="K4" s="108" t="s">
        <v>15</v>
      </c>
      <c r="L4" s="108" t="s">
        <v>484</v>
      </c>
      <c r="M4" s="108" t="s">
        <v>485</v>
      </c>
    </row>
    <row r="5" spans="1:13">
      <c r="A5" s="2">
        <v>1</v>
      </c>
      <c r="B5" s="2" t="str">
        <f>IF(MASTER_AR_REPORT!E3="","",MASTER_AR_REPORT!E3)</f>
        <v>KHALEEL WATCH CO.</v>
      </c>
      <c r="C5" s="2" t="str">
        <f>IF(MASTER_AR_REPORT!D3="","",MASTER_AR_REPORT!D3)</f>
        <v>SLGCW/1077/24-25</v>
      </c>
      <c r="D5" s="12">
        <f>MASTER_AR_REPORT!C3</f>
        <v>45716</v>
      </c>
      <c r="E5" s="12">
        <f>MASTER_AR_REPORT!G3</f>
        <v>45716</v>
      </c>
      <c r="F5" s="3">
        <f>MASTER_AR_REPORT!I3</f>
        <v>159.66999999999999</v>
      </c>
      <c r="G5" s="2">
        <f ca="1">MASTER_AR_REPORT!J3</f>
        <v>448</v>
      </c>
      <c r="H5" s="2" t="str">
        <f ca="1">MASTER_AR_REPORT!K3</f>
        <v>90+ Days</v>
      </c>
      <c r="I5" s="2" t="str">
        <f ca="1">MASTER_AR_REPORT!L3</f>
        <v>HIGH RISK</v>
      </c>
      <c r="J5" s="2" t="str">
        <f ca="1">MASTER_AR_REPORT!M3</f>
        <v>Immediate Action</v>
      </c>
      <c r="K5" s="2" t="s">
        <v>63</v>
      </c>
      <c r="L5" s="2"/>
      <c r="M5" s="2"/>
    </row>
    <row r="6" spans="1:13">
      <c r="A6" s="5">
        <v>2</v>
      </c>
      <c r="B6" s="5" t="str">
        <f>IF(MASTER_AR_REPORT!E4="","",MASTER_AR_REPORT!E4)</f>
        <v>KHALEEL WATCH CO.</v>
      </c>
      <c r="C6" s="5" t="str">
        <f>IF(MASTER_AR_REPORT!D4="","",MASTER_AR_REPORT!D4)</f>
        <v>SLGCW/1035/25-26</v>
      </c>
      <c r="D6" s="11">
        <f>MASTER_AR_REPORT!C4</f>
        <v>46013</v>
      </c>
      <c r="E6" s="11">
        <f>MASTER_AR_REPORT!G4</f>
        <v>46043</v>
      </c>
      <c r="F6" s="6">
        <f>MASTER_AR_REPORT!I4</f>
        <v>383</v>
      </c>
      <c r="G6" s="5">
        <f ca="1">MASTER_AR_REPORT!J4</f>
        <v>121</v>
      </c>
      <c r="H6" s="5" t="str">
        <f ca="1">MASTER_AR_REPORT!K4</f>
        <v>90+ Days</v>
      </c>
      <c r="I6" s="5" t="str">
        <f ca="1">MASTER_AR_REPORT!L4</f>
        <v>HIGH RISK</v>
      </c>
      <c r="J6" s="5" t="str">
        <f ca="1">MASTER_AR_REPORT!M4</f>
        <v>Immediate Action</v>
      </c>
      <c r="K6" s="5" t="s">
        <v>63</v>
      </c>
      <c r="L6" s="5"/>
      <c r="M6" s="5"/>
    </row>
    <row r="7" spans="1:13">
      <c r="A7" s="2">
        <v>3</v>
      </c>
      <c r="B7" s="2" t="str">
        <f>IF(MASTER_AR_REPORT!E5="","",MASTER_AR_REPORT!E5)</f>
        <v>KISHORE WATCH CO</v>
      </c>
      <c r="C7" s="2" t="str">
        <f>IF(MASTER_AR_REPORT!D5="","",MASTER_AR_REPORT!D5)</f>
        <v>SLGCW/969/25-26</v>
      </c>
      <c r="D7" s="12">
        <f>MASTER_AR_REPORT!C5</f>
        <v>45996</v>
      </c>
      <c r="E7" s="12">
        <f>MASTER_AR_REPORT!G5</f>
        <v>46041</v>
      </c>
      <c r="F7" s="3">
        <f>MASTER_AR_REPORT!I5</f>
        <v>2852</v>
      </c>
      <c r="G7" s="2">
        <f ca="1">MASTER_AR_REPORT!J5</f>
        <v>123</v>
      </c>
      <c r="H7" s="2" t="str">
        <f ca="1">MASTER_AR_REPORT!K5</f>
        <v>90+ Days</v>
      </c>
      <c r="I7" s="2" t="str">
        <f ca="1">MASTER_AR_REPORT!L5</f>
        <v>HIGH RISK</v>
      </c>
      <c r="J7" s="2" t="str">
        <f ca="1">MASTER_AR_REPORT!M5</f>
        <v>Immediate Action</v>
      </c>
      <c r="K7" s="2" t="s">
        <v>63</v>
      </c>
      <c r="L7" s="2"/>
      <c r="M7" s="2"/>
    </row>
    <row r="8" spans="1:13">
      <c r="A8" s="5">
        <v>4</v>
      </c>
      <c r="B8" s="5" t="str">
        <f>IF(MASTER_AR_REPORT!E15="","",MASTER_AR_REPORT!E15)</f>
        <v>MILAP GENERAL STORES</v>
      </c>
      <c r="C8" s="5" t="str">
        <f>IF(MASTER_AR_REPORT!D15="","",MASTER_AR_REPORT!D15)</f>
        <v>SLGCW/1043/24-25</v>
      </c>
      <c r="D8" s="11">
        <f>MASTER_AR_REPORT!C15</f>
        <v>45705</v>
      </c>
      <c r="E8" s="11">
        <f>MASTER_AR_REPORT!G15</f>
        <v>45705</v>
      </c>
      <c r="F8" s="6">
        <f>MASTER_AR_REPORT!I15</f>
        <v>560</v>
      </c>
      <c r="G8" s="5">
        <f ca="1">MASTER_AR_REPORT!J15</f>
        <v>459</v>
      </c>
      <c r="H8" s="5" t="str">
        <f ca="1">MASTER_AR_REPORT!K15</f>
        <v>90+ Days</v>
      </c>
      <c r="I8" s="5" t="str">
        <f ca="1">MASTER_AR_REPORT!L15</f>
        <v>HIGH RISK</v>
      </c>
      <c r="J8" s="5" t="str">
        <f ca="1">MASTER_AR_REPORT!M15</f>
        <v>Immediate Action</v>
      </c>
      <c r="K8" s="5" t="s">
        <v>63</v>
      </c>
      <c r="L8" s="5"/>
      <c r="M8" s="5"/>
    </row>
    <row r="9" spans="1:13">
      <c r="A9" s="2">
        <v>5</v>
      </c>
      <c r="B9" s="2" t="str">
        <f>IF(MASTER_AR_REPORT!E16="","",MASTER_AR_REPORT!E16)</f>
        <v>MILAP GENERAL STORES</v>
      </c>
      <c r="C9" s="2" t="str">
        <f>IF(MASTER_AR_REPORT!D16="","",MASTER_AR_REPORT!D16)</f>
        <v>SLGCW/1061/24-25</v>
      </c>
      <c r="D9" s="12">
        <f>MASTER_AR_REPORT!C16</f>
        <v>45708</v>
      </c>
      <c r="E9" s="12">
        <f>MASTER_AR_REPORT!G16</f>
        <v>45708</v>
      </c>
      <c r="F9" s="3">
        <f>MASTER_AR_REPORT!I16</f>
        <v>103.36</v>
      </c>
      <c r="G9" s="2">
        <f ca="1">MASTER_AR_REPORT!J16</f>
        <v>456</v>
      </c>
      <c r="H9" s="2" t="str">
        <f ca="1">MASTER_AR_REPORT!K16</f>
        <v>90+ Days</v>
      </c>
      <c r="I9" s="2" t="str">
        <f ca="1">MASTER_AR_REPORT!L16</f>
        <v>HIGH RISK</v>
      </c>
      <c r="J9" s="2" t="str">
        <f ca="1">MASTER_AR_REPORT!M16</f>
        <v>Immediate Action</v>
      </c>
      <c r="K9" s="2" t="s">
        <v>63</v>
      </c>
      <c r="L9" s="2"/>
      <c r="M9" s="2"/>
    </row>
    <row r="10" spans="1:13">
      <c r="A10" s="5">
        <v>6</v>
      </c>
      <c r="B10" s="5" t="str">
        <f>IF(MASTER_AR_REPORT!E19="","",MASTER_AR_REPORT!E19)</f>
        <v>RAMESH WATCH CO PVT LTD K-INORBIT</v>
      </c>
      <c r="C10" s="5" t="str">
        <f>IF(MASTER_AR_REPORT!D19="","",MASTER_AR_REPORT!D19)</f>
        <v>SLGCW/898/24-25</v>
      </c>
      <c r="D10" s="11">
        <f>MASTER_AR_REPORT!C19</f>
        <v>45667</v>
      </c>
      <c r="E10" s="11">
        <f>MASTER_AR_REPORT!G19</f>
        <v>45667</v>
      </c>
      <c r="F10" s="6">
        <f>MASTER_AR_REPORT!I19</f>
        <v>92000</v>
      </c>
      <c r="G10" s="5">
        <f ca="1">MASTER_AR_REPORT!J19</f>
        <v>497</v>
      </c>
      <c r="H10" s="5" t="str">
        <f ca="1">MASTER_AR_REPORT!K19</f>
        <v>90+ Days</v>
      </c>
      <c r="I10" s="5" t="str">
        <f ca="1">MASTER_AR_REPORT!L19</f>
        <v>HIGH RISK</v>
      </c>
      <c r="J10" s="5" t="str">
        <f ca="1">MASTER_AR_REPORT!M19</f>
        <v>Immediate Action</v>
      </c>
      <c r="K10" s="5" t="s">
        <v>63</v>
      </c>
      <c r="L10" s="5"/>
      <c r="M10" s="5"/>
    </row>
    <row r="11" spans="1:13">
      <c r="A11" s="2">
        <v>7</v>
      </c>
      <c r="B11" s="2" t="str">
        <f>IF(MASTER_AR_REPORT!E20="","",MASTER_AR_REPORT!E20)</f>
        <v>RAMESH WATCH CO PVT LTD K-INORBIT</v>
      </c>
      <c r="C11" s="2" t="str">
        <f>IF(MASTER_AR_REPORT!D20="","",MASTER_AR_REPORT!D20)</f>
        <v>SLGCW/1138/25-26</v>
      </c>
      <c r="D11" s="12">
        <f>MASTER_AR_REPORT!C20</f>
        <v>46044</v>
      </c>
      <c r="E11" s="12">
        <f>MASTER_AR_REPORT!G20</f>
        <v>46089</v>
      </c>
      <c r="F11" s="3">
        <f>MASTER_AR_REPORT!I20</f>
        <v>74393</v>
      </c>
      <c r="G11" s="2">
        <f ca="1">MASTER_AR_REPORT!J20</f>
        <v>75</v>
      </c>
      <c r="H11" s="2" t="str">
        <f ca="1">MASTER_AR_REPORT!K20</f>
        <v>61-90 Days</v>
      </c>
      <c r="I11" s="2" t="str">
        <f ca="1">MASTER_AR_REPORT!L20</f>
        <v>Medium</v>
      </c>
      <c r="J11" s="2" t="str">
        <f ca="1">MASTER_AR_REPORT!M20</f>
        <v>Urgent</v>
      </c>
      <c r="K11" s="2" t="s">
        <v>63</v>
      </c>
      <c r="L11" s="2"/>
      <c r="M11" s="2"/>
    </row>
    <row r="12" spans="1:13">
      <c r="A12" s="5">
        <v>8</v>
      </c>
      <c r="B12" s="5" t="str">
        <f>IF(MASTER_AR_REPORT!E21="","",MASTER_AR_REPORT!E21)</f>
        <v>RAMESH WATCH CO PVT LTD K-INORBIT</v>
      </c>
      <c r="C12" s="5" t="str">
        <f>IF(MASTER_AR_REPORT!D21="","",MASTER_AR_REPORT!D21)</f>
        <v>SLGCW/1150/25-26</v>
      </c>
      <c r="D12" s="11">
        <f>MASTER_AR_REPORT!C21</f>
        <v>46045</v>
      </c>
      <c r="E12" s="11">
        <f>MASTER_AR_REPORT!G21</f>
        <v>46090</v>
      </c>
      <c r="F12" s="6">
        <f>MASTER_AR_REPORT!I21</f>
        <v>263334</v>
      </c>
      <c r="G12" s="5">
        <f ca="1">MASTER_AR_REPORT!J21</f>
        <v>74</v>
      </c>
      <c r="H12" s="5" t="str">
        <f ca="1">MASTER_AR_REPORT!K21</f>
        <v>61-90 Days</v>
      </c>
      <c r="I12" s="5" t="str">
        <f ca="1">MASTER_AR_REPORT!L21</f>
        <v>Medium</v>
      </c>
      <c r="J12" s="5" t="str">
        <f ca="1">MASTER_AR_REPORT!M21</f>
        <v>Urgent</v>
      </c>
      <c r="K12" s="5" t="s">
        <v>63</v>
      </c>
      <c r="L12" s="5"/>
      <c r="M12" s="5"/>
    </row>
    <row r="13" spans="1:13">
      <c r="A13" s="2">
        <v>9</v>
      </c>
      <c r="B13" s="2" t="str">
        <f>IF(MASTER_AR_REPORT!E22="","",MASTER_AR_REPORT!E22)</f>
        <v>RAMESH WATCH CO PVT LTD K-INORBIT</v>
      </c>
      <c r="C13" s="2" t="str">
        <f>IF(MASTER_AR_REPORT!D22="","",MASTER_AR_REPORT!D22)</f>
        <v>SLGCW/1147/25-26</v>
      </c>
      <c r="D13" s="12">
        <f>MASTER_AR_REPORT!C22</f>
        <v>46045</v>
      </c>
      <c r="E13" s="12">
        <f>MASTER_AR_REPORT!G22</f>
        <v>46090</v>
      </c>
      <c r="F13" s="3">
        <f>MASTER_AR_REPORT!I22</f>
        <v>60364</v>
      </c>
      <c r="G13" s="2">
        <f ca="1">MASTER_AR_REPORT!J22</f>
        <v>74</v>
      </c>
      <c r="H13" s="2" t="str">
        <f ca="1">MASTER_AR_REPORT!K22</f>
        <v>61-90 Days</v>
      </c>
      <c r="I13" s="2" t="str">
        <f ca="1">MASTER_AR_REPORT!L22</f>
        <v>Medium</v>
      </c>
      <c r="J13" s="2" t="str">
        <f ca="1">MASTER_AR_REPORT!M22</f>
        <v>Urgent</v>
      </c>
      <c r="K13" s="2" t="s">
        <v>63</v>
      </c>
      <c r="L13" s="2"/>
      <c r="M13" s="2"/>
    </row>
    <row r="14" spans="1:13">
      <c r="A14" s="5">
        <v>10</v>
      </c>
      <c r="B14" s="5" t="str">
        <f>IF(MASTER_AR_REPORT!E23="","",MASTER_AR_REPORT!E23)</f>
        <v>RAMESH WATCH CO PVT LTD K-INORBIT</v>
      </c>
      <c r="C14" s="5" t="str">
        <f>IF(MASTER_AR_REPORT!D23="","",MASTER_AR_REPORT!D23)</f>
        <v>SLGCW/1149/25-26</v>
      </c>
      <c r="D14" s="11">
        <f>MASTER_AR_REPORT!C23</f>
        <v>46045</v>
      </c>
      <c r="E14" s="11">
        <f>MASTER_AR_REPORT!G23</f>
        <v>46090</v>
      </c>
      <c r="F14" s="6">
        <f>MASTER_AR_REPORT!I23</f>
        <v>30132</v>
      </c>
      <c r="G14" s="5">
        <f ca="1">MASTER_AR_REPORT!J23</f>
        <v>74</v>
      </c>
      <c r="H14" s="5" t="str">
        <f ca="1">MASTER_AR_REPORT!K23</f>
        <v>61-90 Days</v>
      </c>
      <c r="I14" s="5" t="str">
        <f ca="1">MASTER_AR_REPORT!L23</f>
        <v>Medium</v>
      </c>
      <c r="J14" s="5" t="str">
        <f ca="1">MASTER_AR_REPORT!M23</f>
        <v>Urgent</v>
      </c>
      <c r="K14" s="5" t="s">
        <v>63</v>
      </c>
      <c r="L14" s="5"/>
      <c r="M14" s="5"/>
    </row>
    <row r="15" spans="1:13">
      <c r="A15" s="2">
        <v>11</v>
      </c>
      <c r="B15" s="2" t="str">
        <f>IF(MASTER_AR_REPORT!E24="","",MASTER_AR_REPORT!E24)</f>
        <v>RAMESH WATCH CO PVT LTD K-INORBIT</v>
      </c>
      <c r="C15" s="2" t="str">
        <f>IF(MASTER_AR_REPORT!D24="","",MASTER_AR_REPORT!D24)</f>
        <v>SLGCW/1188/25-26</v>
      </c>
      <c r="D15" s="12">
        <f>MASTER_AR_REPORT!C24</f>
        <v>46055</v>
      </c>
      <c r="E15" s="12">
        <f>MASTER_AR_REPORT!G24</f>
        <v>46100</v>
      </c>
      <c r="F15" s="3">
        <f>MASTER_AR_REPORT!I24</f>
        <v>304908</v>
      </c>
      <c r="G15" s="2">
        <f ca="1">MASTER_AR_REPORT!J24</f>
        <v>64</v>
      </c>
      <c r="H15" s="2" t="str">
        <f ca="1">MASTER_AR_REPORT!K24</f>
        <v>61-90 Days</v>
      </c>
      <c r="I15" s="2" t="str">
        <f ca="1">MASTER_AR_REPORT!L24</f>
        <v>Medium</v>
      </c>
      <c r="J15" s="2" t="str">
        <f ca="1">MASTER_AR_REPORT!M24</f>
        <v>Urgent</v>
      </c>
      <c r="K15" s="2" t="s">
        <v>63</v>
      </c>
      <c r="L15" s="2"/>
      <c r="M15" s="2"/>
    </row>
    <row r="16" spans="1:13">
      <c r="A16" s="5">
        <v>12</v>
      </c>
      <c r="B16" s="5" t="str">
        <f>IF(MASTER_AR_REPORT!E25="","",MASTER_AR_REPORT!E25)</f>
        <v>RAMESH WATCH CO PVT LTD K-INORBIT</v>
      </c>
      <c r="C16" s="5" t="str">
        <f>IF(MASTER_AR_REPORT!D25="","",MASTER_AR_REPORT!D25)</f>
        <v>SLGCW/1226/25-26</v>
      </c>
      <c r="D16" s="11">
        <f>MASTER_AR_REPORT!C25</f>
        <v>46067</v>
      </c>
      <c r="E16" s="11">
        <f>MASTER_AR_REPORT!G25</f>
        <v>46112</v>
      </c>
      <c r="F16" s="6">
        <f>MASTER_AR_REPORT!I25</f>
        <v>51332</v>
      </c>
      <c r="G16" s="5">
        <f ca="1">MASTER_AR_REPORT!J25</f>
        <v>52</v>
      </c>
      <c r="H16" s="5" t="str">
        <f ca="1">MASTER_AR_REPORT!K25</f>
        <v>31-60 Days</v>
      </c>
      <c r="I16" s="5" t="str">
        <f ca="1">MASTER_AR_REPORT!L25</f>
        <v>Low-Medium</v>
      </c>
      <c r="J16" s="5" t="str">
        <f ca="1">MASTER_AR_REPORT!M25</f>
        <v>Medium</v>
      </c>
      <c r="K16" s="5" t="s">
        <v>63</v>
      </c>
      <c r="L16" s="5"/>
      <c r="M16" s="5"/>
    </row>
    <row r="17" spans="1:13">
      <c r="A17" s="2">
        <v>13</v>
      </c>
      <c r="B17" s="2" t="str">
        <f>IF(MASTER_AR_REPORT!E26="","",MASTER_AR_REPORT!E26)</f>
        <v>RAMESH WATCH CO PVT LTD K-INORBIT</v>
      </c>
      <c r="C17" s="2" t="str">
        <f>IF(MASTER_AR_REPORT!D26="","",MASTER_AR_REPORT!D26)</f>
        <v>SLGCW/1233/25-26</v>
      </c>
      <c r="D17" s="12">
        <f>MASTER_AR_REPORT!C26</f>
        <v>46076</v>
      </c>
      <c r="E17" s="12">
        <f>MASTER_AR_REPORT!G26</f>
        <v>46121</v>
      </c>
      <c r="F17" s="3">
        <f>MASTER_AR_REPORT!I26</f>
        <v>11979</v>
      </c>
      <c r="G17" s="2">
        <f ca="1">MASTER_AR_REPORT!J26</f>
        <v>43</v>
      </c>
      <c r="H17" s="2" t="str">
        <f ca="1">MASTER_AR_REPORT!K26</f>
        <v>31-60 Days</v>
      </c>
      <c r="I17" s="2" t="str">
        <f ca="1">MASTER_AR_REPORT!L26</f>
        <v>Low-Medium</v>
      </c>
      <c r="J17" s="2" t="str">
        <f ca="1">MASTER_AR_REPORT!M26</f>
        <v>Medium</v>
      </c>
      <c r="K17" s="2" t="s">
        <v>63</v>
      </c>
      <c r="L17" s="2"/>
      <c r="M17" s="2"/>
    </row>
    <row r="18" spans="1:13">
      <c r="A18" s="5">
        <v>14</v>
      </c>
      <c r="B18" s="5" t="str">
        <f>IF(MASTER_AR_REPORT!E27="","",MASTER_AR_REPORT!E27)</f>
        <v>RAMESH WATCH CO PVT LTD K-INORBIT</v>
      </c>
      <c r="C18" s="5" t="str">
        <f>IF(MASTER_AR_REPORT!D27="","",MASTER_AR_REPORT!D27)</f>
        <v>SLGCW/1235/25-26</v>
      </c>
      <c r="D18" s="11">
        <f>MASTER_AR_REPORT!C27</f>
        <v>46076</v>
      </c>
      <c r="E18" s="11">
        <f>MASTER_AR_REPORT!G27</f>
        <v>46121</v>
      </c>
      <c r="F18" s="6">
        <f>MASTER_AR_REPORT!I27</f>
        <v>6291</v>
      </c>
      <c r="G18" s="5">
        <f ca="1">MASTER_AR_REPORT!J27</f>
        <v>43</v>
      </c>
      <c r="H18" s="5" t="str">
        <f ca="1">MASTER_AR_REPORT!K27</f>
        <v>31-60 Days</v>
      </c>
      <c r="I18" s="5" t="str">
        <f ca="1">MASTER_AR_REPORT!L27</f>
        <v>Low-Medium</v>
      </c>
      <c r="J18" s="5" t="str">
        <f ca="1">MASTER_AR_REPORT!M27</f>
        <v>Medium</v>
      </c>
      <c r="K18" s="5" t="s">
        <v>63</v>
      </c>
      <c r="L18" s="5"/>
      <c r="M18" s="5"/>
    </row>
    <row r="19" spans="1:13">
      <c r="A19" s="2">
        <v>15</v>
      </c>
      <c r="B19" s="2" t="str">
        <f>IF(MASTER_AR_REPORT!E28="","",MASTER_AR_REPORT!E28)</f>
        <v>RAMESH WATCH CO PVT LTD K-INORBIT</v>
      </c>
      <c r="C19" s="2" t="str">
        <f>IF(MASTER_AR_REPORT!D28="","",MASTER_AR_REPORT!D28)</f>
        <v>SLGCW/1236/25-26</v>
      </c>
      <c r="D19" s="12">
        <f>MASTER_AR_REPORT!C28</f>
        <v>46076</v>
      </c>
      <c r="E19" s="12">
        <f>MASTER_AR_REPORT!G28</f>
        <v>46121</v>
      </c>
      <c r="F19" s="3">
        <f>MASTER_AR_REPORT!I28</f>
        <v>7296</v>
      </c>
      <c r="G19" s="2">
        <f ca="1">MASTER_AR_REPORT!J28</f>
        <v>43</v>
      </c>
      <c r="H19" s="2" t="str">
        <f ca="1">MASTER_AR_REPORT!K28</f>
        <v>31-60 Days</v>
      </c>
      <c r="I19" s="2" t="str">
        <f ca="1">MASTER_AR_REPORT!L28</f>
        <v>Low-Medium</v>
      </c>
      <c r="J19" s="2" t="str">
        <f ca="1">MASTER_AR_REPORT!M28</f>
        <v>Medium</v>
      </c>
      <c r="K19" s="2" t="s">
        <v>63</v>
      </c>
      <c r="L19" s="2"/>
      <c r="M19" s="2"/>
    </row>
    <row r="20" spans="1:13">
      <c r="A20" s="5">
        <v>16</v>
      </c>
      <c r="B20" s="5" t="str">
        <f>IF(MASTER_AR_REPORT!E52="","",MASTER_AR_REPORT!E52)</f>
        <v>RAVINDRA WATCH REPAIR</v>
      </c>
      <c r="C20" s="5" t="str">
        <f>IF(MASTER_AR_REPORT!D52="","",MASTER_AR_REPORT!D52)</f>
        <v>SLGCW/969/24-25</v>
      </c>
      <c r="D20" s="11">
        <f>MASTER_AR_REPORT!C52</f>
        <v>45682</v>
      </c>
      <c r="E20" s="11">
        <f>MASTER_AR_REPORT!G52</f>
        <v>45682</v>
      </c>
      <c r="F20" s="6">
        <f>MASTER_AR_REPORT!I52</f>
        <v>271</v>
      </c>
      <c r="G20" s="5">
        <f ca="1">MASTER_AR_REPORT!J52</f>
        <v>482</v>
      </c>
      <c r="H20" s="5" t="str">
        <f ca="1">MASTER_AR_REPORT!K52</f>
        <v>90+ Days</v>
      </c>
      <c r="I20" s="5" t="str">
        <f ca="1">MASTER_AR_REPORT!L52</f>
        <v>HIGH RISK</v>
      </c>
      <c r="J20" s="5" t="str">
        <f ca="1">MASTER_AR_REPORT!M52</f>
        <v>Immediate Action</v>
      </c>
      <c r="K20" s="5" t="s">
        <v>63</v>
      </c>
      <c r="L20" s="5"/>
      <c r="M20" s="5"/>
    </row>
    <row r="21" spans="1:13">
      <c r="A21" s="2">
        <v>17</v>
      </c>
      <c r="B21" s="2" t="str">
        <f>IF(MASTER_AR_REPORT!E53="","",MASTER_AR_REPORT!E53)</f>
        <v>RAVINDRA WATCH REPAIR</v>
      </c>
      <c r="C21" s="2" t="str">
        <f>IF(MASTER_AR_REPORT!D53="","",MASTER_AR_REPORT!D53)</f>
        <v>SLGCW/768/25-26</v>
      </c>
      <c r="D21" s="12">
        <f>MASTER_AR_REPORT!C53</f>
        <v>45951</v>
      </c>
      <c r="E21" s="12">
        <f>MASTER_AR_REPORT!G53</f>
        <v>45952</v>
      </c>
      <c r="F21" s="3">
        <f>MASTER_AR_REPORT!I53</f>
        <v>272</v>
      </c>
      <c r="G21" s="2">
        <f ca="1">MASTER_AR_REPORT!J53</f>
        <v>212</v>
      </c>
      <c r="H21" s="2" t="str">
        <f ca="1">MASTER_AR_REPORT!K53</f>
        <v>90+ Days</v>
      </c>
      <c r="I21" s="2" t="str">
        <f ca="1">MASTER_AR_REPORT!L53</f>
        <v>HIGH RISK</v>
      </c>
      <c r="J21" s="2" t="str">
        <f ca="1">MASTER_AR_REPORT!M53</f>
        <v>Immediate Action</v>
      </c>
      <c r="K21" s="2" t="s">
        <v>63</v>
      </c>
      <c r="L21" s="2"/>
      <c r="M21" s="2"/>
    </row>
    <row r="22" spans="1:13">
      <c r="A22" s="5">
        <v>18</v>
      </c>
      <c r="B22" s="5" t="str">
        <f>IF(MASTER_AR_REPORT!E55="","",MASTER_AR_REPORT!E55)</f>
        <v>SS WATCHES AND SUNGLASSES</v>
      </c>
      <c r="C22" s="5" t="str">
        <f>IF(MASTER_AR_REPORT!D55="","",MASTER_AR_REPORT!D55)</f>
        <v>SLGCW/1263/25-26</v>
      </c>
      <c r="D22" s="11">
        <f>MASTER_AR_REPORT!C55</f>
        <v>46102</v>
      </c>
      <c r="E22" s="11">
        <f>MASTER_AR_REPORT!G55</f>
        <v>46102</v>
      </c>
      <c r="F22" s="6">
        <f>MASTER_AR_REPORT!I55</f>
        <v>12806</v>
      </c>
      <c r="G22" s="5">
        <f ca="1">MASTER_AR_REPORT!J55</f>
        <v>62</v>
      </c>
      <c r="H22" s="5" t="str">
        <f ca="1">MASTER_AR_REPORT!K55</f>
        <v>61-90 Days</v>
      </c>
      <c r="I22" s="5" t="str">
        <f ca="1">MASTER_AR_REPORT!L55</f>
        <v>Medium</v>
      </c>
      <c r="J22" s="5" t="str">
        <f ca="1">MASTER_AR_REPORT!M55</f>
        <v>Urgent</v>
      </c>
      <c r="K22" s="5" t="s">
        <v>63</v>
      </c>
      <c r="L22" s="5"/>
      <c r="M22" s="5"/>
    </row>
    <row r="23" spans="1:13">
      <c r="A23" s="2">
        <v>19</v>
      </c>
      <c r="B23" s="2" t="str">
        <f>IF(MASTER_AR_REPORT!E59="","",MASTER_AR_REPORT!E59)</f>
        <v>AMBIKA STATIONERY</v>
      </c>
      <c r="C23" s="2" t="str">
        <f>IF(MASTER_AR_REPORT!D59="","",MASTER_AR_REPORT!D59)</f>
        <v>C-SLG/2384/25-26</v>
      </c>
      <c r="D23" s="12">
        <f>MASTER_AR_REPORT!C59</f>
        <v>46095</v>
      </c>
      <c r="E23" s="12">
        <f>MASTER_AR_REPORT!G59</f>
        <v>46120</v>
      </c>
      <c r="F23" s="3">
        <f>MASTER_AR_REPORT!I59</f>
        <v>8075</v>
      </c>
      <c r="G23" s="2">
        <f ca="1">MASTER_AR_REPORT!J59</f>
        <v>44</v>
      </c>
      <c r="H23" s="2" t="str">
        <f ca="1">MASTER_AR_REPORT!K59</f>
        <v>31-60 Days</v>
      </c>
      <c r="I23" s="2" t="str">
        <f ca="1">MASTER_AR_REPORT!L59</f>
        <v>Low-Medium</v>
      </c>
      <c r="J23" s="2" t="str">
        <f ca="1">MASTER_AR_REPORT!M59</f>
        <v>Medium</v>
      </c>
      <c r="K23" s="2" t="s">
        <v>63</v>
      </c>
      <c r="L23" s="2"/>
      <c r="M23" s="2"/>
    </row>
    <row r="24" spans="1:13">
      <c r="A24" s="5">
        <v>20</v>
      </c>
      <c r="B24" s="5" t="str">
        <f>IF(MASTER_AR_REPORT!E60="","",MASTER_AR_REPORT!E60)</f>
        <v>BEST ENTERPRISES</v>
      </c>
      <c r="C24" s="5" t="str">
        <f>IF(MASTER_AR_REPORT!D60="","",MASTER_AR_REPORT!D60)</f>
        <v>C-SLG/1844/25-26</v>
      </c>
      <c r="D24" s="11">
        <f>MASTER_AR_REPORT!C60</f>
        <v>45996</v>
      </c>
      <c r="E24" s="11">
        <f>MASTER_AR_REPORT!G60</f>
        <v>46021</v>
      </c>
      <c r="F24" s="6">
        <f>MASTER_AR_REPORT!I60</f>
        <v>30511</v>
      </c>
      <c r="G24" s="5">
        <f ca="1">MASTER_AR_REPORT!J60</f>
        <v>143</v>
      </c>
      <c r="H24" s="5" t="str">
        <f ca="1">MASTER_AR_REPORT!K60</f>
        <v>90+ Days</v>
      </c>
      <c r="I24" s="5" t="str">
        <f ca="1">MASTER_AR_REPORT!L60</f>
        <v>HIGH RISK</v>
      </c>
      <c r="J24" s="5" t="str">
        <f ca="1">MASTER_AR_REPORT!M60</f>
        <v>Immediate Action</v>
      </c>
      <c r="K24" s="5" t="s">
        <v>63</v>
      </c>
      <c r="L24" s="5"/>
      <c r="M24" s="5"/>
    </row>
    <row r="25" spans="1:13">
      <c r="A25" s="2">
        <v>21</v>
      </c>
      <c r="B25" s="2" t="str">
        <f>IF(MASTER_AR_REPORT!E61="","",MASTER_AR_REPORT!E61)</f>
        <v>Bhavani Stationery and Gift</v>
      </c>
      <c r="C25" s="2" t="str">
        <f>IF(MASTER_AR_REPORT!D61="","",MASTER_AR_REPORT!D61)</f>
        <v>C-SLG/2429/25-26</v>
      </c>
      <c r="D25" s="12">
        <f>MASTER_AR_REPORT!C61</f>
        <v>46105</v>
      </c>
      <c r="E25" s="12">
        <f>MASTER_AR_REPORT!G61</f>
        <v>46130</v>
      </c>
      <c r="F25" s="3">
        <f>MASTER_AR_REPORT!I61</f>
        <v>1186</v>
      </c>
      <c r="G25" s="2">
        <f ca="1">MASTER_AR_REPORT!J61</f>
        <v>34</v>
      </c>
      <c r="H25" s="2" t="str">
        <f ca="1">MASTER_AR_REPORT!K61</f>
        <v>31-60 Days</v>
      </c>
      <c r="I25" s="2" t="str">
        <f ca="1">MASTER_AR_REPORT!L61</f>
        <v>Low-Medium</v>
      </c>
      <c r="J25" s="2" t="str">
        <f ca="1">MASTER_AR_REPORT!M61</f>
        <v>Medium</v>
      </c>
      <c r="K25" s="2" t="s">
        <v>63</v>
      </c>
      <c r="L25" s="2"/>
      <c r="M25" s="2"/>
    </row>
    <row r="26" spans="1:13">
      <c r="A26" s="5">
        <v>22</v>
      </c>
      <c r="B26" s="5" t="str">
        <f>IF(MASTER_AR_REPORT!E63="","",MASTER_AR_REPORT!E63)</f>
        <v>Dachapally Book Centre</v>
      </c>
      <c r="C26" s="5" t="str">
        <f>IF(MASTER_AR_REPORT!D63="","",MASTER_AR_REPORT!D63)</f>
        <v>C-SLG/2427/25-26</v>
      </c>
      <c r="D26" s="11">
        <f>MASTER_AR_REPORT!C63</f>
        <v>46105</v>
      </c>
      <c r="E26" s="11">
        <f>MASTER_AR_REPORT!G63</f>
        <v>46130</v>
      </c>
      <c r="F26" s="6">
        <f>MASTER_AR_REPORT!I63</f>
        <v>5152</v>
      </c>
      <c r="G26" s="5">
        <f ca="1">MASTER_AR_REPORT!J63</f>
        <v>34</v>
      </c>
      <c r="H26" s="5" t="str">
        <f ca="1">MASTER_AR_REPORT!K63</f>
        <v>31-60 Days</v>
      </c>
      <c r="I26" s="5" t="str">
        <f ca="1">MASTER_AR_REPORT!L63</f>
        <v>Low-Medium</v>
      </c>
      <c r="J26" s="5" t="str">
        <f ca="1">MASTER_AR_REPORT!M63</f>
        <v>Medium</v>
      </c>
      <c r="K26" s="5" t="s">
        <v>63</v>
      </c>
      <c r="L26" s="5"/>
      <c r="M26" s="5"/>
    </row>
    <row r="27" spans="1:13">
      <c r="A27" s="2">
        <v>23</v>
      </c>
      <c r="B27" s="2" t="str">
        <f>IF(MASTER_AR_REPORT!E64="","",MASTER_AR_REPORT!E64)</f>
        <v>Deccan Book Depot and Stationery</v>
      </c>
      <c r="C27" s="2" t="str">
        <f>IF(MASTER_AR_REPORT!D64="","",MASTER_AR_REPORT!D64)</f>
        <v>C-SLG/1655/25-26</v>
      </c>
      <c r="D27" s="12">
        <f>MASTER_AR_REPORT!C64</f>
        <v>45975</v>
      </c>
      <c r="E27" s="12">
        <f>MASTER_AR_REPORT!G64</f>
        <v>46000</v>
      </c>
      <c r="F27" s="3">
        <f>MASTER_AR_REPORT!I64</f>
        <v>2900</v>
      </c>
      <c r="G27" s="2">
        <f ca="1">MASTER_AR_REPORT!J64</f>
        <v>164</v>
      </c>
      <c r="H27" s="2" t="str">
        <f ca="1">MASTER_AR_REPORT!K64</f>
        <v>90+ Days</v>
      </c>
      <c r="I27" s="2" t="str">
        <f ca="1">MASTER_AR_REPORT!L64</f>
        <v>HIGH RISK</v>
      </c>
      <c r="J27" s="2" t="str">
        <f ca="1">MASTER_AR_REPORT!M64</f>
        <v>Immediate Action</v>
      </c>
      <c r="K27" s="2" t="s">
        <v>63</v>
      </c>
      <c r="L27" s="2"/>
      <c r="M27" s="2"/>
    </row>
    <row r="28" spans="1:13">
      <c r="A28" s="5">
        <v>24</v>
      </c>
      <c r="B28" s="5" t="str">
        <f>IF(MASTER_AR_REPORT!E65="","",MASTER_AR_REPORT!E65)</f>
        <v>Deccan Book Depot and Stationery</v>
      </c>
      <c r="C28" s="5" t="str">
        <f>IF(MASTER_AR_REPORT!D65="","",MASTER_AR_REPORT!D65)</f>
        <v>C-SLG/2235/25-26</v>
      </c>
      <c r="D28" s="11">
        <f>MASTER_AR_REPORT!C65</f>
        <v>46069</v>
      </c>
      <c r="E28" s="11">
        <f>MASTER_AR_REPORT!G65</f>
        <v>46094</v>
      </c>
      <c r="F28" s="6">
        <f>MASTER_AR_REPORT!I65</f>
        <v>2044</v>
      </c>
      <c r="G28" s="5">
        <f ca="1">MASTER_AR_REPORT!J65</f>
        <v>70</v>
      </c>
      <c r="H28" s="5" t="str">
        <f ca="1">MASTER_AR_REPORT!K65</f>
        <v>61-90 Days</v>
      </c>
      <c r="I28" s="5" t="str">
        <f ca="1">MASTER_AR_REPORT!L65</f>
        <v>Medium</v>
      </c>
      <c r="J28" s="5" t="str">
        <f ca="1">MASTER_AR_REPORT!M65</f>
        <v>Urgent</v>
      </c>
      <c r="K28" s="5" t="s">
        <v>63</v>
      </c>
      <c r="L28" s="5"/>
      <c r="M28" s="5"/>
    </row>
    <row r="29" spans="1:13">
      <c r="A29" s="2">
        <v>25</v>
      </c>
      <c r="B29" s="2" t="str">
        <f>IF(MASTER_AR_REPORT!E66="","",MASTER_AR_REPORT!E66)</f>
        <v>Dilip Super Market (Manikonda)</v>
      </c>
      <c r="C29" s="2" t="str">
        <f>IF(MASTER_AR_REPORT!D66="","",MASTER_AR_REPORT!D66)</f>
        <v>C-SLG/2344/25-26</v>
      </c>
      <c r="D29" s="12">
        <f>MASTER_AR_REPORT!C66</f>
        <v>46088</v>
      </c>
      <c r="E29" s="12">
        <f>MASTER_AR_REPORT!G66</f>
        <v>46113</v>
      </c>
      <c r="F29" s="3">
        <f>MASTER_AR_REPORT!I66</f>
        <v>2472</v>
      </c>
      <c r="G29" s="2">
        <f ca="1">MASTER_AR_REPORT!J66</f>
        <v>51</v>
      </c>
      <c r="H29" s="2" t="str">
        <f ca="1">MASTER_AR_REPORT!K66</f>
        <v>31-60 Days</v>
      </c>
      <c r="I29" s="2" t="str">
        <f ca="1">MASTER_AR_REPORT!L66</f>
        <v>Low-Medium</v>
      </c>
      <c r="J29" s="2" t="str">
        <f ca="1">MASTER_AR_REPORT!M66</f>
        <v>Medium</v>
      </c>
      <c r="K29" s="2" t="s">
        <v>63</v>
      </c>
      <c r="L29" s="2"/>
      <c r="M29" s="2"/>
    </row>
    <row r="30" spans="1:13">
      <c r="A30" s="5">
        <v>26</v>
      </c>
      <c r="B30" s="5" t="str">
        <f>IF(MASTER_AR_REPORT!E67="","",MASTER_AR_REPORT!E67)</f>
        <v>Ever Green Book Centre</v>
      </c>
      <c r="C30" s="5" t="str">
        <f>IF(MASTER_AR_REPORT!D67="","",MASTER_AR_REPORT!D67)</f>
        <v>C-SLG/2432/25-25</v>
      </c>
      <c r="D30" s="11">
        <f>MASTER_AR_REPORT!C67</f>
        <v>46105</v>
      </c>
      <c r="E30" s="11">
        <f>MASTER_AR_REPORT!G67</f>
        <v>46130</v>
      </c>
      <c r="F30" s="6">
        <f>MASTER_AR_REPORT!I67</f>
        <v>381</v>
      </c>
      <c r="G30" s="5">
        <f ca="1">MASTER_AR_REPORT!J67</f>
        <v>34</v>
      </c>
      <c r="H30" s="5" t="str">
        <f ca="1">MASTER_AR_REPORT!K67</f>
        <v>31-60 Days</v>
      </c>
      <c r="I30" s="5" t="str">
        <f ca="1">MASTER_AR_REPORT!L67</f>
        <v>Low-Medium</v>
      </c>
      <c r="J30" s="5" t="str">
        <f ca="1">MASTER_AR_REPORT!M67</f>
        <v>Medium</v>
      </c>
      <c r="K30" s="5" t="s">
        <v>63</v>
      </c>
      <c r="L30" s="5"/>
      <c r="M30" s="5"/>
    </row>
    <row r="31" spans="1:13">
      <c r="A31" s="2">
        <v>27</v>
      </c>
      <c r="B31" s="2" t="str">
        <f>IF(MASTER_AR_REPORT!E69="","",MASTER_AR_REPORT!E69)</f>
        <v>GLOBAL STATIONERY</v>
      </c>
      <c r="C31" s="2" t="str">
        <f>IF(MASTER_AR_REPORT!D69="","",MASTER_AR_REPORT!D69)</f>
        <v>C-SLG/2419/25-26</v>
      </c>
      <c r="D31" s="12">
        <f>MASTER_AR_REPORT!C69</f>
        <v>46104</v>
      </c>
      <c r="E31" s="12">
        <f>MASTER_AR_REPORT!G69</f>
        <v>46129</v>
      </c>
      <c r="F31" s="3">
        <f>MASTER_AR_REPORT!I69</f>
        <v>2</v>
      </c>
      <c r="G31" s="2">
        <f ca="1">MASTER_AR_REPORT!J69</f>
        <v>35</v>
      </c>
      <c r="H31" s="2" t="str">
        <f ca="1">MASTER_AR_REPORT!K69</f>
        <v>31-60 Days</v>
      </c>
      <c r="I31" s="2" t="str">
        <f ca="1">MASTER_AR_REPORT!L69</f>
        <v>Low-Medium</v>
      </c>
      <c r="J31" s="2" t="str">
        <f ca="1">MASTER_AR_REPORT!M69</f>
        <v>Medium</v>
      </c>
      <c r="K31" s="2" t="s">
        <v>63</v>
      </c>
      <c r="L31" s="2"/>
      <c r="M31" s="2"/>
    </row>
    <row r="32" spans="1:13">
      <c r="A32" s="5">
        <v>28</v>
      </c>
      <c r="B32" s="5" t="str">
        <f>IF(MASTER_AR_REPORT!E70="","",MASTER_AR_REPORT!E70)</f>
        <v>GS Enterprises</v>
      </c>
      <c r="C32" s="5" t="str">
        <f>IF(MASTER_AR_REPORT!D70="","",MASTER_AR_REPORT!D70)</f>
        <v>C-SLG/2385/25-26</v>
      </c>
      <c r="D32" s="11">
        <f>MASTER_AR_REPORT!C70</f>
        <v>46095</v>
      </c>
      <c r="E32" s="11">
        <f>MASTER_AR_REPORT!G70</f>
        <v>46120</v>
      </c>
      <c r="F32" s="6">
        <f>MASTER_AR_REPORT!I70</f>
        <v>2561</v>
      </c>
      <c r="G32" s="5">
        <f ca="1">MASTER_AR_REPORT!J70</f>
        <v>44</v>
      </c>
      <c r="H32" s="5" t="str">
        <f ca="1">MASTER_AR_REPORT!K70</f>
        <v>31-60 Days</v>
      </c>
      <c r="I32" s="5" t="str">
        <f ca="1">MASTER_AR_REPORT!L70</f>
        <v>Low-Medium</v>
      </c>
      <c r="J32" s="5" t="str">
        <f ca="1">MASTER_AR_REPORT!M70</f>
        <v>Medium</v>
      </c>
      <c r="K32" s="5" t="s">
        <v>63</v>
      </c>
      <c r="L32" s="5"/>
      <c r="M32" s="5"/>
    </row>
    <row r="33" spans="1:13">
      <c r="A33" s="2">
        <v>29</v>
      </c>
      <c r="B33" s="2" t="str">
        <f>IF(MASTER_AR_REPORT!E71="","",MASTER_AR_REPORT!E71)</f>
        <v>Hasti Stationery Mart (Madhapur)</v>
      </c>
      <c r="C33" s="2" t="str">
        <f>IF(MASTER_AR_REPORT!D71="","",MASTER_AR_REPORT!D71)</f>
        <v>C-SLG/2351/25-26</v>
      </c>
      <c r="D33" s="12">
        <f>MASTER_AR_REPORT!C71</f>
        <v>46090</v>
      </c>
      <c r="E33" s="12">
        <f>MASTER_AR_REPORT!G71</f>
        <v>46115</v>
      </c>
      <c r="F33" s="3">
        <f>MASTER_AR_REPORT!I71</f>
        <v>4181</v>
      </c>
      <c r="G33" s="2">
        <f ca="1">MASTER_AR_REPORT!J71</f>
        <v>49</v>
      </c>
      <c r="H33" s="2" t="str">
        <f ca="1">MASTER_AR_REPORT!K71</f>
        <v>31-60 Days</v>
      </c>
      <c r="I33" s="2" t="str">
        <f ca="1">MASTER_AR_REPORT!L71</f>
        <v>Low-Medium</v>
      </c>
      <c r="J33" s="2" t="str">
        <f ca="1">MASTER_AR_REPORT!M71</f>
        <v>Medium</v>
      </c>
      <c r="K33" s="2" t="s">
        <v>63</v>
      </c>
      <c r="L33" s="2"/>
      <c r="M33" s="2"/>
    </row>
    <row r="34" spans="1:13">
      <c r="A34" s="5">
        <v>30</v>
      </c>
      <c r="B34" s="5" t="str">
        <f>IF(MASTER_AR_REPORT!E72="","",MASTER_AR_REPORT!E72)</f>
        <v>Hasti Stationery Mart (Madhapur)</v>
      </c>
      <c r="C34" s="5" t="str">
        <f>IF(MASTER_AR_REPORT!D72="","",MASTER_AR_REPORT!D72)</f>
        <v>C-SLG/2443/25-26</v>
      </c>
      <c r="D34" s="11">
        <f>MASTER_AR_REPORT!C72</f>
        <v>46107</v>
      </c>
      <c r="E34" s="11">
        <f>MASTER_AR_REPORT!G72</f>
        <v>46132</v>
      </c>
      <c r="F34" s="6">
        <f>MASTER_AR_REPORT!I72</f>
        <v>947</v>
      </c>
      <c r="G34" s="5">
        <f ca="1">MASTER_AR_REPORT!J72</f>
        <v>32</v>
      </c>
      <c r="H34" s="5" t="str">
        <f ca="1">MASTER_AR_REPORT!K72</f>
        <v>31-60 Days</v>
      </c>
      <c r="I34" s="5" t="str">
        <f ca="1">MASTER_AR_REPORT!L72</f>
        <v>Low-Medium</v>
      </c>
      <c r="J34" s="5" t="str">
        <f ca="1">MASTER_AR_REPORT!M72</f>
        <v>Medium</v>
      </c>
      <c r="K34" s="5" t="s">
        <v>63</v>
      </c>
      <c r="L34" s="5"/>
      <c r="M34" s="5"/>
    </row>
    <row r="35" spans="1:13">
      <c r="A35" s="2">
        <v>31</v>
      </c>
      <c r="B35" s="2" t="str">
        <f>IF(MASTER_AR_REPORT!E73="","",MASTER_AR_REPORT!E73)</f>
        <v>Hyderabad Communications</v>
      </c>
      <c r="C35" s="2" t="str">
        <f>IF(MASTER_AR_REPORT!D73="","",MASTER_AR_REPORT!D73)</f>
        <v>C-SLG/631/24-25</v>
      </c>
      <c r="D35" s="12">
        <f>MASTER_AR_REPORT!C73</f>
        <v>45489</v>
      </c>
      <c r="E35" s="12">
        <f>MASTER_AR_REPORT!G73</f>
        <v>45514</v>
      </c>
      <c r="F35" s="3">
        <f>MASTER_AR_REPORT!I73</f>
        <v>34687</v>
      </c>
      <c r="G35" s="2">
        <f ca="1">MASTER_AR_REPORT!J73</f>
        <v>650</v>
      </c>
      <c r="H35" s="2" t="str">
        <f ca="1">MASTER_AR_REPORT!K73</f>
        <v>90+ Days</v>
      </c>
      <c r="I35" s="2" t="str">
        <f ca="1">MASTER_AR_REPORT!L73</f>
        <v>HIGH RISK</v>
      </c>
      <c r="J35" s="2" t="str">
        <f ca="1">MASTER_AR_REPORT!M73</f>
        <v>Immediate Action</v>
      </c>
      <c r="K35" s="2" t="s">
        <v>63</v>
      </c>
      <c r="L35" s="2"/>
      <c r="M35" s="2"/>
    </row>
    <row r="36" spans="1:13">
      <c r="A36" s="5">
        <v>32</v>
      </c>
      <c r="B36" s="5" t="str">
        <f>IF(MASTER_AR_REPORT!E74="","",MASTER_AR_REPORT!E74)</f>
        <v>Hyderabad Communications</v>
      </c>
      <c r="C36" s="5" t="str">
        <f>IF(MASTER_AR_REPORT!D74="","",MASTER_AR_REPORT!D74)</f>
        <v>C-SLG/800/24-25</v>
      </c>
      <c r="D36" s="11">
        <f>MASTER_AR_REPORT!C74</f>
        <v>45510</v>
      </c>
      <c r="E36" s="11">
        <f>MASTER_AR_REPORT!G74</f>
        <v>45535</v>
      </c>
      <c r="F36" s="6">
        <f>MASTER_AR_REPORT!I74</f>
        <v>596</v>
      </c>
      <c r="G36" s="5">
        <f ca="1">MASTER_AR_REPORT!J74</f>
        <v>629</v>
      </c>
      <c r="H36" s="5" t="str">
        <f ca="1">MASTER_AR_REPORT!K74</f>
        <v>90+ Days</v>
      </c>
      <c r="I36" s="5" t="str">
        <f ca="1">MASTER_AR_REPORT!L74</f>
        <v>HIGH RISK</v>
      </c>
      <c r="J36" s="5" t="str">
        <f ca="1">MASTER_AR_REPORT!M74</f>
        <v>Immediate Action</v>
      </c>
      <c r="K36" s="5" t="s">
        <v>63</v>
      </c>
      <c r="L36" s="5"/>
      <c r="M36" s="5"/>
    </row>
    <row r="37" spans="1:13">
      <c r="A37" s="2">
        <v>33</v>
      </c>
      <c r="B37" s="2" t="str">
        <f>IF(MASTER_AR_REPORT!E75="","",MASTER_AR_REPORT!E75)</f>
        <v>Hyderabad Communications</v>
      </c>
      <c r="C37" s="2" t="str">
        <f>IF(MASTER_AR_REPORT!D75="","",MASTER_AR_REPORT!D75)</f>
        <v>C-SLG/979/24-25</v>
      </c>
      <c r="D37" s="12">
        <f>MASTER_AR_REPORT!C75</f>
        <v>45533</v>
      </c>
      <c r="E37" s="12">
        <f>MASTER_AR_REPORT!G75</f>
        <v>45558</v>
      </c>
      <c r="F37" s="3">
        <f>MASTER_AR_REPORT!I75</f>
        <v>24001</v>
      </c>
      <c r="G37" s="2">
        <f ca="1">MASTER_AR_REPORT!J75</f>
        <v>606</v>
      </c>
      <c r="H37" s="2" t="str">
        <f ca="1">MASTER_AR_REPORT!K75</f>
        <v>90+ Days</v>
      </c>
      <c r="I37" s="2" t="str">
        <f ca="1">MASTER_AR_REPORT!L75</f>
        <v>HIGH RISK</v>
      </c>
      <c r="J37" s="2" t="str">
        <f ca="1">MASTER_AR_REPORT!M75</f>
        <v>Immediate Action</v>
      </c>
      <c r="K37" s="2" t="s">
        <v>63</v>
      </c>
      <c r="L37" s="2"/>
      <c r="M37" s="2"/>
    </row>
    <row r="38" spans="1:13">
      <c r="A38" s="5">
        <v>34</v>
      </c>
      <c r="B38" s="5" t="str">
        <f>IF(MASTER_AR_REPORT!E79="","",MASTER_AR_REPORT!E79)</f>
        <v>Kaanuka Collection</v>
      </c>
      <c r="C38" s="5" t="str">
        <f>IF(MASTER_AR_REPORT!D79="","",MASTER_AR_REPORT!D79)</f>
        <v>C-SLG/1203/25-26</v>
      </c>
      <c r="D38" s="11">
        <f>MASTER_AR_REPORT!C79</f>
        <v>45915</v>
      </c>
      <c r="E38" s="11">
        <f>MASTER_AR_REPORT!G79</f>
        <v>45940</v>
      </c>
      <c r="F38" s="6">
        <f>MASTER_AR_REPORT!I79</f>
        <v>1771</v>
      </c>
      <c r="G38" s="5">
        <f ca="1">MASTER_AR_REPORT!J79</f>
        <v>224</v>
      </c>
      <c r="H38" s="5" t="str">
        <f ca="1">MASTER_AR_REPORT!K79</f>
        <v>90+ Days</v>
      </c>
      <c r="I38" s="5" t="str">
        <f ca="1">MASTER_AR_REPORT!L79</f>
        <v>HIGH RISK</v>
      </c>
      <c r="J38" s="5" t="str">
        <f ca="1">MASTER_AR_REPORT!M79</f>
        <v>Immediate Action</v>
      </c>
      <c r="K38" s="5" t="s">
        <v>63</v>
      </c>
      <c r="L38" s="5"/>
      <c r="M38" s="5"/>
    </row>
    <row r="39" spans="1:13">
      <c r="A39" s="2">
        <v>35</v>
      </c>
      <c r="B39" s="2" t="str">
        <f>IF(MASTER_AR_REPORT!E83="","",MASTER_AR_REPORT!E83)</f>
        <v>KITSONS-GACHIBOWLI</v>
      </c>
      <c r="C39" s="2" t="str">
        <f>IF(MASTER_AR_REPORT!D83="","",MASTER_AR_REPORT!D83)</f>
        <v>C-SLG/1754/25-26</v>
      </c>
      <c r="D39" s="12">
        <f>MASTER_AR_REPORT!C83</f>
        <v>45985</v>
      </c>
      <c r="E39" s="12">
        <f>MASTER_AR_REPORT!G83</f>
        <v>46010</v>
      </c>
      <c r="F39" s="3">
        <f>MASTER_AR_REPORT!I83</f>
        <v>180</v>
      </c>
      <c r="G39" s="2">
        <f ca="1">MASTER_AR_REPORT!J83</f>
        <v>154</v>
      </c>
      <c r="H39" s="2" t="str">
        <f ca="1">MASTER_AR_REPORT!K83</f>
        <v>90+ Days</v>
      </c>
      <c r="I39" s="2" t="str">
        <f ca="1">MASTER_AR_REPORT!L83</f>
        <v>HIGH RISK</v>
      </c>
      <c r="J39" s="2" t="str">
        <f ca="1">MASTER_AR_REPORT!M83</f>
        <v>Immediate Action</v>
      </c>
      <c r="K39" s="2" t="s">
        <v>63</v>
      </c>
      <c r="L39" s="2"/>
      <c r="M39" s="2"/>
    </row>
    <row r="40" spans="1:13">
      <c r="A40" s="5">
        <v>36</v>
      </c>
      <c r="B40" s="5" t="str">
        <f>IF(MASTER_AR_REPORT!E84="","",MASTER_AR_REPORT!E84)</f>
        <v>KITSONS-GACHIBOWLI</v>
      </c>
      <c r="C40" s="5" t="str">
        <f>IF(MASTER_AR_REPORT!D84="","",MASTER_AR_REPORT!D84)</f>
        <v>C-SLG/2369/25-26</v>
      </c>
      <c r="D40" s="11">
        <f>MASTER_AR_REPORT!C84</f>
        <v>46092</v>
      </c>
      <c r="E40" s="11">
        <f>MASTER_AR_REPORT!G84</f>
        <v>46117</v>
      </c>
      <c r="F40" s="6">
        <f>MASTER_AR_REPORT!I84</f>
        <v>22195</v>
      </c>
      <c r="G40" s="5">
        <f ca="1">MASTER_AR_REPORT!J84</f>
        <v>47</v>
      </c>
      <c r="H40" s="5" t="str">
        <f ca="1">MASTER_AR_REPORT!K84</f>
        <v>31-60 Days</v>
      </c>
      <c r="I40" s="5" t="str">
        <f ca="1">MASTER_AR_REPORT!L84</f>
        <v>Low-Medium</v>
      </c>
      <c r="J40" s="5" t="str">
        <f ca="1">MASTER_AR_REPORT!M84</f>
        <v>Medium</v>
      </c>
      <c r="K40" s="5" t="s">
        <v>63</v>
      </c>
      <c r="L40" s="5"/>
      <c r="M40" s="5"/>
    </row>
    <row r="41" spans="1:13">
      <c r="A41" s="2">
        <v>37</v>
      </c>
      <c r="B41" s="2" t="str">
        <f>IF(MASTER_AR_REPORT!E85="","",MASTER_AR_REPORT!E85)</f>
        <v>KITSONS-GACHIBOWLI</v>
      </c>
      <c r="C41" s="2" t="str">
        <f>IF(MASTER_AR_REPORT!D85="","",MASTER_AR_REPORT!D85)</f>
        <v>C-SLG/2398/25-26</v>
      </c>
      <c r="D41" s="12">
        <f>MASTER_AR_REPORT!C85</f>
        <v>46098</v>
      </c>
      <c r="E41" s="12">
        <f>MASTER_AR_REPORT!G85</f>
        <v>46123</v>
      </c>
      <c r="F41" s="3">
        <f>MASTER_AR_REPORT!I85</f>
        <v>15116</v>
      </c>
      <c r="G41" s="2">
        <f ca="1">MASTER_AR_REPORT!J85</f>
        <v>41</v>
      </c>
      <c r="H41" s="2" t="str">
        <f ca="1">MASTER_AR_REPORT!K85</f>
        <v>31-60 Days</v>
      </c>
      <c r="I41" s="2" t="str">
        <f ca="1">MASTER_AR_REPORT!L85</f>
        <v>Low-Medium</v>
      </c>
      <c r="J41" s="2" t="str">
        <f ca="1">MASTER_AR_REPORT!M85</f>
        <v>Medium</v>
      </c>
      <c r="K41" s="2" t="s">
        <v>63</v>
      </c>
      <c r="L41" s="2"/>
      <c r="M41" s="2"/>
    </row>
    <row r="42" spans="1:13">
      <c r="A42" s="5">
        <v>38</v>
      </c>
      <c r="B42" s="5" t="str">
        <f>IF(MASTER_AR_REPORT!E86="","",MASTER_AR_REPORT!E86)</f>
        <v>KRANTI BOOK HOUSE</v>
      </c>
      <c r="C42" s="5" t="str">
        <f>IF(MASTER_AR_REPORT!D86="","",MASTER_AR_REPORT!D86)</f>
        <v>Bounce Charges-204</v>
      </c>
      <c r="D42" s="11">
        <f>MASTER_AR_REPORT!C86</f>
        <v>46010</v>
      </c>
      <c r="E42" s="11">
        <f>MASTER_AR_REPORT!G86</f>
        <v>46035</v>
      </c>
      <c r="F42" s="6">
        <f>MASTER_AR_REPORT!I86</f>
        <v>500</v>
      </c>
      <c r="G42" s="5">
        <f ca="1">MASTER_AR_REPORT!J86</f>
        <v>129</v>
      </c>
      <c r="H42" s="5" t="str">
        <f ca="1">MASTER_AR_REPORT!K86</f>
        <v>90+ Days</v>
      </c>
      <c r="I42" s="5" t="str">
        <f ca="1">MASTER_AR_REPORT!L86</f>
        <v>HIGH RISK</v>
      </c>
      <c r="J42" s="5" t="str">
        <f ca="1">MASTER_AR_REPORT!M86</f>
        <v>Immediate Action</v>
      </c>
      <c r="K42" s="5" t="s">
        <v>63</v>
      </c>
      <c r="L42" s="5"/>
      <c r="M42" s="5"/>
    </row>
    <row r="43" spans="1:13">
      <c r="A43" s="2">
        <v>39</v>
      </c>
      <c r="B43" s="2" t="str">
        <f>IF(MASTER_AR_REPORT!E87="","",MASTER_AR_REPORT!E87)</f>
        <v>Life Stationery (Bnj Hills)</v>
      </c>
      <c r="C43" s="2" t="str">
        <f>IF(MASTER_AR_REPORT!D87="","",MASTER_AR_REPORT!D87)</f>
        <v>C-SLG/2402/25-26</v>
      </c>
      <c r="D43" s="12">
        <f>MASTER_AR_REPORT!C87</f>
        <v>46098</v>
      </c>
      <c r="E43" s="12">
        <f>MASTER_AR_REPORT!G87</f>
        <v>46123</v>
      </c>
      <c r="F43" s="3">
        <f>MASTER_AR_REPORT!I87</f>
        <v>2440</v>
      </c>
      <c r="G43" s="2">
        <f ca="1">MASTER_AR_REPORT!J87</f>
        <v>41</v>
      </c>
      <c r="H43" s="2" t="str">
        <f ca="1">MASTER_AR_REPORT!K87</f>
        <v>31-60 Days</v>
      </c>
      <c r="I43" s="2" t="str">
        <f ca="1">MASTER_AR_REPORT!L87</f>
        <v>Low-Medium</v>
      </c>
      <c r="J43" s="2" t="str">
        <f ca="1">MASTER_AR_REPORT!M87</f>
        <v>Medium</v>
      </c>
      <c r="K43" s="2" t="s">
        <v>63</v>
      </c>
      <c r="L43" s="2"/>
      <c r="M43" s="2"/>
    </row>
    <row r="44" spans="1:13">
      <c r="A44" s="5">
        <v>40</v>
      </c>
      <c r="B44" s="5" t="str">
        <f>IF(MASTER_AR_REPORT!E89="","",MASTER_AR_REPORT!E89)</f>
        <v>MARUTHI ENTERPRISES</v>
      </c>
      <c r="C44" s="5" t="str">
        <f>IF(MASTER_AR_REPORT!D89="","",MASTER_AR_REPORT!D89)</f>
        <v>C-SLG/2440/25-26</v>
      </c>
      <c r="D44" s="11">
        <f>MASTER_AR_REPORT!C89</f>
        <v>46107</v>
      </c>
      <c r="E44" s="11">
        <f>MASTER_AR_REPORT!G89</f>
        <v>46132</v>
      </c>
      <c r="F44" s="6">
        <f>MASTER_AR_REPORT!I89</f>
        <v>8855</v>
      </c>
      <c r="G44" s="5">
        <f ca="1">MASTER_AR_REPORT!J89</f>
        <v>32</v>
      </c>
      <c r="H44" s="5" t="str">
        <f ca="1">MASTER_AR_REPORT!K89</f>
        <v>31-60 Days</v>
      </c>
      <c r="I44" s="5" t="str">
        <f ca="1">MASTER_AR_REPORT!L89</f>
        <v>Low-Medium</v>
      </c>
      <c r="J44" s="5" t="str">
        <f ca="1">MASTER_AR_REPORT!M89</f>
        <v>Medium</v>
      </c>
      <c r="K44" s="5" t="s">
        <v>63</v>
      </c>
      <c r="L44" s="5"/>
      <c r="M44" s="5"/>
    </row>
    <row r="45" spans="1:13">
      <c r="A45" s="2">
        <v>41</v>
      </c>
      <c r="B45" s="2" t="str">
        <f>IF(MASTER_AR_REPORT!E90="","",MASTER_AR_REPORT!E90)</f>
        <v>MASTER SAAB STATIONARY</v>
      </c>
      <c r="C45" s="2" t="str">
        <f>IF(MASTER_AR_REPORT!D90="","",MASTER_AR_REPORT!D90)</f>
        <v>C-SLG/2409/25-26</v>
      </c>
      <c r="D45" s="12">
        <f>MASTER_AR_REPORT!C90</f>
        <v>46099</v>
      </c>
      <c r="E45" s="12">
        <f>MASTER_AR_REPORT!G90</f>
        <v>46124</v>
      </c>
      <c r="F45" s="3">
        <f>MASTER_AR_REPORT!I90</f>
        <v>4079</v>
      </c>
      <c r="G45" s="2">
        <f ca="1">MASTER_AR_REPORT!J90</f>
        <v>40</v>
      </c>
      <c r="H45" s="2" t="str">
        <f ca="1">MASTER_AR_REPORT!K90</f>
        <v>31-60 Days</v>
      </c>
      <c r="I45" s="2" t="str">
        <f ca="1">MASTER_AR_REPORT!L90</f>
        <v>Low-Medium</v>
      </c>
      <c r="J45" s="2" t="str">
        <f ca="1">MASTER_AR_REPORT!M90</f>
        <v>Medium</v>
      </c>
      <c r="K45" s="2" t="s">
        <v>63</v>
      </c>
      <c r="L45" s="2"/>
      <c r="M45" s="2"/>
    </row>
    <row r="46" spans="1:13">
      <c r="A46" s="5">
        <v>42</v>
      </c>
      <c r="B46" s="5" t="str">
        <f>IF(MASTER_AR_REPORT!E91="","",MASTER_AR_REPORT!E91)</f>
        <v>Nagesh Stationery &amp; Xerox</v>
      </c>
      <c r="C46" s="5" t="str">
        <f>IF(MASTER_AR_REPORT!D91="","",MASTER_AR_REPORT!D91)</f>
        <v>C-SLG/1619/25-26</v>
      </c>
      <c r="D46" s="11">
        <f>MASTER_AR_REPORT!C91</f>
        <v>45968</v>
      </c>
      <c r="E46" s="11">
        <f>MASTER_AR_REPORT!G91</f>
        <v>45993</v>
      </c>
      <c r="F46" s="6">
        <f>MASTER_AR_REPORT!I91</f>
        <v>1680</v>
      </c>
      <c r="G46" s="5">
        <f ca="1">MASTER_AR_REPORT!J91</f>
        <v>171</v>
      </c>
      <c r="H46" s="5" t="str">
        <f ca="1">MASTER_AR_REPORT!K91</f>
        <v>90+ Days</v>
      </c>
      <c r="I46" s="5" t="str">
        <f ca="1">MASTER_AR_REPORT!L91</f>
        <v>HIGH RISK</v>
      </c>
      <c r="J46" s="5" t="str">
        <f ca="1">MASTER_AR_REPORT!M91</f>
        <v>Immediate Action</v>
      </c>
      <c r="K46" s="5" t="s">
        <v>63</v>
      </c>
      <c r="L46" s="5"/>
      <c r="M46" s="5"/>
    </row>
    <row r="47" spans="1:13">
      <c r="A47" s="2">
        <v>43</v>
      </c>
      <c r="B47" s="2" t="str">
        <f>IF(MASTER_AR_REPORT!E92="","",MASTER_AR_REPORT!E92)</f>
        <v>NavDurga Stationery</v>
      </c>
      <c r="C47" s="2" t="str">
        <f>IF(MASTER_AR_REPORT!D92="","",MASTER_AR_REPORT!D92)</f>
        <v>C-SLG/2389/25-26</v>
      </c>
      <c r="D47" s="12">
        <f>MASTER_AR_REPORT!C92</f>
        <v>46097</v>
      </c>
      <c r="E47" s="12">
        <f>MASTER_AR_REPORT!G92</f>
        <v>46122</v>
      </c>
      <c r="F47" s="3">
        <f>MASTER_AR_REPORT!I92</f>
        <v>6289</v>
      </c>
      <c r="G47" s="2">
        <f ca="1">MASTER_AR_REPORT!J92</f>
        <v>42</v>
      </c>
      <c r="H47" s="2" t="str">
        <f ca="1">MASTER_AR_REPORT!K92</f>
        <v>31-60 Days</v>
      </c>
      <c r="I47" s="2" t="str">
        <f ca="1">MASTER_AR_REPORT!L92</f>
        <v>Low-Medium</v>
      </c>
      <c r="J47" s="2" t="str">
        <f ca="1">MASTER_AR_REPORT!M92</f>
        <v>Medium</v>
      </c>
      <c r="K47" s="2" t="s">
        <v>63</v>
      </c>
      <c r="L47" s="2"/>
      <c r="M47" s="2"/>
    </row>
    <row r="48" spans="1:13">
      <c r="A48" s="5">
        <v>44</v>
      </c>
      <c r="B48" s="5" t="str">
        <f>IF(MASTER_AR_REPORT!E93="","",MASTER_AR_REPORT!E93)</f>
        <v>New Vidya Book Point  (Alkapur)</v>
      </c>
      <c r="C48" s="5" t="str">
        <f>IF(MASTER_AR_REPORT!D93="","",MASTER_AR_REPORT!D93)</f>
        <v>C-SLG/2311/25-26</v>
      </c>
      <c r="D48" s="11">
        <f>MASTER_AR_REPORT!C93</f>
        <v>46084</v>
      </c>
      <c r="E48" s="11">
        <f>MASTER_AR_REPORT!G93</f>
        <v>46109</v>
      </c>
      <c r="F48" s="6">
        <f>MASTER_AR_REPORT!I93</f>
        <v>9268</v>
      </c>
      <c r="G48" s="5">
        <f ca="1">MASTER_AR_REPORT!J93</f>
        <v>55</v>
      </c>
      <c r="H48" s="5" t="str">
        <f ca="1">MASTER_AR_REPORT!K93</f>
        <v>31-60 Days</v>
      </c>
      <c r="I48" s="5" t="str">
        <f ca="1">MASTER_AR_REPORT!L93</f>
        <v>Low-Medium</v>
      </c>
      <c r="J48" s="5" t="str">
        <f ca="1">MASTER_AR_REPORT!M93</f>
        <v>Medium</v>
      </c>
      <c r="K48" s="5" t="s">
        <v>63</v>
      </c>
      <c r="L48" s="5"/>
      <c r="M48" s="5"/>
    </row>
    <row r="49" spans="1:13">
      <c r="A49" s="2">
        <v>45</v>
      </c>
      <c r="B49" s="2" t="str">
        <f>IF(MASTER_AR_REPORT!E95="","",MASTER_AR_REPORT!E95)</f>
        <v>Popular Book House</v>
      </c>
      <c r="C49" s="2" t="str">
        <f>IF(MASTER_AR_REPORT!D95="","",MASTER_AR_REPORT!D95)</f>
        <v>C-SLG/2142/25-26</v>
      </c>
      <c r="D49" s="12">
        <f>MASTER_AR_REPORT!C95</f>
        <v>46051</v>
      </c>
      <c r="E49" s="12">
        <f>MASTER_AR_REPORT!G95</f>
        <v>46076</v>
      </c>
      <c r="F49" s="3">
        <f>MASTER_AR_REPORT!I95</f>
        <v>720</v>
      </c>
      <c r="G49" s="2">
        <f ca="1">MASTER_AR_REPORT!J95</f>
        <v>88</v>
      </c>
      <c r="H49" s="2" t="str">
        <f ca="1">MASTER_AR_REPORT!K95</f>
        <v>61-90 Days</v>
      </c>
      <c r="I49" s="2" t="str">
        <f ca="1">MASTER_AR_REPORT!L95</f>
        <v>Medium</v>
      </c>
      <c r="J49" s="2" t="str">
        <f ca="1">MASTER_AR_REPORT!M95</f>
        <v>Urgent</v>
      </c>
      <c r="K49" s="2" t="s">
        <v>63</v>
      </c>
      <c r="L49" s="2"/>
      <c r="M49" s="2"/>
    </row>
    <row r="50" spans="1:13">
      <c r="A50" s="5">
        <v>46</v>
      </c>
      <c r="B50" s="5" t="str">
        <f>IF(MASTER_AR_REPORT!E96="","",MASTER_AR_REPORT!E96)</f>
        <v>Popular Book House</v>
      </c>
      <c r="C50" s="5" t="str">
        <f>IF(MASTER_AR_REPORT!D96="","",MASTER_AR_REPORT!D96)</f>
        <v>C-SLG/2348/25-26</v>
      </c>
      <c r="D50" s="11">
        <f>MASTER_AR_REPORT!C96</f>
        <v>46088</v>
      </c>
      <c r="E50" s="11">
        <f>MASTER_AR_REPORT!G96</f>
        <v>46113</v>
      </c>
      <c r="F50" s="6">
        <f>MASTER_AR_REPORT!I96</f>
        <v>15106</v>
      </c>
      <c r="G50" s="5">
        <f ca="1">MASTER_AR_REPORT!J96</f>
        <v>51</v>
      </c>
      <c r="H50" s="5" t="str">
        <f ca="1">MASTER_AR_REPORT!K96</f>
        <v>31-60 Days</v>
      </c>
      <c r="I50" s="5" t="str">
        <f ca="1">MASTER_AR_REPORT!L96</f>
        <v>Low-Medium</v>
      </c>
      <c r="J50" s="5" t="str">
        <f ca="1">MASTER_AR_REPORT!M96</f>
        <v>Medium</v>
      </c>
      <c r="K50" s="5" t="s">
        <v>63</v>
      </c>
      <c r="L50" s="5"/>
      <c r="M50" s="5"/>
    </row>
    <row r="51" spans="1:13">
      <c r="A51" s="2">
        <v>47</v>
      </c>
      <c r="B51" s="2" t="str">
        <f>IF(MASTER_AR_REPORT!E97="","",MASTER_AR_REPORT!E97)</f>
        <v>RADIANT BOOK HOUSE</v>
      </c>
      <c r="C51" s="2" t="str">
        <f>IF(MASTER_AR_REPORT!D97="","",MASTER_AR_REPORT!D97)</f>
        <v>C-SLG/1122/25-26</v>
      </c>
      <c r="D51" s="12">
        <f>MASTER_AR_REPORT!C97</f>
        <v>45909</v>
      </c>
      <c r="E51" s="12">
        <f>MASTER_AR_REPORT!G97</f>
        <v>45934</v>
      </c>
      <c r="F51" s="3">
        <f>MASTER_AR_REPORT!I97</f>
        <v>7800</v>
      </c>
      <c r="G51" s="2">
        <f ca="1">MASTER_AR_REPORT!J97</f>
        <v>230</v>
      </c>
      <c r="H51" s="2" t="str">
        <f ca="1">MASTER_AR_REPORT!K97</f>
        <v>90+ Days</v>
      </c>
      <c r="I51" s="2" t="str">
        <f ca="1">MASTER_AR_REPORT!L97</f>
        <v>HIGH RISK</v>
      </c>
      <c r="J51" s="2" t="str">
        <f ca="1">MASTER_AR_REPORT!M97</f>
        <v>Immediate Action</v>
      </c>
      <c r="K51" s="2" t="s">
        <v>63</v>
      </c>
      <c r="L51" s="2"/>
      <c r="M51" s="2"/>
    </row>
    <row r="52" spans="1:13">
      <c r="A52" s="5">
        <v>48</v>
      </c>
      <c r="B52" s="5" t="str">
        <f>IF(MASTER_AR_REPORT!E98="","",MASTER_AR_REPORT!E98)</f>
        <v>R.B.Novelty</v>
      </c>
      <c r="C52" s="5" t="str">
        <f>IF(MASTER_AR_REPORT!D98="","",MASTER_AR_REPORT!D98)</f>
        <v>C-SLG/2222/25-26</v>
      </c>
      <c r="D52" s="11">
        <f>MASTER_AR_REPORT!C98</f>
        <v>46065</v>
      </c>
      <c r="E52" s="11">
        <f>MASTER_AR_REPORT!G98</f>
        <v>46090</v>
      </c>
      <c r="F52" s="6">
        <f>MASTER_AR_REPORT!I98</f>
        <v>31317</v>
      </c>
      <c r="G52" s="5">
        <f ca="1">MASTER_AR_REPORT!J98</f>
        <v>74</v>
      </c>
      <c r="H52" s="5" t="str">
        <f ca="1">MASTER_AR_REPORT!K98</f>
        <v>61-90 Days</v>
      </c>
      <c r="I52" s="5" t="str">
        <f ca="1">MASTER_AR_REPORT!L98</f>
        <v>Medium</v>
      </c>
      <c r="J52" s="5" t="str">
        <f ca="1">MASTER_AR_REPORT!M98</f>
        <v>Urgent</v>
      </c>
      <c r="K52" s="5" t="s">
        <v>63</v>
      </c>
      <c r="L52" s="5"/>
      <c r="M52" s="5"/>
    </row>
    <row r="53" spans="1:13">
      <c r="A53" s="2">
        <v>49</v>
      </c>
      <c r="B53" s="2" t="str">
        <f>IF(MASTER_AR_REPORT!E99="","",MASTER_AR_REPORT!E99)</f>
        <v>Reliable Book Centre</v>
      </c>
      <c r="C53" s="2" t="str">
        <f>IF(MASTER_AR_REPORT!D99="","",MASTER_AR_REPORT!D99)</f>
        <v>C-SLG/1791/25-26</v>
      </c>
      <c r="D53" s="12">
        <f>MASTER_AR_REPORT!C99</f>
        <v>45989</v>
      </c>
      <c r="E53" s="12">
        <f>MASTER_AR_REPORT!G99</f>
        <v>46014</v>
      </c>
      <c r="F53" s="3">
        <f>MASTER_AR_REPORT!I99</f>
        <v>9440</v>
      </c>
      <c r="G53" s="2">
        <f ca="1">MASTER_AR_REPORT!J99</f>
        <v>150</v>
      </c>
      <c r="H53" s="2" t="str">
        <f ca="1">MASTER_AR_REPORT!K99</f>
        <v>90+ Days</v>
      </c>
      <c r="I53" s="2" t="str">
        <f ca="1">MASTER_AR_REPORT!L99</f>
        <v>HIGH RISK</v>
      </c>
      <c r="J53" s="2" t="str">
        <f ca="1">MASTER_AR_REPORT!M99</f>
        <v>Immediate Action</v>
      </c>
      <c r="K53" s="2" t="s">
        <v>63</v>
      </c>
      <c r="L53" s="2"/>
      <c r="M53" s="2"/>
    </row>
    <row r="54" spans="1:13">
      <c r="A54" s="5">
        <v>50</v>
      </c>
      <c r="B54" s="5" t="str">
        <f>IF(MASTER_AR_REPORT!E100="","",MASTER_AR_REPORT!E100)</f>
        <v>Reliable Book Centre</v>
      </c>
      <c r="C54" s="5" t="str">
        <f>IF(MASTER_AR_REPORT!D100="","",MASTER_AR_REPORT!D100)</f>
        <v>C-SLG/2005/25-26</v>
      </c>
      <c r="D54" s="11">
        <f>MASTER_AR_REPORT!C100</f>
        <v>46021</v>
      </c>
      <c r="E54" s="11">
        <f>MASTER_AR_REPORT!G100</f>
        <v>46046</v>
      </c>
      <c r="F54" s="6">
        <f>MASTER_AR_REPORT!I100</f>
        <v>643</v>
      </c>
      <c r="G54" s="5">
        <f ca="1">MASTER_AR_REPORT!J100</f>
        <v>118</v>
      </c>
      <c r="H54" s="5" t="str">
        <f ca="1">MASTER_AR_REPORT!K100</f>
        <v>90+ Days</v>
      </c>
      <c r="I54" s="5" t="str">
        <f ca="1">MASTER_AR_REPORT!L100</f>
        <v>HIGH RISK</v>
      </c>
      <c r="J54" s="5" t="str">
        <f ca="1">MASTER_AR_REPORT!M100</f>
        <v>Immediate Action</v>
      </c>
      <c r="K54" s="5" t="s">
        <v>63</v>
      </c>
      <c r="L54" s="5"/>
      <c r="M54" s="5"/>
    </row>
    <row r="55" spans="1:13">
      <c r="A55" s="2">
        <v>51</v>
      </c>
      <c r="B55" s="2" t="str">
        <f>IF(MASTER_AR_REPORT!E101="","",MASTER_AR_REPORT!E101)</f>
        <v>RR HOSIPATALITY SERVICES</v>
      </c>
      <c r="C55" s="2" t="str">
        <f>IF(MASTER_AR_REPORT!D101="","",MASTER_AR_REPORT!D101)</f>
        <v>C-SLG/2102/25-26</v>
      </c>
      <c r="D55" s="12">
        <f>MASTER_AR_REPORT!C101</f>
        <v>46046</v>
      </c>
      <c r="E55" s="12">
        <f>MASTER_AR_REPORT!G101</f>
        <v>46071</v>
      </c>
      <c r="F55" s="3">
        <f>MASTER_AR_REPORT!I101</f>
        <v>49017</v>
      </c>
      <c r="G55" s="2">
        <f ca="1">MASTER_AR_REPORT!J101</f>
        <v>93</v>
      </c>
      <c r="H55" s="2" t="str">
        <f ca="1">MASTER_AR_REPORT!K101</f>
        <v>90+ Days</v>
      </c>
      <c r="I55" s="2" t="str">
        <f ca="1">MASTER_AR_REPORT!L101</f>
        <v>HIGH RISK</v>
      </c>
      <c r="J55" s="2" t="str">
        <f ca="1">MASTER_AR_REPORT!M101</f>
        <v>Immediate Action</v>
      </c>
      <c r="K55" s="2" t="s">
        <v>63</v>
      </c>
      <c r="L55" s="2"/>
      <c r="M55" s="2"/>
    </row>
    <row r="56" spans="1:13">
      <c r="A56" s="5">
        <v>52</v>
      </c>
      <c r="B56" s="5" t="str">
        <f>IF(MASTER_AR_REPORT!E102="","",MASTER_AR_REPORT!E102)</f>
        <v>Sai Vaishnavi Book Agency</v>
      </c>
      <c r="C56" s="5" t="str">
        <f>IF(MASTER_AR_REPORT!D102="","",MASTER_AR_REPORT!D102)</f>
        <v>C-SLG/2298/25-26</v>
      </c>
      <c r="D56" s="11">
        <f>MASTER_AR_REPORT!C102</f>
        <v>46083</v>
      </c>
      <c r="E56" s="11">
        <f>MASTER_AR_REPORT!G102</f>
        <v>46108</v>
      </c>
      <c r="F56" s="6">
        <f>MASTER_AR_REPORT!I102</f>
        <v>14106</v>
      </c>
      <c r="G56" s="5">
        <f ca="1">MASTER_AR_REPORT!J102</f>
        <v>56</v>
      </c>
      <c r="H56" s="5" t="str">
        <f ca="1">MASTER_AR_REPORT!K102</f>
        <v>31-60 Days</v>
      </c>
      <c r="I56" s="5" t="str">
        <f ca="1">MASTER_AR_REPORT!L102</f>
        <v>Low-Medium</v>
      </c>
      <c r="J56" s="5" t="str">
        <f ca="1">MASTER_AR_REPORT!M102</f>
        <v>Medium</v>
      </c>
      <c r="K56" s="5" t="s">
        <v>63</v>
      </c>
      <c r="L56" s="5"/>
      <c r="M56" s="5"/>
    </row>
    <row r="57" spans="1:13">
      <c r="A57" s="2">
        <v>53</v>
      </c>
      <c r="B57" s="2" t="str">
        <f>IF(MASTER_AR_REPORT!E103="","",MASTER_AR_REPORT!E103)</f>
        <v>Shiva Book Stall</v>
      </c>
      <c r="C57" s="2" t="str">
        <f>IF(MASTER_AR_REPORT!D103="","",MASTER_AR_REPORT!D103)</f>
        <v>C-SLG/2269/25-26</v>
      </c>
      <c r="D57" s="12">
        <f>MASTER_AR_REPORT!C103</f>
        <v>46076</v>
      </c>
      <c r="E57" s="12">
        <f>MASTER_AR_REPORT!G103</f>
        <v>46101</v>
      </c>
      <c r="F57" s="3">
        <f>MASTER_AR_REPORT!I103</f>
        <v>9399</v>
      </c>
      <c r="G57" s="2">
        <f ca="1">MASTER_AR_REPORT!J103</f>
        <v>63</v>
      </c>
      <c r="H57" s="2" t="str">
        <f ca="1">MASTER_AR_REPORT!K103</f>
        <v>61-90 Days</v>
      </c>
      <c r="I57" s="2" t="str">
        <f ca="1">MASTER_AR_REPORT!L103</f>
        <v>Medium</v>
      </c>
      <c r="J57" s="2" t="str">
        <f ca="1">MASTER_AR_REPORT!M103</f>
        <v>Urgent</v>
      </c>
      <c r="K57" s="2" t="s">
        <v>63</v>
      </c>
      <c r="L57" s="2"/>
      <c r="M57" s="2"/>
    </row>
    <row r="58" spans="1:13">
      <c r="A58" s="5">
        <v>54</v>
      </c>
      <c r="B58" s="5" t="str">
        <f>IF(MASTER_AR_REPORT!E105="","",MASTER_AR_REPORT!E105)</f>
        <v>SIDDHARTHA STATIONERY &amp; ELECRTRICAL</v>
      </c>
      <c r="C58" s="5" t="str">
        <f>IF(MASTER_AR_REPORT!D105="","",MASTER_AR_REPORT!D105)</f>
        <v>C-SLG/2179/25-26</v>
      </c>
      <c r="D58" s="11">
        <f>MASTER_AR_REPORT!C105</f>
        <v>46057</v>
      </c>
      <c r="E58" s="11">
        <f>MASTER_AR_REPORT!G105</f>
        <v>46082</v>
      </c>
      <c r="F58" s="6">
        <f>MASTER_AR_REPORT!I105</f>
        <v>5370</v>
      </c>
      <c r="G58" s="5">
        <f ca="1">MASTER_AR_REPORT!J105</f>
        <v>82</v>
      </c>
      <c r="H58" s="5" t="str">
        <f ca="1">MASTER_AR_REPORT!K105</f>
        <v>61-90 Days</v>
      </c>
      <c r="I58" s="5" t="str">
        <f ca="1">MASTER_AR_REPORT!L105</f>
        <v>Medium</v>
      </c>
      <c r="J58" s="5" t="str">
        <f ca="1">MASTER_AR_REPORT!M105</f>
        <v>Urgent</v>
      </c>
      <c r="K58" s="5" t="s">
        <v>63</v>
      </c>
      <c r="L58" s="5"/>
      <c r="M58" s="5"/>
    </row>
    <row r="59" spans="1:13">
      <c r="A59" s="2">
        <v>55</v>
      </c>
      <c r="B59" s="2" t="str">
        <f>IF(MASTER_AR_REPORT!E106="","",MASTER_AR_REPORT!E106)</f>
        <v>SREE VENKATESHWARA PUBLISHERS</v>
      </c>
      <c r="C59" s="2" t="str">
        <f>IF(MASTER_AR_REPORT!D106="","",MASTER_AR_REPORT!D106)</f>
        <v>C-SLG/1620/25-26</v>
      </c>
      <c r="D59" s="12">
        <f>MASTER_AR_REPORT!C106</f>
        <v>45968</v>
      </c>
      <c r="E59" s="12">
        <f>MASTER_AR_REPORT!G106</f>
        <v>45993</v>
      </c>
      <c r="F59" s="3">
        <f>MASTER_AR_REPORT!I106</f>
        <v>5248</v>
      </c>
      <c r="G59" s="2">
        <f ca="1">MASTER_AR_REPORT!J106</f>
        <v>171</v>
      </c>
      <c r="H59" s="2" t="str">
        <f ca="1">MASTER_AR_REPORT!K106</f>
        <v>90+ Days</v>
      </c>
      <c r="I59" s="2" t="str">
        <f ca="1">MASTER_AR_REPORT!L106</f>
        <v>HIGH RISK</v>
      </c>
      <c r="J59" s="2" t="str">
        <f ca="1">MASTER_AR_REPORT!M106</f>
        <v>Immediate Action</v>
      </c>
      <c r="K59" s="2" t="s">
        <v>63</v>
      </c>
      <c r="L59" s="2"/>
      <c r="M59" s="2"/>
    </row>
    <row r="60" spans="1:13">
      <c r="A60" s="5">
        <v>56</v>
      </c>
      <c r="B60" s="5" t="str">
        <f>IF(MASTER_AR_REPORT!E107="","",MASTER_AR_REPORT!E107)</f>
        <v>SREE VENKATESHWARA PUBLISHERS</v>
      </c>
      <c r="C60" s="5" t="str">
        <f>IF(MASTER_AR_REPORT!D107="","",MASTER_AR_REPORT!D107)</f>
        <v>C-SLG/1718/25-26</v>
      </c>
      <c r="D60" s="11">
        <f>MASTER_AR_REPORT!C107</f>
        <v>45981</v>
      </c>
      <c r="E60" s="11">
        <f>MASTER_AR_REPORT!G107</f>
        <v>46006</v>
      </c>
      <c r="F60" s="6">
        <f>MASTER_AR_REPORT!I107</f>
        <v>1170</v>
      </c>
      <c r="G60" s="5">
        <f ca="1">MASTER_AR_REPORT!J107</f>
        <v>158</v>
      </c>
      <c r="H60" s="5" t="str">
        <f ca="1">MASTER_AR_REPORT!K107</f>
        <v>90+ Days</v>
      </c>
      <c r="I60" s="5" t="str">
        <f ca="1">MASTER_AR_REPORT!L107</f>
        <v>HIGH RISK</v>
      </c>
      <c r="J60" s="5" t="str">
        <f ca="1">MASTER_AR_REPORT!M107</f>
        <v>Immediate Action</v>
      </c>
      <c r="K60" s="5" t="s">
        <v>63</v>
      </c>
      <c r="L60" s="5"/>
      <c r="M60" s="5"/>
    </row>
    <row r="61" spans="1:13">
      <c r="A61" s="2">
        <v>57</v>
      </c>
      <c r="B61" s="2" t="str">
        <f>IF(MASTER_AR_REPORT!E108="","",MASTER_AR_REPORT!E108)</f>
        <v>SREE VENKATESHWARA PUBLISHERS</v>
      </c>
      <c r="C61" s="2" t="str">
        <f>IF(MASTER_AR_REPORT!D108="","",MASTER_AR_REPORT!D108)</f>
        <v>C-SLG/1773/25-26</v>
      </c>
      <c r="D61" s="12">
        <f>MASTER_AR_REPORT!C108</f>
        <v>45987</v>
      </c>
      <c r="E61" s="12">
        <f>MASTER_AR_REPORT!G108</f>
        <v>46012</v>
      </c>
      <c r="F61" s="3">
        <f>MASTER_AR_REPORT!I108</f>
        <v>6342</v>
      </c>
      <c r="G61" s="2">
        <f ca="1">MASTER_AR_REPORT!J108</f>
        <v>152</v>
      </c>
      <c r="H61" s="2" t="str">
        <f ca="1">MASTER_AR_REPORT!K108</f>
        <v>90+ Days</v>
      </c>
      <c r="I61" s="2" t="str">
        <f ca="1">MASTER_AR_REPORT!L108</f>
        <v>HIGH RISK</v>
      </c>
      <c r="J61" s="2" t="str">
        <f ca="1">MASTER_AR_REPORT!M108</f>
        <v>Immediate Action</v>
      </c>
      <c r="K61" s="2" t="s">
        <v>63</v>
      </c>
      <c r="L61" s="2"/>
      <c r="M61" s="2"/>
    </row>
    <row r="62" spans="1:13">
      <c r="A62" s="5">
        <v>58</v>
      </c>
      <c r="B62" s="5" t="str">
        <f>IF(MASTER_AR_REPORT!E109="","",MASTER_AR_REPORT!E109)</f>
        <v>SREE VENKATESHWARA PUBLISHERS</v>
      </c>
      <c r="C62" s="5" t="str">
        <f>IF(MASTER_AR_REPORT!D109="","",MASTER_AR_REPORT!D109)</f>
        <v>C-SLG/2108/25-26</v>
      </c>
      <c r="D62" s="11">
        <f>MASTER_AR_REPORT!C109</f>
        <v>46049</v>
      </c>
      <c r="E62" s="11">
        <f>MASTER_AR_REPORT!G109</f>
        <v>46074</v>
      </c>
      <c r="F62" s="6">
        <f>MASTER_AR_REPORT!I109</f>
        <v>47824</v>
      </c>
      <c r="G62" s="5">
        <f ca="1">MASTER_AR_REPORT!J109</f>
        <v>90</v>
      </c>
      <c r="H62" s="5" t="str">
        <f ca="1">MASTER_AR_REPORT!K109</f>
        <v>61-90 Days</v>
      </c>
      <c r="I62" s="5" t="str">
        <f ca="1">MASTER_AR_REPORT!L109</f>
        <v>Medium</v>
      </c>
      <c r="J62" s="5" t="str">
        <f ca="1">MASTER_AR_REPORT!M109</f>
        <v>Urgent</v>
      </c>
      <c r="K62" s="5" t="s">
        <v>63</v>
      </c>
      <c r="L62" s="5"/>
      <c r="M62" s="5"/>
    </row>
    <row r="63" spans="1:13">
      <c r="A63" s="2">
        <v>59</v>
      </c>
      <c r="B63" s="2" t="str">
        <f>IF(MASTER_AR_REPORT!E110="","",MASTER_AR_REPORT!E110)</f>
        <v>SRI RAKHI BOOK CENTER</v>
      </c>
      <c r="C63" s="2" t="str">
        <f>IF(MASTER_AR_REPORT!D110="","",MASTER_AR_REPORT!D110)</f>
        <v>C-SLG/2148/25-26</v>
      </c>
      <c r="D63" s="12">
        <f>MASTER_AR_REPORT!C110</f>
        <v>46052</v>
      </c>
      <c r="E63" s="12">
        <f>MASTER_AR_REPORT!G110</f>
        <v>46077</v>
      </c>
      <c r="F63" s="3">
        <f>MASTER_AR_REPORT!I110</f>
        <v>25760</v>
      </c>
      <c r="G63" s="2">
        <f ca="1">MASTER_AR_REPORT!J110</f>
        <v>87</v>
      </c>
      <c r="H63" s="2" t="str">
        <f ca="1">MASTER_AR_REPORT!K110</f>
        <v>61-90 Days</v>
      </c>
      <c r="I63" s="2" t="str">
        <f ca="1">MASTER_AR_REPORT!L110</f>
        <v>Medium</v>
      </c>
      <c r="J63" s="2" t="str">
        <f ca="1">MASTER_AR_REPORT!M110</f>
        <v>Urgent</v>
      </c>
      <c r="K63" s="2" t="s">
        <v>63</v>
      </c>
      <c r="L63" s="2"/>
      <c r="M63" s="2"/>
    </row>
    <row r="64" spans="1:13">
      <c r="A64" s="5">
        <v>60</v>
      </c>
      <c r="B64" s="5" t="str">
        <f>IF(MASTER_AR_REPORT!E111="","",MASTER_AR_REPORT!E111)</f>
        <v>Sri Shyam Enterprises</v>
      </c>
      <c r="C64" s="5" t="str">
        <f>IF(MASTER_AR_REPORT!D111="","",MASTER_AR_REPORT!D111)</f>
        <v>C-SLG/1902/25-26</v>
      </c>
      <c r="D64" s="11">
        <f>MASTER_AR_REPORT!C111</f>
        <v>46007</v>
      </c>
      <c r="E64" s="11">
        <f>MASTER_AR_REPORT!G111</f>
        <v>46032</v>
      </c>
      <c r="F64" s="6">
        <f>MASTER_AR_REPORT!I111</f>
        <v>100</v>
      </c>
      <c r="G64" s="5">
        <f ca="1">MASTER_AR_REPORT!J111</f>
        <v>132</v>
      </c>
      <c r="H64" s="5" t="str">
        <f ca="1">MASTER_AR_REPORT!K111</f>
        <v>90+ Days</v>
      </c>
      <c r="I64" s="5" t="str">
        <f ca="1">MASTER_AR_REPORT!L111</f>
        <v>HIGH RISK</v>
      </c>
      <c r="J64" s="5" t="str">
        <f ca="1">MASTER_AR_REPORT!M111</f>
        <v>Immediate Action</v>
      </c>
      <c r="K64" s="5" t="s">
        <v>63</v>
      </c>
      <c r="L64" s="5"/>
      <c r="M64" s="5"/>
    </row>
    <row r="65" spans="1:13">
      <c r="A65" s="2">
        <v>61</v>
      </c>
      <c r="B65" s="2" t="str">
        <f>IF(MASTER_AR_REPORT!E113="","",MASTER_AR_REPORT!E113)</f>
        <v>SRI VIDYA SARASWATI COLLECTION</v>
      </c>
      <c r="C65" s="2" t="str">
        <f>IF(MASTER_AR_REPORT!D113="","",MASTER_AR_REPORT!D113)</f>
        <v>C-SLG/2425/25-26</v>
      </c>
      <c r="D65" s="12">
        <f>MASTER_AR_REPORT!C113</f>
        <v>46105</v>
      </c>
      <c r="E65" s="12">
        <f>MASTER_AR_REPORT!G113</f>
        <v>46130</v>
      </c>
      <c r="F65" s="3">
        <f>MASTER_AR_REPORT!I113</f>
        <v>12031</v>
      </c>
      <c r="G65" s="2">
        <f ca="1">MASTER_AR_REPORT!J113</f>
        <v>34</v>
      </c>
      <c r="H65" s="2" t="str">
        <f ca="1">MASTER_AR_REPORT!K113</f>
        <v>31-60 Days</v>
      </c>
      <c r="I65" s="2" t="str">
        <f ca="1">MASTER_AR_REPORT!L113</f>
        <v>Low-Medium</v>
      </c>
      <c r="J65" s="2" t="str">
        <f ca="1">MASTER_AR_REPORT!M113</f>
        <v>Medium</v>
      </c>
      <c r="K65" s="2" t="s">
        <v>63</v>
      </c>
      <c r="L65" s="2"/>
      <c r="M65" s="2"/>
    </row>
    <row r="66" spans="1:13">
      <c r="A66" s="5">
        <v>62</v>
      </c>
      <c r="B66" s="5" t="str">
        <f>IF(MASTER_AR_REPORT!E116="","",MASTER_AR_REPORT!E116)</f>
        <v>Stationey Xerox</v>
      </c>
      <c r="C66" s="5" t="str">
        <f>IF(MASTER_AR_REPORT!D116="","",MASTER_AR_REPORT!D116)</f>
        <v>C-SLG/2197/25-26</v>
      </c>
      <c r="D66" s="11">
        <f>MASTER_AR_REPORT!C116</f>
        <v>46059</v>
      </c>
      <c r="E66" s="11">
        <f>MASTER_AR_REPORT!G116</f>
        <v>46084</v>
      </c>
      <c r="F66" s="6">
        <f>MASTER_AR_REPORT!I116</f>
        <v>19279</v>
      </c>
      <c r="G66" s="5">
        <f ca="1">MASTER_AR_REPORT!J116</f>
        <v>80</v>
      </c>
      <c r="H66" s="5" t="str">
        <f ca="1">MASTER_AR_REPORT!K116</f>
        <v>61-90 Days</v>
      </c>
      <c r="I66" s="5" t="str">
        <f ca="1">MASTER_AR_REPORT!L116</f>
        <v>Medium</v>
      </c>
      <c r="J66" s="5" t="str">
        <f ca="1">MASTER_AR_REPORT!M116</f>
        <v>Urgent</v>
      </c>
      <c r="K66" s="5" t="s">
        <v>63</v>
      </c>
      <c r="L66" s="5"/>
      <c r="M66" s="5"/>
    </row>
    <row r="67" spans="1:13">
      <c r="A67" s="2">
        <v>63</v>
      </c>
      <c r="B67" s="2" t="str">
        <f>IF(MASTER_AR_REPORT!E117="","",MASTER_AR_REPORT!E117)</f>
        <v>THE DECCAN PEN STORE</v>
      </c>
      <c r="C67" s="2" t="str">
        <f>IF(MASTER_AR_REPORT!D117="","",MASTER_AR_REPORT!D117)</f>
        <v>C-SLG/2430/25-26</v>
      </c>
      <c r="D67" s="12">
        <f>MASTER_AR_REPORT!C117</f>
        <v>46105</v>
      </c>
      <c r="E67" s="12">
        <f>MASTER_AR_REPORT!G117</f>
        <v>46130</v>
      </c>
      <c r="F67" s="3">
        <f>MASTER_AR_REPORT!I117</f>
        <v>3988</v>
      </c>
      <c r="G67" s="2">
        <f ca="1">MASTER_AR_REPORT!J117</f>
        <v>34</v>
      </c>
      <c r="H67" s="2" t="str">
        <f ca="1">MASTER_AR_REPORT!K117</f>
        <v>31-60 Days</v>
      </c>
      <c r="I67" s="2" t="str">
        <f ca="1">MASTER_AR_REPORT!L117</f>
        <v>Low-Medium</v>
      </c>
      <c r="J67" s="2" t="str">
        <f ca="1">MASTER_AR_REPORT!M117</f>
        <v>Medium</v>
      </c>
      <c r="K67" s="2" t="s">
        <v>63</v>
      </c>
      <c r="L67" s="2"/>
      <c r="M67" s="2"/>
    </row>
    <row r="68" spans="1:13">
      <c r="A68" s="5">
        <v>64</v>
      </c>
      <c r="B68" s="5" t="str">
        <f>IF(MASTER_AR_REPORT!E119="","",MASTER_AR_REPORT!E119)</f>
        <v>TRIBHUVAN BOOKS &amp; STATIONERY</v>
      </c>
      <c r="C68" s="5" t="str">
        <f>IF(MASTER_AR_REPORT!D119="","",MASTER_AR_REPORT!D119)</f>
        <v>C-SLG/2445/25-26</v>
      </c>
      <c r="D68" s="11">
        <f>MASTER_AR_REPORT!C119</f>
        <v>46107</v>
      </c>
      <c r="E68" s="11">
        <f>MASTER_AR_REPORT!G119</f>
        <v>46132</v>
      </c>
      <c r="F68" s="6">
        <f>MASTER_AR_REPORT!I119</f>
        <v>28248</v>
      </c>
      <c r="G68" s="5">
        <f ca="1">MASTER_AR_REPORT!J119</f>
        <v>32</v>
      </c>
      <c r="H68" s="5" t="str">
        <f ca="1">MASTER_AR_REPORT!K119</f>
        <v>31-60 Days</v>
      </c>
      <c r="I68" s="5" t="str">
        <f ca="1">MASTER_AR_REPORT!L119</f>
        <v>Low-Medium</v>
      </c>
      <c r="J68" s="5" t="str">
        <f ca="1">MASTER_AR_REPORT!M119</f>
        <v>Medium</v>
      </c>
      <c r="K68" s="5" t="s">
        <v>63</v>
      </c>
      <c r="L68" s="5"/>
      <c r="M68" s="5"/>
    </row>
    <row r="69" spans="1:13">
      <c r="A69" s="2">
        <v>65</v>
      </c>
      <c r="B69" s="2" t="str">
        <f>IF(MASTER_AR_REPORT!E122="","",MASTER_AR_REPORT!E122)</f>
        <v>Universal Book Shop</v>
      </c>
      <c r="C69" s="2" t="str">
        <f>IF(MASTER_AR_REPORT!D122="","",MASTER_AR_REPORT!D122)</f>
        <v>C-SLG/1597/25-26</v>
      </c>
      <c r="D69" s="12">
        <f>MASTER_AR_REPORT!C122</f>
        <v>45965</v>
      </c>
      <c r="E69" s="12">
        <f>MASTER_AR_REPORT!G122</f>
        <v>45990</v>
      </c>
      <c r="F69" s="3">
        <f>MASTER_AR_REPORT!I122</f>
        <v>9357</v>
      </c>
      <c r="G69" s="2">
        <f ca="1">MASTER_AR_REPORT!J122</f>
        <v>174</v>
      </c>
      <c r="H69" s="2" t="str">
        <f ca="1">MASTER_AR_REPORT!K122</f>
        <v>90+ Days</v>
      </c>
      <c r="I69" s="2" t="str">
        <f ca="1">MASTER_AR_REPORT!L122</f>
        <v>HIGH RISK</v>
      </c>
      <c r="J69" s="2" t="str">
        <f ca="1">MASTER_AR_REPORT!M122</f>
        <v>Immediate Action</v>
      </c>
      <c r="K69" s="2" t="s">
        <v>63</v>
      </c>
      <c r="L69" s="2"/>
      <c r="M69" s="2"/>
    </row>
    <row r="70" spans="1:13">
      <c r="A70" s="5">
        <v>66</v>
      </c>
      <c r="B70" s="5" t="str">
        <f>IF(MASTER_AR_REPORT!E123="","",MASTER_AR_REPORT!E123)</f>
        <v>Universal Book Shop</v>
      </c>
      <c r="C70" s="5" t="str">
        <f>IF(MASTER_AR_REPORT!D123="","",MASTER_AR_REPORT!D123)</f>
        <v>C-SLG/2013/25-26</v>
      </c>
      <c r="D70" s="11">
        <f>MASTER_AR_REPORT!C123</f>
        <v>46021</v>
      </c>
      <c r="E70" s="11">
        <f>MASTER_AR_REPORT!G123</f>
        <v>46046</v>
      </c>
      <c r="F70" s="6">
        <f>MASTER_AR_REPORT!I123</f>
        <v>643</v>
      </c>
      <c r="G70" s="5">
        <f ca="1">MASTER_AR_REPORT!J123</f>
        <v>118</v>
      </c>
      <c r="H70" s="5" t="str">
        <f ca="1">MASTER_AR_REPORT!K123</f>
        <v>90+ Days</v>
      </c>
      <c r="I70" s="5" t="str">
        <f ca="1">MASTER_AR_REPORT!L123</f>
        <v>HIGH RISK</v>
      </c>
      <c r="J70" s="5" t="str">
        <f ca="1">MASTER_AR_REPORT!M123</f>
        <v>Immediate Action</v>
      </c>
      <c r="K70" s="5" t="s">
        <v>63</v>
      </c>
      <c r="L70" s="5"/>
      <c r="M70" s="5"/>
    </row>
    <row r="71" spans="1:13">
      <c r="A71" s="2">
        <v>67</v>
      </c>
      <c r="B71" s="2" t="str">
        <f>IF(MASTER_AR_REPORT!E124="","",MASTER_AR_REPORT!E124)</f>
        <v>Vidya Book Poin't</v>
      </c>
      <c r="C71" s="2" t="str">
        <f>IF(MASTER_AR_REPORT!D124="","",MASTER_AR_REPORT!D124)</f>
        <v>C-SLG/2408/25-26</v>
      </c>
      <c r="D71" s="12">
        <f>MASTER_AR_REPORT!C124</f>
        <v>46099</v>
      </c>
      <c r="E71" s="12">
        <f>MASTER_AR_REPORT!G124</f>
        <v>46124</v>
      </c>
      <c r="F71" s="3">
        <f>MASTER_AR_REPORT!I124</f>
        <v>12623</v>
      </c>
      <c r="G71" s="2">
        <f ca="1">MASTER_AR_REPORT!J124</f>
        <v>40</v>
      </c>
      <c r="H71" s="2" t="str">
        <f ca="1">MASTER_AR_REPORT!K124</f>
        <v>31-60 Days</v>
      </c>
      <c r="I71" s="2" t="str">
        <f ca="1">MASTER_AR_REPORT!L124</f>
        <v>Low-Medium</v>
      </c>
      <c r="J71" s="2" t="str">
        <f ca="1">MASTER_AR_REPORT!M124</f>
        <v>Medium</v>
      </c>
      <c r="K71" s="2" t="s">
        <v>63</v>
      </c>
      <c r="L71" s="2"/>
      <c r="M71" s="2"/>
    </row>
    <row r="72" spans="1:13">
      <c r="A72" s="5">
        <v>68</v>
      </c>
      <c r="B72" s="5" t="str">
        <f>IF(MASTER_AR_REPORT!E125="","",MASTER_AR_REPORT!E125)</f>
        <v>Vidya Book Point(Vijaynagar Colony)</v>
      </c>
      <c r="C72" s="5" t="str">
        <f>IF(MASTER_AR_REPORT!D125="","",MASTER_AR_REPORT!D125)</f>
        <v>C-SLG/2187/25-26</v>
      </c>
      <c r="D72" s="11">
        <f>MASTER_AR_REPORT!C125</f>
        <v>46059</v>
      </c>
      <c r="E72" s="11">
        <f>MASTER_AR_REPORT!G125</f>
        <v>46084</v>
      </c>
      <c r="F72" s="6">
        <f>MASTER_AR_REPORT!I125</f>
        <v>9634</v>
      </c>
      <c r="G72" s="5">
        <f ca="1">MASTER_AR_REPORT!J125</f>
        <v>80</v>
      </c>
      <c r="H72" s="5" t="str">
        <f ca="1">MASTER_AR_REPORT!K125</f>
        <v>61-90 Days</v>
      </c>
      <c r="I72" s="5" t="str">
        <f ca="1">MASTER_AR_REPORT!L125</f>
        <v>Medium</v>
      </c>
      <c r="J72" s="5" t="str">
        <f ca="1">MASTER_AR_REPORT!M125</f>
        <v>Urgent</v>
      </c>
      <c r="K72" s="5" t="s">
        <v>63</v>
      </c>
      <c r="L72" s="5"/>
      <c r="M72" s="5"/>
    </row>
    <row r="73" spans="1:13">
      <c r="A73" s="2">
        <v>69</v>
      </c>
      <c r="B73" s="2" t="str">
        <f>IF(MASTER_AR_REPORT!E126="","",MASTER_AR_REPORT!E126)</f>
        <v>Vidya Book Point(Vijaynagar Colony)</v>
      </c>
      <c r="C73" s="2" t="str">
        <f>IF(MASTER_AR_REPORT!D126="","",MASTER_AR_REPORT!D126)</f>
        <v>C-SLG/2345/25-26</v>
      </c>
      <c r="D73" s="12">
        <f>MASTER_AR_REPORT!C126</f>
        <v>46088</v>
      </c>
      <c r="E73" s="12">
        <f>MASTER_AR_REPORT!G126</f>
        <v>46113</v>
      </c>
      <c r="F73" s="3">
        <f>MASTER_AR_REPORT!I126</f>
        <v>4466</v>
      </c>
      <c r="G73" s="2">
        <f ca="1">MASTER_AR_REPORT!J126</f>
        <v>51</v>
      </c>
      <c r="H73" s="2" t="str">
        <f ca="1">MASTER_AR_REPORT!K126</f>
        <v>31-60 Days</v>
      </c>
      <c r="I73" s="2" t="str">
        <f ca="1">MASTER_AR_REPORT!L126</f>
        <v>Low-Medium</v>
      </c>
      <c r="J73" s="2" t="str">
        <f ca="1">MASTER_AR_REPORT!M126</f>
        <v>Medium</v>
      </c>
      <c r="K73" s="2" t="s">
        <v>63</v>
      </c>
      <c r="L73" s="2"/>
      <c r="M73" s="2"/>
    </row>
    <row r="74" spans="1:13">
      <c r="A74" s="5">
        <v>70</v>
      </c>
      <c r="B74" s="5" t="str">
        <f>IF(MASTER_AR_REPORT!E127="","",MASTER_AR_REPORT!E127)</f>
        <v>VIDYA COLLECTION</v>
      </c>
      <c r="C74" s="5" t="str">
        <f>IF(MASTER_AR_REPORT!D127="","",MASTER_AR_REPORT!D127)</f>
        <v>C-SLG/2313/25-26</v>
      </c>
      <c r="D74" s="11">
        <f>MASTER_AR_REPORT!C127</f>
        <v>46084</v>
      </c>
      <c r="E74" s="11">
        <f>MASTER_AR_REPORT!G127</f>
        <v>46109</v>
      </c>
      <c r="F74" s="6">
        <f>MASTER_AR_REPORT!I127</f>
        <v>6372</v>
      </c>
      <c r="G74" s="5">
        <f ca="1">MASTER_AR_REPORT!J127</f>
        <v>55</v>
      </c>
      <c r="H74" s="5" t="str">
        <f ca="1">MASTER_AR_REPORT!K127</f>
        <v>31-60 Days</v>
      </c>
      <c r="I74" s="5" t="str">
        <f ca="1">MASTER_AR_REPORT!L127</f>
        <v>Low-Medium</v>
      </c>
      <c r="J74" s="5" t="str">
        <f ca="1">MASTER_AR_REPORT!M127</f>
        <v>Medium</v>
      </c>
      <c r="K74" s="5" t="s">
        <v>63</v>
      </c>
      <c r="L74" s="5"/>
      <c r="M74" s="5"/>
    </row>
    <row r="75" spans="1:13">
      <c r="A75" s="2">
        <v>71</v>
      </c>
      <c r="B75" s="2" t="str">
        <f>IF(MASTER_AR_REPORT!E128="","",MASTER_AR_REPORT!E128)</f>
        <v>Vidya Collection (New)</v>
      </c>
      <c r="C75" s="2" t="str">
        <f>IF(MASTER_AR_REPORT!D128="","",MASTER_AR_REPORT!D128)</f>
        <v>C-SLG/2246/25-26</v>
      </c>
      <c r="D75" s="12">
        <f>MASTER_AR_REPORT!C128</f>
        <v>46070</v>
      </c>
      <c r="E75" s="12">
        <f>MASTER_AR_REPORT!G128</f>
        <v>46095</v>
      </c>
      <c r="F75" s="3">
        <f>MASTER_AR_REPORT!I128</f>
        <v>9276</v>
      </c>
      <c r="G75" s="2">
        <f ca="1">MASTER_AR_REPORT!J128</f>
        <v>69</v>
      </c>
      <c r="H75" s="2" t="str">
        <f ca="1">MASTER_AR_REPORT!K128</f>
        <v>61-90 Days</v>
      </c>
      <c r="I75" s="2" t="str">
        <f ca="1">MASTER_AR_REPORT!L128</f>
        <v>Medium</v>
      </c>
      <c r="J75" s="2" t="str">
        <f ca="1">MASTER_AR_REPORT!M128</f>
        <v>Urgent</v>
      </c>
      <c r="K75" s="2" t="s">
        <v>63</v>
      </c>
      <c r="L75" s="2"/>
      <c r="M75" s="2"/>
    </row>
    <row r="76" spans="1:13">
      <c r="A76" s="5">
        <v>72</v>
      </c>
      <c r="B76" s="5" t="str">
        <f>IF(MASTER_AR_REPORT!E129="","",MASTER_AR_REPORT!E129)</f>
        <v>Vidya Collection (New)</v>
      </c>
      <c r="C76" s="5" t="str">
        <f>IF(MASTER_AR_REPORT!D129="","",MASTER_AR_REPORT!D129)</f>
        <v>C-SLG/2254/25-26</v>
      </c>
      <c r="D76" s="11">
        <f>MASTER_AR_REPORT!C129</f>
        <v>46071</v>
      </c>
      <c r="E76" s="11">
        <f>MASTER_AR_REPORT!G129</f>
        <v>46096</v>
      </c>
      <c r="F76" s="6">
        <f>MASTER_AR_REPORT!I129</f>
        <v>1274</v>
      </c>
      <c r="G76" s="5">
        <f ca="1">MASTER_AR_REPORT!J129</f>
        <v>68</v>
      </c>
      <c r="H76" s="5" t="str">
        <f ca="1">MASTER_AR_REPORT!K129</f>
        <v>61-90 Days</v>
      </c>
      <c r="I76" s="5" t="str">
        <f ca="1">MASTER_AR_REPORT!L129</f>
        <v>Medium</v>
      </c>
      <c r="J76" s="5" t="str">
        <f ca="1">MASTER_AR_REPORT!M129</f>
        <v>Urgent</v>
      </c>
      <c r="K76" s="5" t="s">
        <v>63</v>
      </c>
      <c r="L76" s="5"/>
      <c r="M76" s="5"/>
    </row>
    <row r="77" spans="1:13">
      <c r="A77" s="2">
        <v>73</v>
      </c>
      <c r="B77" s="2" t="str">
        <f>IF(MASTER_AR_REPORT!E130="","",MASTER_AR_REPORT!E130)</f>
        <v>Vidya Collection (New)</v>
      </c>
      <c r="C77" s="2" t="str">
        <f>IF(MASTER_AR_REPORT!D130="","",MASTER_AR_REPORT!D130)</f>
        <v>C-SLG/2312/25-26</v>
      </c>
      <c r="D77" s="12">
        <f>MASTER_AR_REPORT!C130</f>
        <v>46084</v>
      </c>
      <c r="E77" s="12">
        <f>MASTER_AR_REPORT!G130</f>
        <v>46109</v>
      </c>
      <c r="F77" s="3">
        <f>MASTER_AR_REPORT!I130</f>
        <v>6712</v>
      </c>
      <c r="G77" s="2">
        <f ca="1">MASTER_AR_REPORT!J130</f>
        <v>55</v>
      </c>
      <c r="H77" s="2" t="str">
        <f ca="1">MASTER_AR_REPORT!K130</f>
        <v>31-60 Days</v>
      </c>
      <c r="I77" s="2" t="str">
        <f ca="1">MASTER_AR_REPORT!L130</f>
        <v>Low-Medium</v>
      </c>
      <c r="J77" s="2" t="str">
        <f ca="1">MASTER_AR_REPORT!M130</f>
        <v>Medium</v>
      </c>
      <c r="K77" s="2" t="s">
        <v>63</v>
      </c>
      <c r="L77" s="2"/>
      <c r="M77" s="2"/>
    </row>
    <row r="78" spans="1:13">
      <c r="A78" s="5">
        <v>74</v>
      </c>
      <c r="B78" s="5" t="str">
        <f>IF(MASTER_AR_REPORT!E131="","",MASTER_AR_REPORT!E131)</f>
        <v>VIJAYALAKSHMI ENTERPRISES</v>
      </c>
      <c r="C78" s="5" t="str">
        <f>IF(MASTER_AR_REPORT!D131="","",MASTER_AR_REPORT!D131)</f>
        <v>Bounce Charges-204</v>
      </c>
      <c r="D78" s="11">
        <f>MASTER_AR_REPORT!C131</f>
        <v>46010</v>
      </c>
      <c r="E78" s="11">
        <f>MASTER_AR_REPORT!G131</f>
        <v>46010</v>
      </c>
      <c r="F78" s="6">
        <f>MASTER_AR_REPORT!I131</f>
        <v>500</v>
      </c>
      <c r="G78" s="5">
        <f ca="1">MASTER_AR_REPORT!J131</f>
        <v>154</v>
      </c>
      <c r="H78" s="5" t="str">
        <f ca="1">MASTER_AR_REPORT!K131</f>
        <v>90+ Days</v>
      </c>
      <c r="I78" s="5" t="str">
        <f ca="1">MASTER_AR_REPORT!L131</f>
        <v>HIGH RISK</v>
      </c>
      <c r="J78" s="5" t="str">
        <f ca="1">MASTER_AR_REPORT!M131</f>
        <v>Immediate Action</v>
      </c>
      <c r="K78" s="5" t="s">
        <v>63</v>
      </c>
      <c r="L78" s="5"/>
      <c r="M78" s="5"/>
    </row>
    <row r="79" spans="1:13">
      <c r="A79" s="2">
        <v>75</v>
      </c>
      <c r="B79" s="2" t="str">
        <f>IF(MASTER_AR_REPORT!E132="","",MASTER_AR_REPORT!E132)</f>
        <v>WITTYSHOP INDIA</v>
      </c>
      <c r="C79" s="2" t="str">
        <f>IF(MASTER_AR_REPORT!D132="","",MASTER_AR_REPORT!D132)</f>
        <v>C-SLG/2397/25-26</v>
      </c>
      <c r="D79" s="12">
        <f>MASTER_AR_REPORT!C132</f>
        <v>46098</v>
      </c>
      <c r="E79" s="12">
        <f>MASTER_AR_REPORT!G132</f>
        <v>46123</v>
      </c>
      <c r="F79" s="3">
        <f>MASTER_AR_REPORT!I132</f>
        <v>15868</v>
      </c>
      <c r="G79" s="2">
        <f ca="1">MASTER_AR_REPORT!J132</f>
        <v>41</v>
      </c>
      <c r="H79" s="2" t="str">
        <f ca="1">MASTER_AR_REPORT!K132</f>
        <v>31-60 Days</v>
      </c>
      <c r="I79" s="2" t="str">
        <f ca="1">MASTER_AR_REPORT!L132</f>
        <v>Low-Medium</v>
      </c>
      <c r="J79" s="2" t="str">
        <f ca="1">MASTER_AR_REPORT!M132</f>
        <v>Medium</v>
      </c>
      <c r="K79" s="2" t="s">
        <v>63</v>
      </c>
      <c r="L79" s="2"/>
      <c r="M79" s="2"/>
    </row>
    <row r="80" spans="1:13">
      <c r="A80" s="5">
        <v>76</v>
      </c>
      <c r="B80" s="5" t="str">
        <f>IF(MASTER_AR_REPORT!E133="","",MASTER_AR_REPORT!E133)</f>
        <v>YADA LAXMAIAH BOOK SELLERS &amp; STATIONERY</v>
      </c>
      <c r="C80" s="5" t="str">
        <f>IF(MASTER_AR_REPORT!D133="","",MASTER_AR_REPORT!D133)</f>
        <v>C-SLG/1879/25-26</v>
      </c>
      <c r="D80" s="11">
        <f>MASTER_AR_REPORT!C133</f>
        <v>46002</v>
      </c>
      <c r="E80" s="11">
        <f>MASTER_AR_REPORT!G133</f>
        <v>46027</v>
      </c>
      <c r="F80" s="6">
        <f>MASTER_AR_REPORT!I133</f>
        <v>5197</v>
      </c>
      <c r="G80" s="5">
        <f ca="1">MASTER_AR_REPORT!J133</f>
        <v>137</v>
      </c>
      <c r="H80" s="5" t="str">
        <f ca="1">MASTER_AR_REPORT!K133</f>
        <v>90+ Days</v>
      </c>
      <c r="I80" s="5" t="str">
        <f ca="1">MASTER_AR_REPORT!L133</f>
        <v>HIGH RISK</v>
      </c>
      <c r="J80" s="5" t="str">
        <f ca="1">MASTER_AR_REPORT!M133</f>
        <v>Immediate Action</v>
      </c>
      <c r="K80" s="5" t="s">
        <v>63</v>
      </c>
      <c r="L80" s="5"/>
      <c r="M80" s="5"/>
    </row>
    <row r="81" spans="1:13">
      <c r="A81" s="2">
        <v>77</v>
      </c>
      <c r="B81" s="2" t="str">
        <f>IF(MASTER_AR_REPORT!E134="","",MASTER_AR_REPORT!E134)</f>
        <v>BAGARIA AGENCIES</v>
      </c>
      <c r="C81" s="2" t="str">
        <f>IF(MASTER_AR_REPORT!D134="","",MASTER_AR_REPORT!D134)</f>
        <v>Bounce Charges-429</v>
      </c>
      <c r="D81" s="12">
        <f>MASTER_AR_REPORT!C134</f>
        <v>45083</v>
      </c>
      <c r="E81" s="12">
        <f>MASTER_AR_REPORT!G134</f>
        <v>45083</v>
      </c>
      <c r="F81" s="3">
        <f>MASTER_AR_REPORT!I134</f>
        <v>500</v>
      </c>
      <c r="G81" s="2">
        <f ca="1">MASTER_AR_REPORT!J134</f>
        <v>1081</v>
      </c>
      <c r="H81" s="2" t="str">
        <f ca="1">MASTER_AR_REPORT!K134</f>
        <v>90+ Days</v>
      </c>
      <c r="I81" s="2" t="str">
        <f ca="1">MASTER_AR_REPORT!L134</f>
        <v>HIGH RISK</v>
      </c>
      <c r="J81" s="2" t="str">
        <f ca="1">MASTER_AR_REPORT!M134</f>
        <v>Immediate Action</v>
      </c>
      <c r="K81" s="2" t="s">
        <v>63</v>
      </c>
      <c r="L81" s="2"/>
      <c r="M81" s="2"/>
    </row>
    <row r="82" spans="1:13">
      <c r="A82" s="5">
        <v>78</v>
      </c>
      <c r="B82" s="5" t="str">
        <f>IF(MASTER_AR_REPORT!E135="","",MASTER_AR_REPORT!E135)</f>
        <v>BAGARIA AGENCIES</v>
      </c>
      <c r="C82" s="5" t="str">
        <f>IF(MASTER_AR_REPORT!D135="","",MASTER_AR_REPORT!D135)</f>
        <v>C-SLG/2322/25-26</v>
      </c>
      <c r="D82" s="11">
        <f>MASTER_AR_REPORT!C135</f>
        <v>46087</v>
      </c>
      <c r="E82" s="11">
        <f>MASTER_AR_REPORT!G135</f>
        <v>46112</v>
      </c>
      <c r="F82" s="6">
        <f>MASTER_AR_REPORT!I135</f>
        <v>1427</v>
      </c>
      <c r="G82" s="5">
        <f ca="1">MASTER_AR_REPORT!J135</f>
        <v>52</v>
      </c>
      <c r="H82" s="5" t="str">
        <f ca="1">MASTER_AR_REPORT!K135</f>
        <v>31-60 Days</v>
      </c>
      <c r="I82" s="5" t="str">
        <f ca="1">MASTER_AR_REPORT!L135</f>
        <v>Low-Medium</v>
      </c>
      <c r="J82" s="5" t="str">
        <f ca="1">MASTER_AR_REPORT!M135</f>
        <v>Medium</v>
      </c>
      <c r="K82" s="5" t="s">
        <v>63</v>
      </c>
      <c r="L82" s="5"/>
      <c r="M82" s="5"/>
    </row>
    <row r="83" spans="1:13">
      <c r="A83" s="2">
        <v>79</v>
      </c>
      <c r="B83" s="2" t="str">
        <f>IF(MASTER_AR_REPORT!E136="","",MASTER_AR_REPORT!E136)</f>
        <v>BALAJI ENTERPRISES</v>
      </c>
      <c r="C83" s="2" t="str">
        <f>IF(MASTER_AR_REPORT!D136="","",MASTER_AR_REPORT!D136)</f>
        <v>Bounce Charges-803</v>
      </c>
      <c r="D83" s="12">
        <f>MASTER_AR_REPORT!C136</f>
        <v>45870</v>
      </c>
      <c r="E83" s="12">
        <f>MASTER_AR_REPORT!G136</f>
        <v>45895</v>
      </c>
      <c r="F83" s="3">
        <f>MASTER_AR_REPORT!I136</f>
        <v>400</v>
      </c>
      <c r="G83" s="2">
        <f ca="1">MASTER_AR_REPORT!J136</f>
        <v>269</v>
      </c>
      <c r="H83" s="2" t="str">
        <f ca="1">MASTER_AR_REPORT!K136</f>
        <v>90+ Days</v>
      </c>
      <c r="I83" s="2" t="str">
        <f ca="1">MASTER_AR_REPORT!L136</f>
        <v>HIGH RISK</v>
      </c>
      <c r="J83" s="2" t="str">
        <f ca="1">MASTER_AR_REPORT!M136</f>
        <v>Immediate Action</v>
      </c>
      <c r="K83" s="2" t="s">
        <v>63</v>
      </c>
      <c r="L83" s="2"/>
      <c r="M83" s="2"/>
    </row>
    <row r="84" spans="1:13">
      <c r="A84" s="5">
        <v>80</v>
      </c>
      <c r="B84" s="5" t="str">
        <f>IF(MASTER_AR_REPORT!E139="","",MASTER_AR_REPORT!E139)</f>
        <v>BANNU ENTERPRISES</v>
      </c>
      <c r="C84" s="5" t="str">
        <f>IF(MASTER_AR_REPORT!D139="","",MASTER_AR_REPORT!D139)</f>
        <v>C-SLG/2438/25-26</v>
      </c>
      <c r="D84" s="11">
        <f>MASTER_AR_REPORT!C139</f>
        <v>46107</v>
      </c>
      <c r="E84" s="11">
        <f>MASTER_AR_REPORT!G139</f>
        <v>46107</v>
      </c>
      <c r="F84" s="6">
        <f>MASTER_AR_REPORT!I139</f>
        <v>67462</v>
      </c>
      <c r="G84" s="5">
        <f ca="1">MASTER_AR_REPORT!J139</f>
        <v>57</v>
      </c>
      <c r="H84" s="5" t="str">
        <f ca="1">MASTER_AR_REPORT!K139</f>
        <v>31-60 Days</v>
      </c>
      <c r="I84" s="5" t="str">
        <f ca="1">MASTER_AR_REPORT!L139</f>
        <v>Low-Medium</v>
      </c>
      <c r="J84" s="5" t="str">
        <f ca="1">MASTER_AR_REPORT!M139</f>
        <v>Medium</v>
      </c>
      <c r="K84" s="5" t="s">
        <v>63</v>
      </c>
      <c r="L84" s="5"/>
      <c r="M84" s="5"/>
    </row>
    <row r="85" spans="1:13">
      <c r="A85" s="2">
        <v>81</v>
      </c>
      <c r="B85" s="2" t="str">
        <f>IF(MASTER_AR_REPORT!E140="","",MASTER_AR_REPORT!E140)</f>
        <v>DHANLAKSHMI ENTERPRISES</v>
      </c>
      <c r="C85" s="2" t="str">
        <f>IF(MASTER_AR_REPORT!D140="","",MASTER_AR_REPORT!D140)</f>
        <v>Bounce Charges-2567</v>
      </c>
      <c r="D85" s="12">
        <f>MASTER_AR_REPORT!C140</f>
        <v>46087</v>
      </c>
      <c r="E85" s="12">
        <f>MASTER_AR_REPORT!G140</f>
        <v>46112</v>
      </c>
      <c r="F85" s="3">
        <f>MASTER_AR_REPORT!I140</f>
        <v>500</v>
      </c>
      <c r="G85" s="2">
        <f ca="1">MASTER_AR_REPORT!J140</f>
        <v>52</v>
      </c>
      <c r="H85" s="2" t="str">
        <f ca="1">MASTER_AR_REPORT!K140</f>
        <v>31-60 Days</v>
      </c>
      <c r="I85" s="2" t="str">
        <f ca="1">MASTER_AR_REPORT!L140</f>
        <v>Low-Medium</v>
      </c>
      <c r="J85" s="2" t="str">
        <f ca="1">MASTER_AR_REPORT!M140</f>
        <v>Medium</v>
      </c>
      <c r="K85" s="2" t="s">
        <v>63</v>
      </c>
      <c r="L85" s="2"/>
      <c r="M85" s="2"/>
    </row>
    <row r="86" spans="1:13">
      <c r="A86" s="5">
        <v>82</v>
      </c>
      <c r="B86" s="5" t="str">
        <f>IF(MASTER_AR_REPORT!E141="","",MASTER_AR_REPORT!E141)</f>
        <v>Dynamic Computer &amp; Stationery</v>
      </c>
      <c r="C86" s="5" t="str">
        <f>IF(MASTER_AR_REPORT!D141="","",MASTER_AR_REPORT!D141)</f>
        <v>C-SLG/1915/25-26</v>
      </c>
      <c r="D86" s="11">
        <f>MASTER_AR_REPORT!C141</f>
        <v>46008</v>
      </c>
      <c r="E86" s="11">
        <f>MASTER_AR_REPORT!G141</f>
        <v>46033</v>
      </c>
      <c r="F86" s="6">
        <f>MASTER_AR_REPORT!I141</f>
        <v>101670</v>
      </c>
      <c r="G86" s="5">
        <f ca="1">MASTER_AR_REPORT!J141</f>
        <v>131</v>
      </c>
      <c r="H86" s="5" t="str">
        <f ca="1">MASTER_AR_REPORT!K141</f>
        <v>90+ Days</v>
      </c>
      <c r="I86" s="5" t="str">
        <f ca="1">MASTER_AR_REPORT!L141</f>
        <v>HIGH RISK</v>
      </c>
      <c r="J86" s="5" t="str">
        <f ca="1">MASTER_AR_REPORT!M141</f>
        <v>Immediate Action</v>
      </c>
      <c r="K86" s="5" t="s">
        <v>63</v>
      </c>
      <c r="L86" s="5"/>
      <c r="M86" s="5"/>
    </row>
    <row r="87" spans="1:13">
      <c r="A87" s="2">
        <v>83</v>
      </c>
      <c r="B87" s="2" t="str">
        <f>IF(MASTER_AR_REPORT!E142="","",MASTER_AR_REPORT!E142)</f>
        <v>Dynamic Computer &amp; Stationery</v>
      </c>
      <c r="C87" s="2" t="str">
        <f>IF(MASTER_AR_REPORT!D142="","",MASTER_AR_REPORT!D142)</f>
        <v>C-SLG/1933/25-26</v>
      </c>
      <c r="D87" s="12">
        <f>MASTER_AR_REPORT!C142</f>
        <v>46009</v>
      </c>
      <c r="E87" s="12">
        <f>MASTER_AR_REPORT!G142</f>
        <v>46034</v>
      </c>
      <c r="F87" s="3">
        <f>MASTER_AR_REPORT!I142</f>
        <v>45784</v>
      </c>
      <c r="G87" s="2">
        <f ca="1">MASTER_AR_REPORT!J142</f>
        <v>130</v>
      </c>
      <c r="H87" s="2" t="str">
        <f ca="1">MASTER_AR_REPORT!K142</f>
        <v>90+ Days</v>
      </c>
      <c r="I87" s="2" t="str">
        <f ca="1">MASTER_AR_REPORT!L142</f>
        <v>HIGH RISK</v>
      </c>
      <c r="J87" s="2" t="str">
        <f ca="1">MASTER_AR_REPORT!M142</f>
        <v>Immediate Action</v>
      </c>
      <c r="K87" s="2" t="s">
        <v>63</v>
      </c>
      <c r="L87" s="2"/>
      <c r="M87" s="2"/>
    </row>
    <row r="88" spans="1:13">
      <c r="A88" s="5">
        <v>84</v>
      </c>
      <c r="B88" s="5" t="str">
        <f>IF(MASTER_AR_REPORT!E143="","",MASTER_AR_REPORT!E143)</f>
        <v>Dynamic Computer &amp; Stationery</v>
      </c>
      <c r="C88" s="5" t="str">
        <f>IF(MASTER_AR_REPORT!D143="","",MASTER_AR_REPORT!D143)</f>
        <v>C-SLG/1938/25-26</v>
      </c>
      <c r="D88" s="11">
        <f>MASTER_AR_REPORT!C143</f>
        <v>46011</v>
      </c>
      <c r="E88" s="11">
        <f>MASTER_AR_REPORT!G143</f>
        <v>46036</v>
      </c>
      <c r="F88" s="6">
        <f>MASTER_AR_REPORT!I143</f>
        <v>217599</v>
      </c>
      <c r="G88" s="5">
        <f ca="1">MASTER_AR_REPORT!J143</f>
        <v>128</v>
      </c>
      <c r="H88" s="5" t="str">
        <f ca="1">MASTER_AR_REPORT!K143</f>
        <v>90+ Days</v>
      </c>
      <c r="I88" s="5" t="str">
        <f ca="1">MASTER_AR_REPORT!L143</f>
        <v>HIGH RISK</v>
      </c>
      <c r="J88" s="5" t="str">
        <f ca="1">MASTER_AR_REPORT!M143</f>
        <v>Immediate Action</v>
      </c>
      <c r="K88" s="5" t="s">
        <v>63</v>
      </c>
      <c r="L88" s="5"/>
      <c r="M88" s="5"/>
    </row>
    <row r="89" spans="1:13">
      <c r="A89" s="2">
        <v>85</v>
      </c>
      <c r="B89" s="2" t="str">
        <f>IF(MASTER_AR_REPORT!E144="","",MASTER_AR_REPORT!E144)</f>
        <v>Dynamic Computer &amp; Stationery</v>
      </c>
      <c r="C89" s="2" t="str">
        <f>IF(MASTER_AR_REPORT!D144="","",MASTER_AR_REPORT!D144)</f>
        <v>C-SLG/2380/25-26</v>
      </c>
      <c r="D89" s="12">
        <f>MASTER_AR_REPORT!C144</f>
        <v>46094</v>
      </c>
      <c r="E89" s="12">
        <f>MASTER_AR_REPORT!G144</f>
        <v>46119</v>
      </c>
      <c r="F89" s="3">
        <f>MASTER_AR_REPORT!I144</f>
        <v>134125</v>
      </c>
      <c r="G89" s="2">
        <f ca="1">MASTER_AR_REPORT!J144</f>
        <v>45</v>
      </c>
      <c r="H89" s="2" t="str">
        <f ca="1">MASTER_AR_REPORT!K144</f>
        <v>31-60 Days</v>
      </c>
      <c r="I89" s="2" t="str">
        <f ca="1">MASTER_AR_REPORT!L144</f>
        <v>Low-Medium</v>
      </c>
      <c r="J89" s="2" t="str">
        <f ca="1">MASTER_AR_REPORT!M144</f>
        <v>Medium</v>
      </c>
      <c r="K89" s="2" t="s">
        <v>63</v>
      </c>
      <c r="L89" s="2"/>
      <c r="M89" s="2"/>
    </row>
    <row r="90" spans="1:13">
      <c r="A90" s="5">
        <v>86</v>
      </c>
      <c r="B90" s="5" t="str">
        <f>IF(MASTER_AR_REPORT!E149="","",MASTER_AR_REPORT!E149)</f>
        <v>K D M MARKETING</v>
      </c>
      <c r="C90" s="5" t="str">
        <f>IF(MASTER_AR_REPORT!D149="","",MASTER_AR_REPORT!D149)</f>
        <v>C-SLG/1781/25-26</v>
      </c>
      <c r="D90" s="11">
        <f>MASTER_AR_REPORT!C149</f>
        <v>45988</v>
      </c>
      <c r="E90" s="11">
        <f>MASTER_AR_REPORT!G149</f>
        <v>46013</v>
      </c>
      <c r="F90" s="6">
        <f>MASTER_AR_REPORT!I149</f>
        <v>107348</v>
      </c>
      <c r="G90" s="5">
        <f ca="1">MASTER_AR_REPORT!J149</f>
        <v>151</v>
      </c>
      <c r="H90" s="5" t="str">
        <f ca="1">MASTER_AR_REPORT!K149</f>
        <v>90+ Days</v>
      </c>
      <c r="I90" s="5" t="str">
        <f ca="1">MASTER_AR_REPORT!L149</f>
        <v>HIGH RISK</v>
      </c>
      <c r="J90" s="5" t="str">
        <f ca="1">MASTER_AR_REPORT!M149</f>
        <v>Immediate Action</v>
      </c>
      <c r="K90" s="5" t="s">
        <v>63</v>
      </c>
      <c r="L90" s="5"/>
      <c r="M90" s="5"/>
    </row>
    <row r="91" spans="1:13">
      <c r="A91" s="2">
        <v>87</v>
      </c>
      <c r="B91" s="2" t="str">
        <f>IF(MASTER_AR_REPORT!E154="","",MASTER_AR_REPORT!E154)</f>
        <v>Narender Stationary</v>
      </c>
      <c r="C91" s="2" t="str">
        <f>IF(MASTER_AR_REPORT!D154="","",MASTER_AR_REPORT!D154)</f>
        <v>C-SLG/2418/25-26</v>
      </c>
      <c r="D91" s="12">
        <f>MASTER_AR_REPORT!C154</f>
        <v>46104</v>
      </c>
      <c r="E91" s="12">
        <f>MASTER_AR_REPORT!G154</f>
        <v>46129</v>
      </c>
      <c r="F91" s="3">
        <f>MASTER_AR_REPORT!I154</f>
        <v>1329</v>
      </c>
      <c r="G91" s="2">
        <f ca="1">MASTER_AR_REPORT!J154</f>
        <v>35</v>
      </c>
      <c r="H91" s="2" t="str">
        <f ca="1">MASTER_AR_REPORT!K154</f>
        <v>31-60 Days</v>
      </c>
      <c r="I91" s="2" t="str">
        <f ca="1">MASTER_AR_REPORT!L154</f>
        <v>Low-Medium</v>
      </c>
      <c r="J91" s="2" t="str">
        <f ca="1">MASTER_AR_REPORT!M154</f>
        <v>Medium</v>
      </c>
      <c r="K91" s="2" t="s">
        <v>63</v>
      </c>
      <c r="L91" s="2"/>
      <c r="M91" s="2"/>
    </row>
    <row r="92" spans="1:13">
      <c r="A92" s="5">
        <v>88</v>
      </c>
      <c r="B92" s="5" t="str">
        <f>IF(MASTER_AR_REPORT!E156="","",MASTER_AR_REPORT!E156)</f>
        <v>PAVAN STATIONERY MART</v>
      </c>
      <c r="C92" s="5" t="str">
        <f>IF(MASTER_AR_REPORT!D156="","",MASTER_AR_REPORT!D156)</f>
        <v>C-SLG/2417/25-26</v>
      </c>
      <c r="D92" s="11">
        <f>MASTER_AR_REPORT!C156</f>
        <v>46104</v>
      </c>
      <c r="E92" s="11">
        <f>MASTER_AR_REPORT!G156</f>
        <v>46129</v>
      </c>
      <c r="F92" s="6">
        <f>MASTER_AR_REPORT!I156</f>
        <v>1329</v>
      </c>
      <c r="G92" s="5">
        <f ca="1">MASTER_AR_REPORT!J156</f>
        <v>35</v>
      </c>
      <c r="H92" s="5" t="str">
        <f ca="1">MASTER_AR_REPORT!K156</f>
        <v>31-60 Days</v>
      </c>
      <c r="I92" s="5" t="str">
        <f ca="1">MASTER_AR_REPORT!L156</f>
        <v>Low-Medium</v>
      </c>
      <c r="J92" s="5" t="str">
        <f ca="1">MASTER_AR_REPORT!M156</f>
        <v>Medium</v>
      </c>
      <c r="K92" s="5" t="s">
        <v>63</v>
      </c>
      <c r="L92" s="5"/>
      <c r="M92" s="5"/>
    </row>
    <row r="93" spans="1:13">
      <c r="A93" s="2">
        <v>89</v>
      </c>
      <c r="B93" s="2" t="str">
        <f>IF(MASTER_AR_REPORT!E157="","",MASTER_AR_REPORT!E157)</f>
        <v>RAHUL STATIONERS</v>
      </c>
      <c r="C93" s="2" t="str">
        <f>IF(MASTER_AR_REPORT!D157="","",MASTER_AR_REPORT!D157)</f>
        <v>C-SLG/2325/25-26</v>
      </c>
      <c r="D93" s="12">
        <f>MASTER_AR_REPORT!C157</f>
        <v>46087</v>
      </c>
      <c r="E93" s="12">
        <f>MASTER_AR_REPORT!G157</f>
        <v>46112</v>
      </c>
      <c r="F93" s="3">
        <f>MASTER_AR_REPORT!I157</f>
        <v>1427</v>
      </c>
      <c r="G93" s="2">
        <f ca="1">MASTER_AR_REPORT!J157</f>
        <v>52</v>
      </c>
      <c r="H93" s="2" t="str">
        <f ca="1">MASTER_AR_REPORT!K157</f>
        <v>31-60 Days</v>
      </c>
      <c r="I93" s="2" t="str">
        <f ca="1">MASTER_AR_REPORT!L157</f>
        <v>Low-Medium</v>
      </c>
      <c r="J93" s="2" t="str">
        <f ca="1">MASTER_AR_REPORT!M157</f>
        <v>Medium</v>
      </c>
      <c r="K93" s="2" t="s">
        <v>63</v>
      </c>
      <c r="L93" s="2"/>
      <c r="M93" s="2"/>
    </row>
    <row r="94" spans="1:13">
      <c r="A94" s="5">
        <v>90</v>
      </c>
      <c r="B94" s="5" t="str">
        <f>IF(MASTER_AR_REPORT!E158="","",MASTER_AR_REPORT!E158)</f>
        <v>RAJKAMAL AGENCIES</v>
      </c>
      <c r="C94" s="5" t="str">
        <f>IF(MASTER_AR_REPORT!D158="","",MASTER_AR_REPORT!D158)</f>
        <v>C-SLG/2395/25-26</v>
      </c>
      <c r="D94" s="11">
        <f>MASTER_AR_REPORT!C158</f>
        <v>46098</v>
      </c>
      <c r="E94" s="11">
        <f>MASTER_AR_REPORT!G158</f>
        <v>46123</v>
      </c>
      <c r="F94" s="6">
        <f>MASTER_AR_REPORT!I158</f>
        <v>75814</v>
      </c>
      <c r="G94" s="5">
        <f ca="1">MASTER_AR_REPORT!J158</f>
        <v>41</v>
      </c>
      <c r="H94" s="5" t="str">
        <f ca="1">MASTER_AR_REPORT!K158</f>
        <v>31-60 Days</v>
      </c>
      <c r="I94" s="5" t="str">
        <f ca="1">MASTER_AR_REPORT!L158</f>
        <v>Low-Medium</v>
      </c>
      <c r="J94" s="5" t="str">
        <f ca="1">MASTER_AR_REPORT!M158</f>
        <v>Medium</v>
      </c>
      <c r="K94" s="5" t="s">
        <v>63</v>
      </c>
      <c r="L94" s="5"/>
      <c r="M94" s="5"/>
    </row>
    <row r="95" spans="1:13">
      <c r="A95" s="2">
        <v>91</v>
      </c>
      <c r="B95" s="2" t="str">
        <f>IF(MASTER_AR_REPORT!E164="","",MASTER_AR_REPORT!E164)</f>
        <v>RAJLAXMI STATIONERY</v>
      </c>
      <c r="C95" s="2" t="str">
        <f>IF(MASTER_AR_REPORT!D164="","",MASTER_AR_REPORT!D164)</f>
        <v>Chq Bounce-2101</v>
      </c>
      <c r="D95" s="12">
        <f>MASTER_AR_REPORT!C164</f>
        <v>46015</v>
      </c>
      <c r="E95" s="12">
        <f>MASTER_AR_REPORT!G164</f>
        <v>46040</v>
      </c>
      <c r="F95" s="3">
        <f>MASTER_AR_REPORT!I164</f>
        <v>15000</v>
      </c>
      <c r="G95" s="2">
        <f ca="1">MASTER_AR_REPORT!J164</f>
        <v>124</v>
      </c>
      <c r="H95" s="2" t="str">
        <f ca="1">MASTER_AR_REPORT!K164</f>
        <v>90+ Days</v>
      </c>
      <c r="I95" s="2" t="str">
        <f ca="1">MASTER_AR_REPORT!L164</f>
        <v>HIGH RISK</v>
      </c>
      <c r="J95" s="2" t="str">
        <f ca="1">MASTER_AR_REPORT!M164</f>
        <v>Immediate Action</v>
      </c>
      <c r="K95" s="2" t="s">
        <v>63</v>
      </c>
      <c r="L95" s="2"/>
      <c r="M95" s="2"/>
    </row>
    <row r="96" spans="1:13">
      <c r="A96" s="5">
        <v>92</v>
      </c>
      <c r="B96" s="5" t="str">
        <f>IF(MASTER_AR_REPORT!E165="","",MASTER_AR_REPORT!E165)</f>
        <v>RAJLAXMI STATIONERY</v>
      </c>
      <c r="C96" s="5" t="str">
        <f>IF(MASTER_AR_REPORT!D165="","",MASTER_AR_REPORT!D165)</f>
        <v>Bounce Charges-2290</v>
      </c>
      <c r="D96" s="11">
        <f>MASTER_AR_REPORT!C165</f>
        <v>46042</v>
      </c>
      <c r="E96" s="11">
        <f>MASTER_AR_REPORT!G165</f>
        <v>46067</v>
      </c>
      <c r="F96" s="6">
        <f>MASTER_AR_REPORT!I165</f>
        <v>400</v>
      </c>
      <c r="G96" s="5">
        <f ca="1">MASTER_AR_REPORT!J165</f>
        <v>97</v>
      </c>
      <c r="H96" s="5" t="str">
        <f ca="1">MASTER_AR_REPORT!K165</f>
        <v>90+ Days</v>
      </c>
      <c r="I96" s="5" t="str">
        <f ca="1">MASTER_AR_REPORT!L165</f>
        <v>HIGH RISK</v>
      </c>
      <c r="J96" s="5" t="str">
        <f ca="1">MASTER_AR_REPORT!M165</f>
        <v>Immediate Action</v>
      </c>
      <c r="K96" s="5" t="s">
        <v>63</v>
      </c>
      <c r="L96" s="5"/>
      <c r="M96" s="5"/>
    </row>
    <row r="97" spans="1:13">
      <c r="A97" s="2">
        <v>93</v>
      </c>
      <c r="B97" s="2" t="str">
        <f>IF(MASTER_AR_REPORT!E166="","",MASTER_AR_REPORT!E166)</f>
        <v>RAJ MARKETING</v>
      </c>
      <c r="C97" s="2" t="str">
        <f>IF(MASTER_AR_REPORT!D166="","",MASTER_AR_REPORT!D166)</f>
        <v>C-SLG/2306/25-26</v>
      </c>
      <c r="D97" s="12">
        <f>MASTER_AR_REPORT!C166</f>
        <v>46084</v>
      </c>
      <c r="E97" s="12">
        <f>MASTER_AR_REPORT!G166</f>
        <v>46109</v>
      </c>
      <c r="F97" s="3">
        <f>MASTER_AR_REPORT!I166</f>
        <v>26307</v>
      </c>
      <c r="G97" s="2">
        <f ca="1">MASTER_AR_REPORT!J166</f>
        <v>55</v>
      </c>
      <c r="H97" s="2" t="str">
        <f ca="1">MASTER_AR_REPORT!K166</f>
        <v>31-60 Days</v>
      </c>
      <c r="I97" s="2" t="str">
        <f ca="1">MASTER_AR_REPORT!L166</f>
        <v>Low-Medium</v>
      </c>
      <c r="J97" s="2" t="str">
        <f ca="1">MASTER_AR_REPORT!M166</f>
        <v>Medium</v>
      </c>
      <c r="K97" s="2" t="s">
        <v>63</v>
      </c>
      <c r="L97" s="2"/>
      <c r="M97" s="2"/>
    </row>
    <row r="98" spans="1:13">
      <c r="A98" s="5">
        <v>94</v>
      </c>
      <c r="B98" s="5" t="str">
        <f>IF(MASTER_AR_REPORT!E169="","",MASTER_AR_REPORT!E169)</f>
        <v>Ram Stationery Mart</v>
      </c>
      <c r="C98" s="5" t="str">
        <f>IF(MASTER_AR_REPORT!D169="","",MASTER_AR_REPORT!D169)</f>
        <v>C-SLG/00130/25-26</v>
      </c>
      <c r="D98" s="11">
        <f>MASTER_AR_REPORT!C169</f>
        <v>45770</v>
      </c>
      <c r="E98" s="11">
        <f>MASTER_AR_REPORT!G169</f>
        <v>45795</v>
      </c>
      <c r="F98" s="6">
        <f>MASTER_AR_REPORT!I169</f>
        <v>613.15</v>
      </c>
      <c r="G98" s="5">
        <f ca="1">MASTER_AR_REPORT!J169</f>
        <v>369</v>
      </c>
      <c r="H98" s="5" t="str">
        <f ca="1">MASTER_AR_REPORT!K169</f>
        <v>90+ Days</v>
      </c>
      <c r="I98" s="5" t="str">
        <f ca="1">MASTER_AR_REPORT!L169</f>
        <v>HIGH RISK</v>
      </c>
      <c r="J98" s="5" t="str">
        <f ca="1">MASTER_AR_REPORT!M169</f>
        <v>Immediate Action</v>
      </c>
      <c r="K98" s="5" t="s">
        <v>63</v>
      </c>
      <c r="L98" s="5"/>
      <c r="M98" s="5"/>
    </row>
    <row r="99" spans="1:13">
      <c r="A99" s="2">
        <v>95</v>
      </c>
      <c r="B99" s="2" t="str">
        <f>IF(MASTER_AR_REPORT!E170="","",MASTER_AR_REPORT!E170)</f>
        <v>Ram Stationery Mart</v>
      </c>
      <c r="C99" s="2" t="str">
        <f>IF(MASTER_AR_REPORT!D170="","",MASTER_AR_REPORT!D170)</f>
        <v>C-SLG/508/25-26</v>
      </c>
      <c r="D99" s="12">
        <f>MASTER_AR_REPORT!C170</f>
        <v>45836</v>
      </c>
      <c r="E99" s="12">
        <f>MASTER_AR_REPORT!G170</f>
        <v>45861</v>
      </c>
      <c r="F99" s="3">
        <f>MASTER_AR_REPORT!I170</f>
        <v>83953</v>
      </c>
      <c r="G99" s="2">
        <f ca="1">MASTER_AR_REPORT!J170</f>
        <v>303</v>
      </c>
      <c r="H99" s="2" t="str">
        <f ca="1">MASTER_AR_REPORT!K170</f>
        <v>90+ Days</v>
      </c>
      <c r="I99" s="2" t="str">
        <f ca="1">MASTER_AR_REPORT!L170</f>
        <v>HIGH RISK</v>
      </c>
      <c r="J99" s="2" t="str">
        <f ca="1">MASTER_AR_REPORT!M170</f>
        <v>Immediate Action</v>
      </c>
      <c r="K99" s="2" t="s">
        <v>63</v>
      </c>
      <c r="L99" s="2"/>
      <c r="M99" s="2"/>
    </row>
    <row r="100" spans="1:13">
      <c r="A100" s="5">
        <v>96</v>
      </c>
      <c r="B100" s="5" t="str">
        <f>IF(MASTER_AR_REPORT!E171="","",MASTER_AR_REPORT!E171)</f>
        <v>Ram Stationery Mart</v>
      </c>
      <c r="C100" s="5" t="str">
        <f>IF(MASTER_AR_REPORT!D171="","",MASTER_AR_REPORT!D171)</f>
        <v>C-SLG/515/25-26</v>
      </c>
      <c r="D100" s="11">
        <f>MASTER_AR_REPORT!C171</f>
        <v>45838</v>
      </c>
      <c r="E100" s="11">
        <f>MASTER_AR_REPORT!G171</f>
        <v>45863</v>
      </c>
      <c r="F100" s="6">
        <f>MASTER_AR_REPORT!I171</f>
        <v>136289</v>
      </c>
      <c r="G100" s="5">
        <f ca="1">MASTER_AR_REPORT!J171</f>
        <v>301</v>
      </c>
      <c r="H100" s="5" t="str">
        <f ca="1">MASTER_AR_REPORT!K171</f>
        <v>90+ Days</v>
      </c>
      <c r="I100" s="5" t="str">
        <f ca="1">MASTER_AR_REPORT!L171</f>
        <v>HIGH RISK</v>
      </c>
      <c r="J100" s="5" t="str">
        <f ca="1">MASTER_AR_REPORT!M171</f>
        <v>Immediate Action</v>
      </c>
      <c r="K100" s="5" t="s">
        <v>63</v>
      </c>
      <c r="L100" s="5"/>
      <c r="M100" s="5"/>
    </row>
    <row r="101" spans="1:13">
      <c r="A101" s="2">
        <v>97</v>
      </c>
      <c r="B101" s="2" t="str">
        <f>IF(MASTER_AR_REPORT!E172="","",MASTER_AR_REPORT!E172)</f>
        <v>Ram Stationery Mart</v>
      </c>
      <c r="C101" s="2" t="str">
        <f>IF(MASTER_AR_REPORT!D172="","",MASTER_AR_REPORT!D172)</f>
        <v>C-SLG/620/25-26</v>
      </c>
      <c r="D101" s="12">
        <f>MASTER_AR_REPORT!C172</f>
        <v>45849</v>
      </c>
      <c r="E101" s="12">
        <f>MASTER_AR_REPORT!G172</f>
        <v>45874</v>
      </c>
      <c r="F101" s="3">
        <f>MASTER_AR_REPORT!I172</f>
        <v>97996</v>
      </c>
      <c r="G101" s="2">
        <f ca="1">MASTER_AR_REPORT!J172</f>
        <v>290</v>
      </c>
      <c r="H101" s="2" t="str">
        <f ca="1">MASTER_AR_REPORT!K172</f>
        <v>90+ Days</v>
      </c>
      <c r="I101" s="2" t="str">
        <f ca="1">MASTER_AR_REPORT!L172</f>
        <v>HIGH RISK</v>
      </c>
      <c r="J101" s="2" t="str">
        <f ca="1">MASTER_AR_REPORT!M172</f>
        <v>Immediate Action</v>
      </c>
      <c r="K101" s="2" t="s">
        <v>63</v>
      </c>
      <c r="L101" s="2"/>
      <c r="M101" s="2"/>
    </row>
    <row r="102" spans="1:13">
      <c r="A102" s="5">
        <v>98</v>
      </c>
      <c r="B102" s="5" t="str">
        <f>IF(MASTER_AR_REPORT!E173="","",MASTER_AR_REPORT!E173)</f>
        <v>Ram Stationery Mart</v>
      </c>
      <c r="C102" s="5" t="str">
        <f>IF(MASTER_AR_REPORT!D173="","",MASTER_AR_REPORT!D173)</f>
        <v>C-SLG/943/25-26</v>
      </c>
      <c r="D102" s="11">
        <f>MASTER_AR_REPORT!C173</f>
        <v>45890</v>
      </c>
      <c r="E102" s="11">
        <f>MASTER_AR_REPORT!G173</f>
        <v>45915</v>
      </c>
      <c r="F102" s="6">
        <f>MASTER_AR_REPORT!I173</f>
        <v>37146</v>
      </c>
      <c r="G102" s="5">
        <f ca="1">MASTER_AR_REPORT!J173</f>
        <v>249</v>
      </c>
      <c r="H102" s="5" t="str">
        <f ca="1">MASTER_AR_REPORT!K173</f>
        <v>90+ Days</v>
      </c>
      <c r="I102" s="5" t="str">
        <f ca="1">MASTER_AR_REPORT!L173</f>
        <v>HIGH RISK</v>
      </c>
      <c r="J102" s="5" t="str">
        <f ca="1">MASTER_AR_REPORT!M173</f>
        <v>Immediate Action</v>
      </c>
      <c r="K102" s="5" t="s">
        <v>63</v>
      </c>
      <c r="L102" s="5"/>
      <c r="M102" s="5"/>
    </row>
    <row r="103" spans="1:13">
      <c r="A103" s="2">
        <v>99</v>
      </c>
      <c r="B103" s="2" t="str">
        <f>IF(MASTER_AR_REPORT!E174="","",MASTER_AR_REPORT!E174)</f>
        <v>Ram Stationery Mart</v>
      </c>
      <c r="C103" s="2" t="str">
        <f>IF(MASTER_AR_REPORT!D174="","",MASTER_AR_REPORT!D174)</f>
        <v>C-SLG/1078/25-26</v>
      </c>
      <c r="D103" s="12">
        <f>MASTER_AR_REPORT!C174</f>
        <v>45905</v>
      </c>
      <c r="E103" s="12">
        <f>MASTER_AR_REPORT!G174</f>
        <v>45930</v>
      </c>
      <c r="F103" s="3">
        <f>MASTER_AR_REPORT!I174</f>
        <v>248440</v>
      </c>
      <c r="G103" s="2">
        <f ca="1">MASTER_AR_REPORT!J174</f>
        <v>234</v>
      </c>
      <c r="H103" s="2" t="str">
        <f ca="1">MASTER_AR_REPORT!K174</f>
        <v>90+ Days</v>
      </c>
      <c r="I103" s="2" t="str">
        <f ca="1">MASTER_AR_REPORT!L174</f>
        <v>HIGH RISK</v>
      </c>
      <c r="J103" s="2" t="str">
        <f ca="1">MASTER_AR_REPORT!M174</f>
        <v>Immediate Action</v>
      </c>
      <c r="K103" s="2" t="s">
        <v>63</v>
      </c>
      <c r="L103" s="2"/>
      <c r="M103" s="2"/>
    </row>
    <row r="104" spans="1:13">
      <c r="A104" s="5">
        <v>100</v>
      </c>
      <c r="B104" s="5" t="str">
        <f>IF(MASTER_AR_REPORT!E175="","",MASTER_AR_REPORT!E175)</f>
        <v>Ram Stationery Mart</v>
      </c>
      <c r="C104" s="5" t="str">
        <f>IF(MASTER_AR_REPORT!D175="","",MASTER_AR_REPORT!D175)</f>
        <v>C-SLG/1244/25-26</v>
      </c>
      <c r="D104" s="11">
        <f>MASTER_AR_REPORT!C175</f>
        <v>45918</v>
      </c>
      <c r="E104" s="11">
        <f>MASTER_AR_REPORT!G175</f>
        <v>45943</v>
      </c>
      <c r="F104" s="6">
        <f>MASTER_AR_REPORT!I175</f>
        <v>143307</v>
      </c>
      <c r="G104" s="5">
        <f ca="1">MASTER_AR_REPORT!J175</f>
        <v>221</v>
      </c>
      <c r="H104" s="5" t="str">
        <f ca="1">MASTER_AR_REPORT!K175</f>
        <v>90+ Days</v>
      </c>
      <c r="I104" s="5" t="str">
        <f ca="1">MASTER_AR_REPORT!L175</f>
        <v>HIGH RISK</v>
      </c>
      <c r="J104" s="5" t="str">
        <f ca="1">MASTER_AR_REPORT!M175</f>
        <v>Immediate Action</v>
      </c>
      <c r="K104" s="5" t="s">
        <v>63</v>
      </c>
      <c r="L104" s="5"/>
      <c r="M104" s="5"/>
    </row>
    <row r="105" spans="1:13">
      <c r="A105" s="2">
        <v>101</v>
      </c>
      <c r="B105" s="2" t="str">
        <f>IF(MASTER_AR_REPORT!E176="","",MASTER_AR_REPORT!E176)</f>
        <v>Ram Stationery Mart</v>
      </c>
      <c r="C105" s="2" t="str">
        <f>IF(MASTER_AR_REPORT!D176="","",MASTER_AR_REPORT!D176)</f>
        <v>C-SLG/1326/25-26</v>
      </c>
      <c r="D105" s="12">
        <f>MASTER_AR_REPORT!C176</f>
        <v>45927</v>
      </c>
      <c r="E105" s="12">
        <f>MASTER_AR_REPORT!G176</f>
        <v>45952</v>
      </c>
      <c r="F105" s="3">
        <f>MASTER_AR_REPORT!I176</f>
        <v>19200</v>
      </c>
      <c r="G105" s="2">
        <f ca="1">MASTER_AR_REPORT!J176</f>
        <v>212</v>
      </c>
      <c r="H105" s="2" t="str">
        <f ca="1">MASTER_AR_REPORT!K176</f>
        <v>90+ Days</v>
      </c>
      <c r="I105" s="2" t="str">
        <f ca="1">MASTER_AR_REPORT!L176</f>
        <v>HIGH RISK</v>
      </c>
      <c r="J105" s="2" t="str">
        <f ca="1">MASTER_AR_REPORT!M176</f>
        <v>Immediate Action</v>
      </c>
      <c r="K105" s="2" t="s">
        <v>63</v>
      </c>
      <c r="L105" s="2"/>
      <c r="M105" s="2"/>
    </row>
    <row r="106" spans="1:13">
      <c r="A106" s="5">
        <v>102</v>
      </c>
      <c r="B106" s="5" t="str">
        <f>IF(MASTER_AR_REPORT!E177="","",MASTER_AR_REPORT!E177)</f>
        <v>Ram Stationery Mart</v>
      </c>
      <c r="C106" s="5" t="str">
        <f>IF(MASTER_AR_REPORT!D177="","",MASTER_AR_REPORT!D177)</f>
        <v>C-SLG/1540/25-26</v>
      </c>
      <c r="D106" s="11">
        <f>MASTER_AR_REPORT!C177</f>
        <v>45955</v>
      </c>
      <c r="E106" s="11">
        <f>MASTER_AR_REPORT!G177</f>
        <v>45980</v>
      </c>
      <c r="F106" s="6">
        <f>MASTER_AR_REPORT!I177</f>
        <v>163657</v>
      </c>
      <c r="G106" s="5">
        <f ca="1">MASTER_AR_REPORT!J177</f>
        <v>184</v>
      </c>
      <c r="H106" s="5" t="str">
        <f ca="1">MASTER_AR_REPORT!K177</f>
        <v>90+ Days</v>
      </c>
      <c r="I106" s="5" t="str">
        <f ca="1">MASTER_AR_REPORT!L177</f>
        <v>HIGH RISK</v>
      </c>
      <c r="J106" s="5" t="str">
        <f ca="1">MASTER_AR_REPORT!M177</f>
        <v>Immediate Action</v>
      </c>
      <c r="K106" s="5" t="s">
        <v>63</v>
      </c>
      <c r="L106" s="5"/>
      <c r="M106" s="5"/>
    </row>
    <row r="107" spans="1:13">
      <c r="A107" s="2">
        <v>103</v>
      </c>
      <c r="B107" s="2" t="str">
        <f>IF(MASTER_AR_REPORT!E178="","",MASTER_AR_REPORT!E178)</f>
        <v>Ram Stationery Mart</v>
      </c>
      <c r="C107" s="2" t="str">
        <f>IF(MASTER_AR_REPORT!D178="","",MASTER_AR_REPORT!D178)</f>
        <v>C-SLG/1673/25-26</v>
      </c>
      <c r="D107" s="12">
        <f>MASTER_AR_REPORT!C178</f>
        <v>45978</v>
      </c>
      <c r="E107" s="12">
        <f>MASTER_AR_REPORT!G178</f>
        <v>46003</v>
      </c>
      <c r="F107" s="3">
        <f>MASTER_AR_REPORT!I178</f>
        <v>5143</v>
      </c>
      <c r="G107" s="2">
        <f ca="1">MASTER_AR_REPORT!J178</f>
        <v>161</v>
      </c>
      <c r="H107" s="2" t="str">
        <f ca="1">MASTER_AR_REPORT!K178</f>
        <v>90+ Days</v>
      </c>
      <c r="I107" s="2" t="str">
        <f ca="1">MASTER_AR_REPORT!L178</f>
        <v>HIGH RISK</v>
      </c>
      <c r="J107" s="2" t="str">
        <f ca="1">MASTER_AR_REPORT!M178</f>
        <v>Immediate Action</v>
      </c>
      <c r="K107" s="2" t="s">
        <v>63</v>
      </c>
      <c r="L107" s="2"/>
      <c r="M107" s="2"/>
    </row>
    <row r="108" spans="1:13">
      <c r="A108" s="5">
        <v>104</v>
      </c>
      <c r="B108" s="5" t="str">
        <f>IF(MASTER_AR_REPORT!E179="","",MASTER_AR_REPORT!E179)</f>
        <v>Ram Stationery Mart</v>
      </c>
      <c r="C108" s="5" t="str">
        <f>IF(MASTER_AR_REPORT!D179="","",MASTER_AR_REPORT!D179)</f>
        <v>C-SLG/2018/25-26</v>
      </c>
      <c r="D108" s="11">
        <f>MASTER_AR_REPORT!C179</f>
        <v>46022</v>
      </c>
      <c r="E108" s="11">
        <f>MASTER_AR_REPORT!G179</f>
        <v>46047</v>
      </c>
      <c r="F108" s="6">
        <f>MASTER_AR_REPORT!I179</f>
        <v>105970.48</v>
      </c>
      <c r="G108" s="5">
        <f ca="1">MASTER_AR_REPORT!J179</f>
        <v>117</v>
      </c>
      <c r="H108" s="5" t="str">
        <f ca="1">MASTER_AR_REPORT!K179</f>
        <v>90+ Days</v>
      </c>
      <c r="I108" s="5" t="str">
        <f ca="1">MASTER_AR_REPORT!L179</f>
        <v>HIGH RISK</v>
      </c>
      <c r="J108" s="5" t="str">
        <f ca="1">MASTER_AR_REPORT!M179</f>
        <v>Immediate Action</v>
      </c>
      <c r="K108" s="5" t="s">
        <v>63</v>
      </c>
      <c r="L108" s="5"/>
      <c r="M108" s="5"/>
    </row>
    <row r="109" spans="1:13">
      <c r="A109" s="2">
        <v>105</v>
      </c>
      <c r="B109" s="2" t="str">
        <f>IF(MASTER_AR_REPORT!E180="","",MASTER_AR_REPORT!E180)</f>
        <v>Ram Stationery Mart</v>
      </c>
      <c r="C109" s="2" t="str">
        <f>IF(MASTER_AR_REPORT!D180="","",MASTER_AR_REPORT!D180)</f>
        <v>C-SLG/2030/25-26</v>
      </c>
      <c r="D109" s="12">
        <f>MASTER_AR_REPORT!C180</f>
        <v>46025</v>
      </c>
      <c r="E109" s="12">
        <f>MASTER_AR_REPORT!G180</f>
        <v>46050</v>
      </c>
      <c r="F109" s="3">
        <f>MASTER_AR_REPORT!I180</f>
        <v>53447.25</v>
      </c>
      <c r="G109" s="2">
        <f ca="1">MASTER_AR_REPORT!J180</f>
        <v>114</v>
      </c>
      <c r="H109" s="2" t="str">
        <f ca="1">MASTER_AR_REPORT!K180</f>
        <v>90+ Days</v>
      </c>
      <c r="I109" s="2" t="str">
        <f ca="1">MASTER_AR_REPORT!L180</f>
        <v>HIGH RISK</v>
      </c>
      <c r="J109" s="2" t="str">
        <f ca="1">MASTER_AR_REPORT!M180</f>
        <v>Immediate Action</v>
      </c>
      <c r="K109" s="2" t="s">
        <v>63</v>
      </c>
      <c r="L109" s="2"/>
      <c r="M109" s="2"/>
    </row>
    <row r="110" spans="1:13">
      <c r="A110" s="5">
        <v>106</v>
      </c>
      <c r="B110" s="5" t="str">
        <f>IF(MASTER_AR_REPORT!E181="","",MASTER_AR_REPORT!E181)</f>
        <v>Ram Stationery Mart</v>
      </c>
      <c r="C110" s="5" t="str">
        <f>IF(MASTER_AR_REPORT!D181="","",MASTER_AR_REPORT!D181)</f>
        <v>C-SLG/2156/25-26</v>
      </c>
      <c r="D110" s="11">
        <f>MASTER_AR_REPORT!C181</f>
        <v>46053</v>
      </c>
      <c r="E110" s="11">
        <f>MASTER_AR_REPORT!G181</f>
        <v>46078</v>
      </c>
      <c r="F110" s="6">
        <f>MASTER_AR_REPORT!I181</f>
        <v>155010</v>
      </c>
      <c r="G110" s="5">
        <f ca="1">MASTER_AR_REPORT!J181</f>
        <v>86</v>
      </c>
      <c r="H110" s="5" t="str">
        <f ca="1">MASTER_AR_REPORT!K181</f>
        <v>61-90 Days</v>
      </c>
      <c r="I110" s="5" t="str">
        <f ca="1">MASTER_AR_REPORT!L181</f>
        <v>Medium</v>
      </c>
      <c r="J110" s="5" t="str">
        <f ca="1">MASTER_AR_REPORT!M181</f>
        <v>Urgent</v>
      </c>
      <c r="K110" s="5" t="s">
        <v>63</v>
      </c>
      <c r="L110" s="5"/>
      <c r="M110" s="5"/>
    </row>
    <row r="111" spans="1:13">
      <c r="A111" s="2">
        <v>107</v>
      </c>
      <c r="B111" s="2" t="str">
        <f>IF(MASTER_AR_REPORT!E184="","",MASTER_AR_REPORT!E184)</f>
        <v>REMAX ENTERPRISES</v>
      </c>
      <c r="C111" s="2" t="str">
        <f>IF(MASTER_AR_REPORT!D184="","",MASTER_AR_REPORT!D184)</f>
        <v>C-SLG/2061/25-26</v>
      </c>
      <c r="D111" s="12">
        <f>MASTER_AR_REPORT!C184</f>
        <v>46031</v>
      </c>
      <c r="E111" s="12">
        <f>MASTER_AR_REPORT!G184</f>
        <v>46056</v>
      </c>
      <c r="F111" s="3">
        <f>MASTER_AR_REPORT!I184</f>
        <v>5</v>
      </c>
      <c r="G111" s="2">
        <f ca="1">MASTER_AR_REPORT!J184</f>
        <v>108</v>
      </c>
      <c r="H111" s="2" t="str">
        <f ca="1">MASTER_AR_REPORT!K184</f>
        <v>90+ Days</v>
      </c>
      <c r="I111" s="2" t="str">
        <f ca="1">MASTER_AR_REPORT!L184</f>
        <v>HIGH RISK</v>
      </c>
      <c r="J111" s="2" t="str">
        <f ca="1">MASTER_AR_REPORT!M184</f>
        <v>Immediate Action</v>
      </c>
      <c r="K111" s="2" t="s">
        <v>63</v>
      </c>
      <c r="L111" s="2"/>
      <c r="M111" s="2"/>
    </row>
    <row r="112" spans="1:13">
      <c r="A112" s="5">
        <v>108</v>
      </c>
      <c r="B112" s="5" t="str">
        <f>IF(MASTER_AR_REPORT!E185="","",MASTER_AR_REPORT!E185)</f>
        <v>Renuka Enterprises</v>
      </c>
      <c r="C112" s="5" t="str">
        <f>IF(MASTER_AR_REPORT!D185="","",MASTER_AR_REPORT!D185)</f>
        <v>C-SLG/2456/25-26</v>
      </c>
      <c r="D112" s="11">
        <f>MASTER_AR_REPORT!C185</f>
        <v>46107</v>
      </c>
      <c r="E112" s="11">
        <f>MASTER_AR_REPORT!G185</f>
        <v>46132</v>
      </c>
      <c r="F112" s="6">
        <f>MASTER_AR_REPORT!I185</f>
        <v>82798</v>
      </c>
      <c r="G112" s="5">
        <f ca="1">MASTER_AR_REPORT!J185</f>
        <v>32</v>
      </c>
      <c r="H112" s="5" t="str">
        <f ca="1">MASTER_AR_REPORT!K185</f>
        <v>31-60 Days</v>
      </c>
      <c r="I112" s="5" t="str">
        <f ca="1">MASTER_AR_REPORT!L185</f>
        <v>Low-Medium</v>
      </c>
      <c r="J112" s="5" t="str">
        <f ca="1">MASTER_AR_REPORT!M185</f>
        <v>Medium</v>
      </c>
      <c r="K112" s="5" t="s">
        <v>63</v>
      </c>
      <c r="L112" s="5"/>
      <c r="M112" s="5"/>
    </row>
    <row r="113" spans="1:13">
      <c r="A113" s="2">
        <v>109</v>
      </c>
      <c r="B113" s="2" t="str">
        <f>IF(MASTER_AR_REPORT!E190="","",MASTER_AR_REPORT!E190)</f>
        <v>ROLEX Stationary</v>
      </c>
      <c r="C113" s="2" t="str">
        <f>IF(MASTER_AR_REPORT!D190="","",MASTER_AR_REPORT!D190)</f>
        <v>C-SLG/2326/25-26</v>
      </c>
      <c r="D113" s="12">
        <f>MASTER_AR_REPORT!C190</f>
        <v>46087</v>
      </c>
      <c r="E113" s="12">
        <f>MASTER_AR_REPORT!G190</f>
        <v>46112</v>
      </c>
      <c r="F113" s="3">
        <f>MASTER_AR_REPORT!I190</f>
        <v>1427</v>
      </c>
      <c r="G113" s="2">
        <f ca="1">MASTER_AR_REPORT!J190</f>
        <v>52</v>
      </c>
      <c r="H113" s="2" t="str">
        <f ca="1">MASTER_AR_REPORT!K190</f>
        <v>31-60 Days</v>
      </c>
      <c r="I113" s="2" t="str">
        <f ca="1">MASTER_AR_REPORT!L190</f>
        <v>Low-Medium</v>
      </c>
      <c r="J113" s="2" t="str">
        <f ca="1">MASTER_AR_REPORT!M190</f>
        <v>Medium</v>
      </c>
      <c r="K113" s="2" t="s">
        <v>63</v>
      </c>
      <c r="L113" s="2"/>
      <c r="M113" s="2"/>
    </row>
    <row r="114" spans="1:13">
      <c r="A114" s="5">
        <v>110</v>
      </c>
      <c r="B114" s="5" t="str">
        <f>IF(MASTER_AR_REPORT!E191="","",MASTER_AR_REPORT!E191)</f>
        <v>Sha Ghewarchand &amp; Co</v>
      </c>
      <c r="C114" s="5" t="str">
        <f>IF(MASTER_AR_REPORT!D191="","",MASTER_AR_REPORT!D191)</f>
        <v>C-SLG/2416/25-26</v>
      </c>
      <c r="D114" s="11">
        <f>MASTER_AR_REPORT!C191</f>
        <v>46104</v>
      </c>
      <c r="E114" s="11">
        <f>MASTER_AR_REPORT!G191</f>
        <v>46129</v>
      </c>
      <c r="F114" s="6">
        <f>MASTER_AR_REPORT!I191</f>
        <v>1329</v>
      </c>
      <c r="G114" s="5">
        <f ca="1">MASTER_AR_REPORT!J191</f>
        <v>35</v>
      </c>
      <c r="H114" s="5" t="str">
        <f ca="1">MASTER_AR_REPORT!K191</f>
        <v>31-60 Days</v>
      </c>
      <c r="I114" s="5" t="str">
        <f ca="1">MASTER_AR_REPORT!L191</f>
        <v>Low-Medium</v>
      </c>
      <c r="J114" s="5" t="str">
        <f ca="1">MASTER_AR_REPORT!M191</f>
        <v>Medium</v>
      </c>
      <c r="K114" s="5" t="s">
        <v>63</v>
      </c>
      <c r="L114" s="5"/>
      <c r="M114" s="5"/>
    </row>
    <row r="115" spans="1:13">
      <c r="A115" s="2">
        <v>111</v>
      </c>
      <c r="B115" s="2" t="str">
        <f>IF(MASTER_AR_REPORT!E193="","",MASTER_AR_REPORT!E193)</f>
        <v>SRI RAMDEV ENTERPRISES</v>
      </c>
      <c r="C115" s="2" t="str">
        <f>IF(MASTER_AR_REPORT!D193="","",MASTER_AR_REPORT!D193)</f>
        <v>C-SLG/2195/25-26</v>
      </c>
      <c r="D115" s="12">
        <f>MASTER_AR_REPORT!C193</f>
        <v>46059</v>
      </c>
      <c r="E115" s="12">
        <f>MASTER_AR_REPORT!G193</f>
        <v>46084</v>
      </c>
      <c r="F115" s="3">
        <f>MASTER_AR_REPORT!I193</f>
        <v>28600</v>
      </c>
      <c r="G115" s="2">
        <f ca="1">MASTER_AR_REPORT!J193</f>
        <v>80</v>
      </c>
      <c r="H115" s="2" t="str">
        <f ca="1">MASTER_AR_REPORT!K193</f>
        <v>61-90 Days</v>
      </c>
      <c r="I115" s="2" t="str">
        <f ca="1">MASTER_AR_REPORT!L193</f>
        <v>Medium</v>
      </c>
      <c r="J115" s="2" t="str">
        <f ca="1">MASTER_AR_REPORT!M193</f>
        <v>Urgent</v>
      </c>
      <c r="K115" s="2" t="s">
        <v>63</v>
      </c>
      <c r="L115" s="2"/>
      <c r="M115" s="2"/>
    </row>
    <row r="116" spans="1:13">
      <c r="A116" s="5">
        <v>112</v>
      </c>
      <c r="B116" s="5" t="str">
        <f>IF(MASTER_AR_REPORT!E194="","",MASTER_AR_REPORT!E194)</f>
        <v>SRI RAMDEV ENTERPRISES</v>
      </c>
      <c r="C116" s="5" t="str">
        <f>IF(MASTER_AR_REPORT!D194="","",MASTER_AR_REPORT!D194)</f>
        <v>C-SLG/2336/25-26</v>
      </c>
      <c r="D116" s="11">
        <f>MASTER_AR_REPORT!C194</f>
        <v>46087</v>
      </c>
      <c r="E116" s="11">
        <f>MASTER_AR_REPORT!G194</f>
        <v>46112</v>
      </c>
      <c r="F116" s="6">
        <f>MASTER_AR_REPORT!I194</f>
        <v>26307</v>
      </c>
      <c r="G116" s="5">
        <f ca="1">MASTER_AR_REPORT!J194</f>
        <v>52</v>
      </c>
      <c r="H116" s="5" t="str">
        <f ca="1">MASTER_AR_REPORT!K194</f>
        <v>31-60 Days</v>
      </c>
      <c r="I116" s="5" t="str">
        <f ca="1">MASTER_AR_REPORT!L194</f>
        <v>Low-Medium</v>
      </c>
      <c r="J116" s="5" t="str">
        <f ca="1">MASTER_AR_REPORT!M194</f>
        <v>Medium</v>
      </c>
      <c r="K116" s="5" t="s">
        <v>63</v>
      </c>
      <c r="L116" s="5"/>
      <c r="M116" s="5"/>
    </row>
    <row r="117" spans="1:13">
      <c r="A117" s="2">
        <v>113</v>
      </c>
      <c r="B117" s="2" t="str">
        <f>IF(MASTER_AR_REPORT!E197="","",MASTER_AR_REPORT!E197)</f>
        <v>SRI RAM STATIONERY</v>
      </c>
      <c r="C117" s="2" t="str">
        <f>IF(MASTER_AR_REPORT!D197="","",MASTER_AR_REPORT!D197)</f>
        <v>C-SLG/1650/23-24</v>
      </c>
      <c r="D117" s="12">
        <f>MASTER_AR_REPORT!C197</f>
        <v>45202</v>
      </c>
      <c r="E117" s="12">
        <f>MASTER_AR_REPORT!G197</f>
        <v>45202</v>
      </c>
      <c r="F117" s="3">
        <f>MASTER_AR_REPORT!I197</f>
        <v>21098.1</v>
      </c>
      <c r="G117" s="2">
        <f ca="1">MASTER_AR_REPORT!J197</f>
        <v>962</v>
      </c>
      <c r="H117" s="2" t="str">
        <f ca="1">MASTER_AR_REPORT!K197</f>
        <v>90+ Days</v>
      </c>
      <c r="I117" s="2" t="str">
        <f ca="1">MASTER_AR_REPORT!L197</f>
        <v>HIGH RISK</v>
      </c>
      <c r="J117" s="2" t="str">
        <f ca="1">MASTER_AR_REPORT!M197</f>
        <v>Immediate Action</v>
      </c>
      <c r="K117" s="2" t="s">
        <v>63</v>
      </c>
      <c r="L117" s="2"/>
      <c r="M117" s="2"/>
    </row>
    <row r="118" spans="1:13">
      <c r="A118" s="5">
        <v>114</v>
      </c>
      <c r="B118" s="5" t="str">
        <f>IF(MASTER_AR_REPORT!E198="","",MASTER_AR_REPORT!E198)</f>
        <v>SRI RAM STATIONERY</v>
      </c>
      <c r="C118" s="5" t="str">
        <f>IF(MASTER_AR_REPORT!D198="","",MASTER_AR_REPORT!D198)</f>
        <v>C-SLG/2327/25-26</v>
      </c>
      <c r="D118" s="11">
        <f>MASTER_AR_REPORT!C198</f>
        <v>46087</v>
      </c>
      <c r="E118" s="11">
        <f>MASTER_AR_REPORT!G198</f>
        <v>46112</v>
      </c>
      <c r="F118" s="6">
        <f>MASTER_AR_REPORT!I198</f>
        <v>1427</v>
      </c>
      <c r="G118" s="5">
        <f ca="1">MASTER_AR_REPORT!J198</f>
        <v>52</v>
      </c>
      <c r="H118" s="5" t="str">
        <f ca="1">MASTER_AR_REPORT!K198</f>
        <v>31-60 Days</v>
      </c>
      <c r="I118" s="5" t="str">
        <f ca="1">MASTER_AR_REPORT!L198</f>
        <v>Low-Medium</v>
      </c>
      <c r="J118" s="5" t="str">
        <f ca="1">MASTER_AR_REPORT!M198</f>
        <v>Medium</v>
      </c>
      <c r="K118" s="5" t="s">
        <v>63</v>
      </c>
      <c r="L118" s="5"/>
      <c r="M118" s="5"/>
    </row>
    <row r="119" spans="1:13">
      <c r="A119" s="2">
        <v>115</v>
      </c>
      <c r="B119" s="2" t="str">
        <f>IF(MASTER_AR_REPORT!E199="","",MASTER_AR_REPORT!E199)</f>
        <v>TALAWAT STATIONARY</v>
      </c>
      <c r="C119" s="2" t="str">
        <f>IF(MASTER_AR_REPORT!D199="","",MASTER_AR_REPORT!D199)</f>
        <v>C-SLG/2328/25-26</v>
      </c>
      <c r="D119" s="12">
        <f>MASTER_AR_REPORT!C199</f>
        <v>46087</v>
      </c>
      <c r="E119" s="12">
        <f>MASTER_AR_REPORT!G199</f>
        <v>46112</v>
      </c>
      <c r="F119" s="3">
        <f>MASTER_AR_REPORT!I199</f>
        <v>1427</v>
      </c>
      <c r="G119" s="2">
        <f ca="1">MASTER_AR_REPORT!J199</f>
        <v>52</v>
      </c>
      <c r="H119" s="2" t="str">
        <f ca="1">MASTER_AR_REPORT!K199</f>
        <v>31-60 Days</v>
      </c>
      <c r="I119" s="2" t="str">
        <f ca="1">MASTER_AR_REPORT!L199</f>
        <v>Low-Medium</v>
      </c>
      <c r="J119" s="2" t="str">
        <f ca="1">MASTER_AR_REPORT!M199</f>
        <v>Medium</v>
      </c>
      <c r="K119" s="2" t="s">
        <v>63</v>
      </c>
      <c r="L119" s="2"/>
      <c r="M119" s="2"/>
    </row>
    <row r="120" spans="1:13">
      <c r="A120" s="5">
        <v>116</v>
      </c>
      <c r="B120" s="5" t="str">
        <f>IF(MASTER_AR_REPORT!E202="","",MASTER_AR_REPORT!E202)</f>
        <v>V Raja Stationery</v>
      </c>
      <c r="C120" s="5" t="str">
        <f>IF(MASTER_AR_REPORT!D202="","",MASTER_AR_REPORT!D202)</f>
        <v>C-SLG/2330/25-26</v>
      </c>
      <c r="D120" s="11">
        <f>MASTER_AR_REPORT!C202</f>
        <v>46087</v>
      </c>
      <c r="E120" s="11">
        <f>MASTER_AR_REPORT!G202</f>
        <v>46112</v>
      </c>
      <c r="F120" s="6">
        <f>MASTER_AR_REPORT!I202</f>
        <v>52613</v>
      </c>
      <c r="G120" s="5">
        <f ca="1">MASTER_AR_REPORT!J202</f>
        <v>52</v>
      </c>
      <c r="H120" s="5" t="str">
        <f ca="1">MASTER_AR_REPORT!K202</f>
        <v>31-60 Days</v>
      </c>
      <c r="I120" s="5" t="str">
        <f ca="1">MASTER_AR_REPORT!L202</f>
        <v>Low-Medium</v>
      </c>
      <c r="J120" s="5" t="str">
        <f ca="1">MASTER_AR_REPORT!M202</f>
        <v>Medium</v>
      </c>
      <c r="K120" s="5" t="s">
        <v>63</v>
      </c>
      <c r="L120" s="5"/>
      <c r="M120" s="5"/>
    </row>
    <row r="121" spans="1:13">
      <c r="A121" s="2">
        <v>117</v>
      </c>
      <c r="B121" s="2" t="str">
        <f>IF(MASTER_AR_REPORT!E207="","",MASTER_AR_REPORT!E207)</f>
        <v>BSR EXIM</v>
      </c>
      <c r="C121" s="2" t="str">
        <f>IF(MASTER_AR_REPORT!D207="","",MASTER_AR_REPORT!D207)</f>
        <v>C-SLG/2435/25-26</v>
      </c>
      <c r="D121" s="12">
        <f>MASTER_AR_REPORT!C207</f>
        <v>46105</v>
      </c>
      <c r="E121" s="12">
        <f>MASTER_AR_REPORT!G207</f>
        <v>46130</v>
      </c>
      <c r="F121" s="3">
        <f>MASTER_AR_REPORT!I207</f>
        <v>0</v>
      </c>
      <c r="G121" s="2">
        <f ca="1">MASTER_AR_REPORT!J207</f>
        <v>34</v>
      </c>
      <c r="H121" s="2" t="str">
        <f>MASTER_AR_REPORT!K207</f>
        <v>Current</v>
      </c>
      <c r="I121" s="2" t="str">
        <f>MASTER_AR_REPORT!L207</f>
        <v>-</v>
      </c>
      <c r="J121" s="2" t="str">
        <f>MASTER_AR_REPORT!M207</f>
        <v>-</v>
      </c>
      <c r="K121" s="2" t="s">
        <v>63</v>
      </c>
      <c r="L121" s="2"/>
      <c r="M121" s="2"/>
    </row>
    <row r="122" spans="1:13">
      <c r="A122" s="5">
        <v>118</v>
      </c>
      <c r="B122" s="5" t="str">
        <f>IF(MASTER_AR_REPORT!E211="","",MASTER_AR_REPORT!E211)</f>
        <v>ISLAMIA BOOK DEPOT</v>
      </c>
      <c r="C122" s="5" t="str">
        <f>IF(MASTER_AR_REPORT!D211="","",MASTER_AR_REPORT!D211)</f>
        <v>C-SLG/2141/25-26</v>
      </c>
      <c r="D122" s="11">
        <f>MASTER_AR_REPORT!C211</f>
        <v>46051</v>
      </c>
      <c r="E122" s="11">
        <f>MASTER_AR_REPORT!G211</f>
        <v>46076</v>
      </c>
      <c r="F122" s="6">
        <f>MASTER_AR_REPORT!I211</f>
        <v>8136</v>
      </c>
      <c r="G122" s="5">
        <f ca="1">MASTER_AR_REPORT!J211</f>
        <v>88</v>
      </c>
      <c r="H122" s="5" t="str">
        <f ca="1">MASTER_AR_REPORT!K211</f>
        <v>61-90 Days</v>
      </c>
      <c r="I122" s="5" t="str">
        <f ca="1">MASTER_AR_REPORT!L211</f>
        <v>Medium</v>
      </c>
      <c r="J122" s="5" t="str">
        <f ca="1">MASTER_AR_REPORT!M211</f>
        <v>Urgent</v>
      </c>
      <c r="K122" s="5" t="s">
        <v>63</v>
      </c>
      <c r="L122" s="5"/>
      <c r="M122" s="5"/>
    </row>
    <row r="123" spans="1:13">
      <c r="A123" s="2">
        <v>119</v>
      </c>
      <c r="B123" s="2" t="str">
        <f>IF(MASTER_AR_REPORT!E212="","",MASTER_AR_REPORT!E212)</f>
        <v>Jyothi Book Center</v>
      </c>
      <c r="C123" s="2" t="str">
        <f>IF(MASTER_AR_REPORT!D212="","",MASTER_AR_REPORT!D212)</f>
        <v>C-SLG/2123/25-26</v>
      </c>
      <c r="D123" s="12">
        <f>MASTER_AR_REPORT!C212</f>
        <v>46050</v>
      </c>
      <c r="E123" s="12">
        <f>MASTER_AR_REPORT!G212</f>
        <v>46075</v>
      </c>
      <c r="F123" s="3">
        <f>MASTER_AR_REPORT!I212</f>
        <v>400</v>
      </c>
      <c r="G123" s="2">
        <f ca="1">MASTER_AR_REPORT!J212</f>
        <v>89</v>
      </c>
      <c r="H123" s="2" t="str">
        <f ca="1">MASTER_AR_REPORT!K212</f>
        <v>61-90 Days</v>
      </c>
      <c r="I123" s="2" t="str">
        <f ca="1">MASTER_AR_REPORT!L212</f>
        <v>Medium</v>
      </c>
      <c r="J123" s="2" t="str">
        <f ca="1">MASTER_AR_REPORT!M212</f>
        <v>Urgent</v>
      </c>
      <c r="K123" s="2" t="s">
        <v>63</v>
      </c>
      <c r="L123" s="2"/>
      <c r="M123" s="2"/>
    </row>
    <row r="124" spans="1:13">
      <c r="A124" s="5">
        <v>120</v>
      </c>
      <c r="B124" s="5" t="str">
        <f>IF(MASTER_AR_REPORT!E213="","",MASTER_AR_REPORT!E213)</f>
        <v>KAMAL WATCH COMPANY PRIVATE LIMITED</v>
      </c>
      <c r="C124" s="5" t="str">
        <f>IF(MASTER_AR_REPORT!D213="","",MASTER_AR_REPORT!D213)</f>
        <v>C-SLG/2034/25-26</v>
      </c>
      <c r="D124" s="11">
        <f>MASTER_AR_REPORT!C213</f>
        <v>46027</v>
      </c>
      <c r="E124" s="11">
        <f>MASTER_AR_REPORT!G213</f>
        <v>46027</v>
      </c>
      <c r="F124" s="6">
        <f>MASTER_AR_REPORT!I213</f>
        <v>13733</v>
      </c>
      <c r="G124" s="5">
        <f ca="1">MASTER_AR_REPORT!J213</f>
        <v>137</v>
      </c>
      <c r="H124" s="5" t="str">
        <f ca="1">MASTER_AR_REPORT!K213</f>
        <v>90+ Days</v>
      </c>
      <c r="I124" s="5" t="str">
        <f ca="1">MASTER_AR_REPORT!L213</f>
        <v>HIGH RISK</v>
      </c>
      <c r="J124" s="5" t="str">
        <f ca="1">MASTER_AR_REPORT!M213</f>
        <v>Immediate Action</v>
      </c>
      <c r="K124" s="5" t="s">
        <v>63</v>
      </c>
      <c r="L124" s="5"/>
      <c r="M124" s="5"/>
    </row>
    <row r="125" spans="1:13">
      <c r="A125" s="2">
        <v>121</v>
      </c>
      <c r="B125" s="2" t="str">
        <f>IF(MASTER_AR_REPORT!E214="","",MASTER_AR_REPORT!E214)</f>
        <v>KAMAL WATCH COMPANY PRIVATE LIMITED</v>
      </c>
      <c r="C125" s="2" t="str">
        <f>IF(MASTER_AR_REPORT!D214="","",MASTER_AR_REPORT!D214)</f>
        <v>C-SLG/2035/25-26</v>
      </c>
      <c r="D125" s="12">
        <f>MASTER_AR_REPORT!C214</f>
        <v>46027</v>
      </c>
      <c r="E125" s="12">
        <f>MASTER_AR_REPORT!G214</f>
        <v>46027</v>
      </c>
      <c r="F125" s="3">
        <f>MASTER_AR_REPORT!I214</f>
        <v>13733</v>
      </c>
      <c r="G125" s="2">
        <f ca="1">MASTER_AR_REPORT!J214</f>
        <v>137</v>
      </c>
      <c r="H125" s="2" t="str">
        <f ca="1">MASTER_AR_REPORT!K214</f>
        <v>90+ Days</v>
      </c>
      <c r="I125" s="2" t="str">
        <f ca="1">MASTER_AR_REPORT!L214</f>
        <v>HIGH RISK</v>
      </c>
      <c r="J125" s="2" t="str">
        <f ca="1">MASTER_AR_REPORT!M214</f>
        <v>Immediate Action</v>
      </c>
      <c r="K125" s="2" t="s">
        <v>63</v>
      </c>
      <c r="L125" s="2"/>
      <c r="M125" s="2"/>
    </row>
    <row r="126" spans="1:13">
      <c r="A126" s="5">
        <v>122</v>
      </c>
      <c r="B126" s="5" t="str">
        <f>IF(MASTER_AR_REPORT!E215="","",MASTER_AR_REPORT!E215)</f>
        <v>KIRAN ENTERPRISES</v>
      </c>
      <c r="C126" s="5" t="str">
        <f>IF(MASTER_AR_REPORT!D215="","",MASTER_AR_REPORT!D215)</f>
        <v>C-SLG/2454/25-26</v>
      </c>
      <c r="D126" s="11">
        <f>MASTER_AR_REPORT!C215</f>
        <v>46107</v>
      </c>
      <c r="E126" s="11">
        <f>MASTER_AR_REPORT!G215</f>
        <v>46132</v>
      </c>
      <c r="F126" s="6">
        <f>MASTER_AR_REPORT!I215</f>
        <v>100</v>
      </c>
      <c r="G126" s="5">
        <f ca="1">MASTER_AR_REPORT!J215</f>
        <v>32</v>
      </c>
      <c r="H126" s="5" t="str">
        <f ca="1">MASTER_AR_REPORT!K215</f>
        <v>31-60 Days</v>
      </c>
      <c r="I126" s="5" t="str">
        <f ca="1">MASTER_AR_REPORT!L215</f>
        <v>Low-Medium</v>
      </c>
      <c r="J126" s="5" t="str">
        <f ca="1">MASTER_AR_REPORT!M215</f>
        <v>Medium</v>
      </c>
      <c r="K126" s="5" t="s">
        <v>63</v>
      </c>
      <c r="L126" s="5"/>
      <c r="M126" s="5"/>
    </row>
    <row r="127" spans="1:13">
      <c r="A127" s="2">
        <v>123</v>
      </c>
      <c r="B127" s="2" t="str">
        <f>IF(MASTER_AR_REPORT!E218="","",MASTER_AR_REPORT!E218)</f>
        <v>M.M AGENCIES</v>
      </c>
      <c r="C127" s="2" t="str">
        <f>IF(MASTER_AR_REPORT!D218="","",MASTER_AR_REPORT!D218)</f>
        <v>Bounce Charges-174</v>
      </c>
      <c r="D127" s="12">
        <f>MASTER_AR_REPORT!C218</f>
        <v>45960</v>
      </c>
      <c r="E127" s="12">
        <f>MASTER_AR_REPORT!G218</f>
        <v>45985</v>
      </c>
      <c r="F127" s="3">
        <f>MASTER_AR_REPORT!I218</f>
        <v>500</v>
      </c>
      <c r="G127" s="2">
        <f ca="1">MASTER_AR_REPORT!J218</f>
        <v>179</v>
      </c>
      <c r="H127" s="2" t="str">
        <f ca="1">MASTER_AR_REPORT!K218</f>
        <v>90+ Days</v>
      </c>
      <c r="I127" s="2" t="str">
        <f ca="1">MASTER_AR_REPORT!L218</f>
        <v>HIGH RISK</v>
      </c>
      <c r="J127" s="2" t="str">
        <f ca="1">MASTER_AR_REPORT!M218</f>
        <v>Immediate Action</v>
      </c>
      <c r="K127" s="2" t="s">
        <v>63</v>
      </c>
      <c r="L127" s="2"/>
      <c r="M127" s="2"/>
    </row>
    <row r="128" spans="1:13">
      <c r="A128" s="5">
        <v>124</v>
      </c>
      <c r="B128" s="5" t="str">
        <f>IF(MASTER_AR_REPORT!E219="","",MASTER_AR_REPORT!E219)</f>
        <v>M.M AGENCIES</v>
      </c>
      <c r="C128" s="5" t="str">
        <f>IF(MASTER_AR_REPORT!D219="","",MASTER_AR_REPORT!D219)</f>
        <v>C-SLG/2382/25-26</v>
      </c>
      <c r="D128" s="11">
        <f>MASTER_AR_REPORT!C219</f>
        <v>46095</v>
      </c>
      <c r="E128" s="11">
        <f>MASTER_AR_REPORT!G219</f>
        <v>46120</v>
      </c>
      <c r="F128" s="6">
        <f>MASTER_AR_REPORT!I219</f>
        <v>59388</v>
      </c>
      <c r="G128" s="5">
        <f ca="1">MASTER_AR_REPORT!J219</f>
        <v>44</v>
      </c>
      <c r="H128" s="5" t="str">
        <f ca="1">MASTER_AR_REPORT!K219</f>
        <v>31-60 Days</v>
      </c>
      <c r="I128" s="5" t="str">
        <f ca="1">MASTER_AR_REPORT!L219</f>
        <v>Low-Medium</v>
      </c>
      <c r="J128" s="5" t="str">
        <f ca="1">MASTER_AR_REPORT!M219</f>
        <v>Medium</v>
      </c>
      <c r="K128" s="5" t="s">
        <v>63</v>
      </c>
      <c r="L128" s="5"/>
      <c r="M128" s="5"/>
    </row>
    <row r="129" spans="1:13">
      <c r="A129" s="2">
        <v>125</v>
      </c>
      <c r="B129" s="2" t="str">
        <f>IF(MASTER_AR_REPORT!E223="","",MASTER_AR_REPORT!E223)</f>
        <v>New Vidya Book Point (Saroor N)</v>
      </c>
      <c r="C129" s="2" t="str">
        <f>IF(MASTER_AR_REPORT!D223="","",MASTER_AR_REPORT!D223)</f>
        <v>C-SLG/2410/25-26</v>
      </c>
      <c r="D129" s="12">
        <f>MASTER_AR_REPORT!C223</f>
        <v>46101</v>
      </c>
      <c r="E129" s="12">
        <f>MASTER_AR_REPORT!G223</f>
        <v>46126</v>
      </c>
      <c r="F129" s="3">
        <f>MASTER_AR_REPORT!I223</f>
        <v>0</v>
      </c>
      <c r="G129" s="2">
        <f ca="1">MASTER_AR_REPORT!J223</f>
        <v>38</v>
      </c>
      <c r="H129" s="2" t="str">
        <f>MASTER_AR_REPORT!K223</f>
        <v>Current</v>
      </c>
      <c r="I129" s="2" t="str">
        <f>MASTER_AR_REPORT!L223</f>
        <v>-</v>
      </c>
      <c r="J129" s="2" t="str">
        <f>MASTER_AR_REPORT!M223</f>
        <v>-</v>
      </c>
      <c r="K129" s="2" t="s">
        <v>63</v>
      </c>
      <c r="L129" s="2"/>
      <c r="M129" s="2"/>
    </row>
    <row r="130" spans="1:13">
      <c r="A130" s="5">
        <v>126</v>
      </c>
      <c r="B130" s="5" t="str">
        <f>IF(MASTER_AR_REPORT!E224="","",MASTER_AR_REPORT!E224)</f>
        <v>PADMAVATHI PEN STORES</v>
      </c>
      <c r="C130" s="5" t="str">
        <f>IF(MASTER_AR_REPORT!D224="","",MASTER_AR_REPORT!D224)</f>
        <v>C-SLG/2433/25-26</v>
      </c>
      <c r="D130" s="11">
        <f>MASTER_AR_REPORT!C224</f>
        <v>46105</v>
      </c>
      <c r="E130" s="11">
        <f>MASTER_AR_REPORT!G224</f>
        <v>46130</v>
      </c>
      <c r="F130" s="6">
        <f>MASTER_AR_REPORT!I224</f>
        <v>20549</v>
      </c>
      <c r="G130" s="5">
        <f ca="1">MASTER_AR_REPORT!J224</f>
        <v>34</v>
      </c>
      <c r="H130" s="5" t="str">
        <f ca="1">MASTER_AR_REPORT!K224</f>
        <v>31-60 Days</v>
      </c>
      <c r="I130" s="5" t="str">
        <f ca="1">MASTER_AR_REPORT!L224</f>
        <v>Low-Medium</v>
      </c>
      <c r="J130" s="5" t="str">
        <f ca="1">MASTER_AR_REPORT!M224</f>
        <v>Medium</v>
      </c>
      <c r="K130" s="5" t="s">
        <v>63</v>
      </c>
      <c r="L130" s="5"/>
      <c r="M130" s="5"/>
    </row>
    <row r="131" spans="1:13">
      <c r="A131" s="2">
        <v>127</v>
      </c>
      <c r="B131" s="2" t="str">
        <f>IF(MASTER_AR_REPORT!E227="","",MASTER_AR_REPORT!E227)</f>
        <v>Ramdev Stationery (K Puram)</v>
      </c>
      <c r="C131" s="2" t="str">
        <f>IF(MASTER_AR_REPORT!D227="","",MASTER_AR_REPORT!D227)</f>
        <v>C-SLG/471/24-25</v>
      </c>
      <c r="D131" s="12">
        <f>MASTER_AR_REPORT!C227</f>
        <v>45470</v>
      </c>
      <c r="E131" s="12">
        <f>MASTER_AR_REPORT!G227</f>
        <v>45495</v>
      </c>
      <c r="F131" s="3">
        <f>MASTER_AR_REPORT!I227</f>
        <v>4947</v>
      </c>
      <c r="G131" s="2">
        <f ca="1">MASTER_AR_REPORT!J227</f>
        <v>669</v>
      </c>
      <c r="H131" s="2" t="str">
        <f ca="1">MASTER_AR_REPORT!K227</f>
        <v>90+ Days</v>
      </c>
      <c r="I131" s="2" t="str">
        <f ca="1">MASTER_AR_REPORT!L227</f>
        <v>HIGH RISK</v>
      </c>
      <c r="J131" s="2" t="str">
        <f ca="1">MASTER_AR_REPORT!M227</f>
        <v>Immediate Action</v>
      </c>
      <c r="K131" s="2" t="s">
        <v>63</v>
      </c>
      <c r="L131" s="2"/>
      <c r="M131" s="2"/>
    </row>
    <row r="132" spans="1:13">
      <c r="A132" s="5">
        <v>128</v>
      </c>
      <c r="B132" s="5" t="str">
        <f>IF(MASTER_AR_REPORT!E229="","",MASTER_AR_REPORT!E229)</f>
        <v>Sai Ram Book Center</v>
      </c>
      <c r="C132" s="5" t="str">
        <f>IF(MASTER_AR_REPORT!D229="","",MASTER_AR_REPORT!D229)</f>
        <v>C-SLG/3153/23-24</v>
      </c>
      <c r="D132" s="11">
        <f>MASTER_AR_REPORT!C229</f>
        <v>45362</v>
      </c>
      <c r="E132" s="11">
        <f>MASTER_AR_REPORT!G229</f>
        <v>45362</v>
      </c>
      <c r="F132" s="6">
        <f>MASTER_AR_REPORT!I229</f>
        <v>2733</v>
      </c>
      <c r="G132" s="5">
        <f ca="1">MASTER_AR_REPORT!J229</f>
        <v>802</v>
      </c>
      <c r="H132" s="5" t="str">
        <f ca="1">MASTER_AR_REPORT!K229</f>
        <v>90+ Days</v>
      </c>
      <c r="I132" s="5" t="str">
        <f ca="1">MASTER_AR_REPORT!L229</f>
        <v>HIGH RISK</v>
      </c>
      <c r="J132" s="5" t="str">
        <f ca="1">MASTER_AR_REPORT!M229</f>
        <v>Immediate Action</v>
      </c>
      <c r="K132" s="5" t="s">
        <v>63</v>
      </c>
      <c r="L132" s="5"/>
      <c r="M132" s="5"/>
    </row>
    <row r="133" spans="1:13">
      <c r="A133" s="2">
        <v>129</v>
      </c>
      <c r="B133" s="2" t="str">
        <f>IF(MASTER_AR_REPORT!E230="","",MASTER_AR_REPORT!E230)</f>
        <v>Sai Sujit Gifts &amp; Novelties</v>
      </c>
      <c r="C133" s="2" t="str">
        <f>IF(MASTER_AR_REPORT!D230="","",MASTER_AR_REPORT!D230)</f>
        <v>C-SLG/2449/25-26</v>
      </c>
      <c r="D133" s="12">
        <f>MASTER_AR_REPORT!C230</f>
        <v>46107</v>
      </c>
      <c r="E133" s="12">
        <f>MASTER_AR_REPORT!G230</f>
        <v>46132</v>
      </c>
      <c r="F133" s="3">
        <f>MASTER_AR_REPORT!I230</f>
        <v>100</v>
      </c>
      <c r="G133" s="2">
        <f ca="1">MASTER_AR_REPORT!J230</f>
        <v>32</v>
      </c>
      <c r="H133" s="2" t="str">
        <f ca="1">MASTER_AR_REPORT!K230</f>
        <v>31-60 Days</v>
      </c>
      <c r="I133" s="2" t="str">
        <f ca="1">MASTER_AR_REPORT!L230</f>
        <v>Low-Medium</v>
      </c>
      <c r="J133" s="2" t="str">
        <f ca="1">MASTER_AR_REPORT!M230</f>
        <v>Medium</v>
      </c>
      <c r="K133" s="2" t="s">
        <v>63</v>
      </c>
      <c r="L133" s="2"/>
      <c r="M133" s="2"/>
    </row>
    <row r="134" spans="1:13">
      <c r="A134" s="5">
        <v>130</v>
      </c>
      <c r="B134" s="5" t="str">
        <f>IF(MASTER_AR_REPORT!E231="","",MASTER_AR_REPORT!E231)</f>
        <v>Shiva Sai Stationery</v>
      </c>
      <c r="C134" s="5" t="str">
        <f>IF(MASTER_AR_REPORT!D231="","",MASTER_AR_REPORT!D231)</f>
        <v>C-SLG/2450/25-26</v>
      </c>
      <c r="D134" s="11">
        <f>MASTER_AR_REPORT!C231</f>
        <v>46107</v>
      </c>
      <c r="E134" s="11">
        <f>MASTER_AR_REPORT!G231</f>
        <v>46132</v>
      </c>
      <c r="F134" s="6">
        <f>MASTER_AR_REPORT!I231</f>
        <v>100</v>
      </c>
      <c r="G134" s="5">
        <f ca="1">MASTER_AR_REPORT!J231</f>
        <v>32</v>
      </c>
      <c r="H134" s="5" t="str">
        <f ca="1">MASTER_AR_REPORT!K231</f>
        <v>31-60 Days</v>
      </c>
      <c r="I134" s="5" t="str">
        <f ca="1">MASTER_AR_REPORT!L231</f>
        <v>Low-Medium</v>
      </c>
      <c r="J134" s="5" t="str">
        <f ca="1">MASTER_AR_REPORT!M231</f>
        <v>Medium</v>
      </c>
      <c r="K134" s="5" t="s">
        <v>63</v>
      </c>
      <c r="L134" s="5"/>
      <c r="M134" s="5"/>
    </row>
    <row r="135" spans="1:13">
      <c r="A135" s="2">
        <v>131</v>
      </c>
      <c r="B135" s="2" t="str">
        <f>IF(MASTER_AR_REPORT!E236="","",MASTER_AR_REPORT!E236)</f>
        <v>Sri Chamunda Stationery</v>
      </c>
      <c r="C135" s="2" t="str">
        <f>IF(MASTER_AR_REPORT!D236="","",MASTER_AR_REPORT!D236)</f>
        <v>C-SLG/2204/25-26</v>
      </c>
      <c r="D135" s="12">
        <f>MASTER_AR_REPORT!C236</f>
        <v>46062</v>
      </c>
      <c r="E135" s="12">
        <f>MASTER_AR_REPORT!G236</f>
        <v>46087</v>
      </c>
      <c r="F135" s="3">
        <f>MASTER_AR_REPORT!I236</f>
        <v>2852</v>
      </c>
      <c r="G135" s="2">
        <f ca="1">MASTER_AR_REPORT!J236</f>
        <v>77</v>
      </c>
      <c r="H135" s="2" t="str">
        <f ca="1">MASTER_AR_REPORT!K236</f>
        <v>61-90 Days</v>
      </c>
      <c r="I135" s="2" t="str">
        <f ca="1">MASTER_AR_REPORT!L236</f>
        <v>Medium</v>
      </c>
      <c r="J135" s="2" t="str">
        <f ca="1">MASTER_AR_REPORT!M236</f>
        <v>Urgent</v>
      </c>
      <c r="K135" s="2" t="s">
        <v>63</v>
      </c>
      <c r="L135" s="2"/>
      <c r="M135" s="2"/>
    </row>
    <row r="136" spans="1:13">
      <c r="A136" s="5">
        <v>132</v>
      </c>
      <c r="B136" s="5" t="str">
        <f>IF(MASTER_AR_REPORT!E237="","",MASTER_AR_REPORT!E237)</f>
        <v>SRI DHANALAKSHMI ENTERPRISES</v>
      </c>
      <c r="C136" s="5" t="str">
        <f>IF(MASTER_AR_REPORT!D237="","",MASTER_AR_REPORT!D237)</f>
        <v>C-SLG/2255/25-26</v>
      </c>
      <c r="D136" s="11">
        <f>MASTER_AR_REPORT!C237</f>
        <v>46071</v>
      </c>
      <c r="E136" s="11">
        <f>MASTER_AR_REPORT!G237</f>
        <v>46096</v>
      </c>
      <c r="F136" s="6">
        <f>MASTER_AR_REPORT!I237</f>
        <v>22121</v>
      </c>
      <c r="G136" s="5">
        <f ca="1">MASTER_AR_REPORT!J237</f>
        <v>68</v>
      </c>
      <c r="H136" s="5" t="str">
        <f ca="1">MASTER_AR_REPORT!K237</f>
        <v>61-90 Days</v>
      </c>
      <c r="I136" s="5" t="str">
        <f ca="1">MASTER_AR_REPORT!L237</f>
        <v>Medium</v>
      </c>
      <c r="J136" s="5" t="str">
        <f ca="1">MASTER_AR_REPORT!M237</f>
        <v>Urgent</v>
      </c>
      <c r="K136" s="5" t="s">
        <v>63</v>
      </c>
      <c r="L136" s="5"/>
      <c r="M136" s="5"/>
    </row>
    <row r="137" spans="1:13">
      <c r="A137" s="2">
        <v>133</v>
      </c>
      <c r="B137" s="2" t="str">
        <f>IF(MASTER_AR_REPORT!E239="","",MASTER_AR_REPORT!E239)</f>
        <v>Sri Laxmi Book Centre ( DSNR)</v>
      </c>
      <c r="C137" s="2" t="str">
        <f>IF(MASTER_AR_REPORT!D239="","",MASTER_AR_REPORT!D239)</f>
        <v>Bounce Charges-155</v>
      </c>
      <c r="D137" s="12">
        <f>MASTER_AR_REPORT!C239</f>
        <v>45954</v>
      </c>
      <c r="E137" s="12">
        <f>MASTER_AR_REPORT!G239</f>
        <v>45979</v>
      </c>
      <c r="F137" s="3">
        <f>MASTER_AR_REPORT!I239</f>
        <v>500</v>
      </c>
      <c r="G137" s="2">
        <f ca="1">MASTER_AR_REPORT!J239</f>
        <v>185</v>
      </c>
      <c r="H137" s="2" t="str">
        <f ca="1">MASTER_AR_REPORT!K239</f>
        <v>90+ Days</v>
      </c>
      <c r="I137" s="2" t="str">
        <f ca="1">MASTER_AR_REPORT!L239</f>
        <v>HIGH RISK</v>
      </c>
      <c r="J137" s="2" t="str">
        <f ca="1">MASTER_AR_REPORT!M239</f>
        <v>Immediate Action</v>
      </c>
      <c r="K137" s="2" t="s">
        <v>63</v>
      </c>
      <c r="L137" s="2"/>
      <c r="M137" s="2"/>
    </row>
    <row r="138" spans="1:13">
      <c r="A138" s="2">
        <v>135</v>
      </c>
      <c r="B138" s="2" t="str">
        <f>IF(MASTER_AR_REPORT!E242="","",MASTER_AR_REPORT!E242)</f>
        <v>Srinivasa Stationery &amp; Xerox</v>
      </c>
      <c r="C138" s="2" t="str">
        <f>IF(MASTER_AR_REPORT!D242="","",MASTER_AR_REPORT!D242)</f>
        <v>C-SLG/0040/26-27</v>
      </c>
      <c r="D138" s="12">
        <f>MASTER_AR_REPORT!C242</f>
        <v>46126</v>
      </c>
      <c r="E138" s="12">
        <f>MASTER_AR_REPORT!G242</f>
        <v>46126</v>
      </c>
      <c r="F138" s="3">
        <f>MASTER_AR_REPORT!I242</f>
        <v>2795</v>
      </c>
      <c r="G138" s="2">
        <f ca="1">MASTER_AR_REPORT!J242</f>
        <v>38</v>
      </c>
      <c r="H138" s="2" t="str">
        <f ca="1">MASTER_AR_REPORT!K242</f>
        <v>31-60 Days</v>
      </c>
      <c r="I138" s="2" t="str">
        <f ca="1">MASTER_AR_REPORT!L242</f>
        <v>Low-Medium</v>
      </c>
      <c r="J138" s="2" t="str">
        <f ca="1">MASTER_AR_REPORT!M242</f>
        <v>Medium</v>
      </c>
      <c r="K138" s="2" t="s">
        <v>63</v>
      </c>
      <c r="L138" s="2"/>
      <c r="M138" s="2"/>
    </row>
    <row r="139" spans="1:13">
      <c r="A139" s="5">
        <v>136</v>
      </c>
      <c r="B139" s="5" t="str">
        <f>IF(MASTER_AR_REPORT!E244="","",MASTER_AR_REPORT!E244)</f>
        <v>Sri Sai Books &amp; Gifts (Chaithanyapuri)</v>
      </c>
      <c r="C139" s="5" t="str">
        <f>IF(MASTER_AR_REPORT!D244="","",MASTER_AR_REPORT!D244)</f>
        <v>C-SLG/2413/25-26</v>
      </c>
      <c r="D139" s="11">
        <f>MASTER_AR_REPORT!C244</f>
        <v>46101</v>
      </c>
      <c r="E139" s="11">
        <f>MASTER_AR_REPORT!G244</f>
        <v>46126</v>
      </c>
      <c r="F139" s="6">
        <f>MASTER_AR_REPORT!I244</f>
        <v>3580</v>
      </c>
      <c r="G139" s="5">
        <f ca="1">MASTER_AR_REPORT!J244</f>
        <v>38</v>
      </c>
      <c r="H139" s="5" t="str">
        <f ca="1">MASTER_AR_REPORT!K244</f>
        <v>31-60 Days</v>
      </c>
      <c r="I139" s="5" t="str">
        <f ca="1">MASTER_AR_REPORT!L244</f>
        <v>Low-Medium</v>
      </c>
      <c r="J139" s="5" t="str">
        <f ca="1">MASTER_AR_REPORT!M244</f>
        <v>Medium</v>
      </c>
      <c r="K139" s="5" t="s">
        <v>63</v>
      </c>
      <c r="L139" s="5"/>
      <c r="M139" s="5"/>
    </row>
    <row r="140" spans="1:13">
      <c r="A140" s="2">
        <v>137</v>
      </c>
      <c r="B140" s="2" t="str">
        <f>IF(MASTER_AR_REPORT!E245="","",MASTER_AR_REPORT!E245)</f>
        <v>SRI SAI RAM STATIONERY(RK PURAM)</v>
      </c>
      <c r="C140" s="2" t="str">
        <f>IF(MASTER_AR_REPORT!D245="","",MASTER_AR_REPORT!D245)</f>
        <v>C-SLG/2452/25-26</v>
      </c>
      <c r="D140" s="12">
        <f>MASTER_AR_REPORT!C245</f>
        <v>46107</v>
      </c>
      <c r="E140" s="12">
        <f>MASTER_AR_REPORT!G245</f>
        <v>46132</v>
      </c>
      <c r="F140" s="3">
        <f>MASTER_AR_REPORT!I245</f>
        <v>100</v>
      </c>
      <c r="G140" s="2">
        <f ca="1">MASTER_AR_REPORT!J245</f>
        <v>32</v>
      </c>
      <c r="H140" s="2" t="str">
        <f ca="1">MASTER_AR_REPORT!K245</f>
        <v>31-60 Days</v>
      </c>
      <c r="I140" s="2" t="str">
        <f ca="1">MASTER_AR_REPORT!L245</f>
        <v>Low-Medium</v>
      </c>
      <c r="J140" s="2" t="str">
        <f ca="1">MASTER_AR_REPORT!M245</f>
        <v>Medium</v>
      </c>
      <c r="K140" s="2" t="s">
        <v>63</v>
      </c>
      <c r="L140" s="2"/>
      <c r="M140" s="2"/>
    </row>
    <row r="141" spans="1:13">
      <c r="A141" s="5">
        <v>138</v>
      </c>
      <c r="B141" s="5" t="str">
        <f>IF(MASTER_AR_REPORT!E246="","",MASTER_AR_REPORT!E246)</f>
        <v>SRI SAI SARASWATHI STATIONARY</v>
      </c>
      <c r="C141" s="5" t="str">
        <f>IF(MASTER_AR_REPORT!D246="","",MASTER_AR_REPORT!D246)</f>
        <v>C-SLG/2399/25-26</v>
      </c>
      <c r="D141" s="11">
        <f>MASTER_AR_REPORT!C246</f>
        <v>46098</v>
      </c>
      <c r="E141" s="11">
        <f>MASTER_AR_REPORT!G246</f>
        <v>46123</v>
      </c>
      <c r="F141" s="6">
        <f>MASTER_AR_REPORT!I246</f>
        <v>886</v>
      </c>
      <c r="G141" s="5">
        <f ca="1">MASTER_AR_REPORT!J246</f>
        <v>41</v>
      </c>
      <c r="H141" s="5" t="str">
        <f ca="1">MASTER_AR_REPORT!K246</f>
        <v>31-60 Days</v>
      </c>
      <c r="I141" s="5" t="str">
        <f ca="1">MASTER_AR_REPORT!L246</f>
        <v>Low-Medium</v>
      </c>
      <c r="J141" s="5" t="str">
        <f ca="1">MASTER_AR_REPORT!M246</f>
        <v>Medium</v>
      </c>
      <c r="K141" s="5" t="s">
        <v>63</v>
      </c>
      <c r="L141" s="5"/>
      <c r="M141" s="5"/>
    </row>
    <row r="142" spans="1:13">
      <c r="A142" s="2">
        <v>139</v>
      </c>
      <c r="B142" s="2" t="str">
        <f>IF(MASTER_AR_REPORT!E247="","",MASTER_AR_REPORT!E247)</f>
        <v>Sri Sai Tirumala Book &amp; Guides - Badangpet</v>
      </c>
      <c r="C142" s="2" t="str">
        <f>IF(MASTER_AR_REPORT!D247="","",MASTER_AR_REPORT!D247)</f>
        <v>C-SLG/1957/25-26</v>
      </c>
      <c r="D142" s="12">
        <f>MASTER_AR_REPORT!C247</f>
        <v>46013</v>
      </c>
      <c r="E142" s="12">
        <f>MASTER_AR_REPORT!G247</f>
        <v>46038</v>
      </c>
      <c r="F142" s="3">
        <f>MASTER_AR_REPORT!I247</f>
        <v>2232</v>
      </c>
      <c r="G142" s="2">
        <f ca="1">MASTER_AR_REPORT!J247</f>
        <v>126</v>
      </c>
      <c r="H142" s="2" t="str">
        <f ca="1">MASTER_AR_REPORT!K247</f>
        <v>90+ Days</v>
      </c>
      <c r="I142" s="2" t="str">
        <f ca="1">MASTER_AR_REPORT!L247</f>
        <v>HIGH RISK</v>
      </c>
      <c r="J142" s="2" t="str">
        <f ca="1">MASTER_AR_REPORT!M247</f>
        <v>Immediate Action</v>
      </c>
      <c r="K142" s="2" t="s">
        <v>63</v>
      </c>
      <c r="L142" s="2"/>
      <c r="M142" s="2"/>
    </row>
    <row r="143" spans="1:13">
      <c r="A143" s="5">
        <v>140</v>
      </c>
      <c r="B143" s="5" t="str">
        <f>IF(MASTER_AR_REPORT!E249="","",MASTER_AR_REPORT!E249)</f>
        <v>Sri Siddi Vinayaka Book Center</v>
      </c>
      <c r="C143" s="5" t="str">
        <f>IF(MASTER_AR_REPORT!D249="","",MASTER_AR_REPORT!D249)</f>
        <v>C-SLG/2124/25-26</v>
      </c>
      <c r="D143" s="11">
        <f>MASTER_AR_REPORT!C249</f>
        <v>46050</v>
      </c>
      <c r="E143" s="11">
        <f>MASTER_AR_REPORT!G249</f>
        <v>46075</v>
      </c>
      <c r="F143" s="6">
        <f>MASTER_AR_REPORT!I249</f>
        <v>6200</v>
      </c>
      <c r="G143" s="5">
        <f ca="1">MASTER_AR_REPORT!J249</f>
        <v>89</v>
      </c>
      <c r="H143" s="5" t="str">
        <f ca="1">MASTER_AR_REPORT!K249</f>
        <v>61-90 Days</v>
      </c>
      <c r="I143" s="5" t="str">
        <f ca="1">MASTER_AR_REPORT!L249</f>
        <v>Medium</v>
      </c>
      <c r="J143" s="5" t="str">
        <f ca="1">MASTER_AR_REPORT!M249</f>
        <v>Urgent</v>
      </c>
      <c r="K143" s="5" t="s">
        <v>63</v>
      </c>
      <c r="L143" s="5"/>
      <c r="M143" s="5"/>
    </row>
    <row r="144" spans="1:13">
      <c r="A144" s="2">
        <v>141</v>
      </c>
      <c r="B144" s="2" t="str">
        <f>IF(MASTER_AR_REPORT!E251="","",MASTER_AR_REPORT!E251)</f>
        <v>Sri Venkatheswara Book World</v>
      </c>
      <c r="C144" s="2" t="str">
        <f>IF(MASTER_AR_REPORT!D251="","",MASTER_AR_REPORT!D251)</f>
        <v>C-SLG/2406/25-26</v>
      </c>
      <c r="D144" s="12">
        <f>MASTER_AR_REPORT!C251</f>
        <v>46099</v>
      </c>
      <c r="E144" s="12">
        <f>MASTER_AR_REPORT!G251</f>
        <v>46124</v>
      </c>
      <c r="F144" s="3">
        <f>MASTER_AR_REPORT!I251</f>
        <v>104942</v>
      </c>
      <c r="G144" s="2">
        <f ca="1">MASTER_AR_REPORT!J251</f>
        <v>40</v>
      </c>
      <c r="H144" s="2" t="str">
        <f ca="1">MASTER_AR_REPORT!K251</f>
        <v>31-60 Days</v>
      </c>
      <c r="I144" s="2" t="str">
        <f ca="1">MASTER_AR_REPORT!L251</f>
        <v>Low-Medium</v>
      </c>
      <c r="J144" s="2" t="str">
        <f ca="1">MASTER_AR_REPORT!M251</f>
        <v>Medium</v>
      </c>
      <c r="K144" s="2" t="s">
        <v>63</v>
      </c>
      <c r="L144" s="2"/>
      <c r="M144" s="2"/>
    </row>
    <row r="145" spans="1:13">
      <c r="A145" s="5">
        <v>142</v>
      </c>
      <c r="B145" s="5" t="str">
        <f>IF(MASTER_AR_REPORT!E252="","",MASTER_AR_REPORT!E252)</f>
        <v>SR VENKATESHWARA BOOK WORLD</v>
      </c>
      <c r="C145" s="5" t="str">
        <f>IF(MASTER_AR_REPORT!D252="","",MASTER_AR_REPORT!D252)</f>
        <v>C-SLG/2372/25-26</v>
      </c>
      <c r="D145" s="11">
        <f>MASTER_AR_REPORT!C252</f>
        <v>46092</v>
      </c>
      <c r="E145" s="11">
        <f>MASTER_AR_REPORT!G252</f>
        <v>46117</v>
      </c>
      <c r="F145" s="6">
        <f>MASTER_AR_REPORT!I252</f>
        <v>0</v>
      </c>
      <c r="G145" s="5">
        <f ca="1">MASTER_AR_REPORT!J252</f>
        <v>47</v>
      </c>
      <c r="H145" s="5" t="str">
        <f>MASTER_AR_REPORT!K252</f>
        <v>Current</v>
      </c>
      <c r="I145" s="5" t="str">
        <f>MASTER_AR_REPORT!L252</f>
        <v>-</v>
      </c>
      <c r="J145" s="5" t="str">
        <f>MASTER_AR_REPORT!M252</f>
        <v>-</v>
      </c>
      <c r="K145" s="5" t="s">
        <v>63</v>
      </c>
      <c r="L145" s="5"/>
      <c r="M145" s="5"/>
    </row>
    <row r="146" spans="1:13">
      <c r="A146" s="2">
        <v>143</v>
      </c>
      <c r="B146" s="2" t="str">
        <f>IF(MASTER_AR_REPORT!E254="","",MASTER_AR_REPORT!E254)</f>
        <v>Sun Electronics Times</v>
      </c>
      <c r="C146" s="2" t="str">
        <f>IF(MASTER_AR_REPORT!D254="","",MASTER_AR_REPORT!D254)</f>
        <v>C-SLG/1969/25-26</v>
      </c>
      <c r="D146" s="12">
        <f>MASTER_AR_REPORT!C254</f>
        <v>46015</v>
      </c>
      <c r="E146" s="12">
        <f>MASTER_AR_REPORT!G254</f>
        <v>46040</v>
      </c>
      <c r="F146" s="3">
        <f>MASTER_AR_REPORT!I254</f>
        <v>6182</v>
      </c>
      <c r="G146" s="2">
        <f ca="1">MASTER_AR_REPORT!J254</f>
        <v>124</v>
      </c>
      <c r="H146" s="2" t="str">
        <f ca="1">MASTER_AR_REPORT!K254</f>
        <v>90+ Days</v>
      </c>
      <c r="I146" s="2" t="str">
        <f ca="1">MASTER_AR_REPORT!L254</f>
        <v>HIGH RISK</v>
      </c>
      <c r="J146" s="2" t="str">
        <f ca="1">MASTER_AR_REPORT!M254</f>
        <v>Immediate Action</v>
      </c>
      <c r="K146" s="2" t="s">
        <v>63</v>
      </c>
      <c r="L146" s="2"/>
      <c r="M146" s="2"/>
    </row>
  </sheetData>
  <autoFilter ref="A4:M146" xr:uid="{00000000-0009-0000-0000-000002000000}"/>
  <mergeCells count="2">
    <mergeCell ref="A2:M2"/>
    <mergeCell ref="A1:M1"/>
  </mergeCells>
  <conditionalFormatting sqref="A5:M146">
    <cfRule type="expression" dxfId="18" priority="1">
      <formula>AND($G5&gt;=90,$F5&gt;0)</formula>
    </cfRule>
    <cfRule type="expression" dxfId="17" priority="2">
      <formula>AND($G5&gt;=61,$G5&lt;90,$F5&gt;0)</formula>
    </cfRule>
    <cfRule type="expression" dxfId="16" priority="3">
      <formula>AND($G5&gt;=31,$G5&lt;61,$F5&gt;0)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2"/>
  <sheetViews>
    <sheetView topLeftCell="C1" workbookViewId="0">
      <pane ySplit="4" topLeftCell="A5" activePane="bottomLeft" state="frozen"/>
      <selection pane="bottomLeft" activeCell="J71" sqref="J71"/>
    </sheetView>
  </sheetViews>
  <sheetFormatPr defaultRowHeight="14.4"/>
  <cols>
    <col min="1" max="1" width="6" customWidth="1"/>
    <col min="2" max="3" width="14" customWidth="1"/>
    <col min="4" max="4" width="20" customWidth="1"/>
    <col min="5" max="5" width="33.109375" bestFit="1" customWidth="1"/>
    <col min="6" max="8" width="14" customWidth="1"/>
    <col min="9" max="9" width="16" customWidth="1"/>
    <col min="10" max="10" width="14" customWidth="1"/>
    <col min="11" max="11" width="16" customWidth="1"/>
    <col min="12" max="12" width="14" customWidth="1"/>
    <col min="13" max="13" width="18" customWidth="1"/>
    <col min="14" max="14" width="12" customWidth="1"/>
    <col min="15" max="15" width="30" customWidth="1"/>
  </cols>
  <sheetData>
    <row r="1" spans="1:15" ht="36" customHeight="1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15" ht="22.2" customHeight="1">
      <c r="A2" s="117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6" customHeight="1"/>
    <row r="4" spans="1:15" ht="30" customHeight="1">
      <c r="A4" s="108" t="s">
        <v>2</v>
      </c>
      <c r="B4" s="108" t="s">
        <v>3</v>
      </c>
      <c r="C4" s="108" t="s">
        <v>4</v>
      </c>
      <c r="D4" s="108" t="s">
        <v>5</v>
      </c>
      <c r="E4" s="108" t="s">
        <v>6</v>
      </c>
      <c r="F4" s="108" t="s">
        <v>7</v>
      </c>
      <c r="G4" s="108" t="s">
        <v>8</v>
      </c>
      <c r="H4" s="108" t="s">
        <v>9</v>
      </c>
      <c r="I4" s="108" t="s">
        <v>10</v>
      </c>
      <c r="J4" s="108" t="s">
        <v>11</v>
      </c>
      <c r="K4" s="108" t="s">
        <v>12</v>
      </c>
      <c r="L4" s="108" t="s">
        <v>13</v>
      </c>
      <c r="M4" s="108" t="s">
        <v>14</v>
      </c>
      <c r="N4" s="108" t="s">
        <v>15</v>
      </c>
      <c r="O4" s="108" t="s">
        <v>16</v>
      </c>
    </row>
    <row r="5" spans="1:15">
      <c r="A5" s="2">
        <v>1</v>
      </c>
      <c r="B5" s="2" t="str">
        <f>IF(MASTER_AR_REPORT!B2="","",MASTER_AR_REPORT!B2)</f>
        <v>Watches</v>
      </c>
      <c r="C5" s="12">
        <f>MASTER_AR_REPORT!C2</f>
        <v>46144</v>
      </c>
      <c r="D5" s="2" t="str">
        <f>IF(MASTER_AR_REPORT!D2="","",MASTER_AR_REPORT!D2)</f>
        <v>SLGCW/46/26-27</v>
      </c>
      <c r="E5" s="2" t="str">
        <f>IF(MASTER_AR_REPORT!E2="","",MASTER_AR_REPORT!E2)</f>
        <v>C. Ramchander Watch Co.</v>
      </c>
      <c r="F5" s="3">
        <f>MASTER_AR_REPORT!F2</f>
        <v>1400</v>
      </c>
      <c r="G5" s="12">
        <f>MASTER_AR_REPORT!G2</f>
        <v>46144</v>
      </c>
      <c r="H5" s="3">
        <f>MASTER_AR_REPORT!H2</f>
        <v>0</v>
      </c>
      <c r="I5" s="3">
        <f>MASTER_AR_REPORT!I2</f>
        <v>1400</v>
      </c>
      <c r="J5" s="2">
        <f ca="1">MASTER_AR_REPORT!J2</f>
        <v>20</v>
      </c>
      <c r="K5" s="2" t="str">
        <f ca="1">MASTER_AR_REPORT!K2</f>
        <v>0-30 Days</v>
      </c>
      <c r="L5" s="2" t="str">
        <f ca="1">MASTER_AR_REPORT!L2</f>
        <v>Low</v>
      </c>
      <c r="M5" s="2" t="str">
        <f ca="1">MASTER_AR_REPORT!M2</f>
        <v>Normal</v>
      </c>
      <c r="N5" s="2" t="str">
        <f>MASTER_AR_REPORT!N2</f>
        <v>Pending</v>
      </c>
      <c r="O5" s="2" t="str">
        <f>MASTER_AR_REPORT!O2</f>
        <v>We need to give Credit Note</v>
      </c>
    </row>
    <row r="6" spans="1:15">
      <c r="A6" s="5">
        <v>2</v>
      </c>
      <c r="B6" s="5" t="str">
        <f>IF(MASTER_AR_REPORT!B3="","",MASTER_AR_REPORT!B3)</f>
        <v>Watches</v>
      </c>
      <c r="C6" s="11">
        <f>MASTER_AR_REPORT!C3</f>
        <v>45716</v>
      </c>
      <c r="D6" s="5" t="str">
        <f>IF(MASTER_AR_REPORT!D3="","",MASTER_AR_REPORT!D3)</f>
        <v>SLGCW/1077/24-25</v>
      </c>
      <c r="E6" s="5" t="str">
        <f>IF(MASTER_AR_REPORT!E3="","",MASTER_AR_REPORT!E3)</f>
        <v>KHALEEL WATCH CO.</v>
      </c>
      <c r="F6" s="6">
        <f>MASTER_AR_REPORT!F3</f>
        <v>159.66999999999999</v>
      </c>
      <c r="G6" s="11">
        <f>MASTER_AR_REPORT!G3</f>
        <v>45716</v>
      </c>
      <c r="H6" s="6">
        <f>MASTER_AR_REPORT!H3</f>
        <v>0</v>
      </c>
      <c r="I6" s="6">
        <f>MASTER_AR_REPORT!I3</f>
        <v>159.66999999999999</v>
      </c>
      <c r="J6" s="5">
        <f ca="1">MASTER_AR_REPORT!J3</f>
        <v>448</v>
      </c>
      <c r="K6" s="5" t="str">
        <f ca="1">MASTER_AR_REPORT!K3</f>
        <v>90+ Days</v>
      </c>
      <c r="L6" s="5" t="str">
        <f ca="1">MASTER_AR_REPORT!L3</f>
        <v>HIGH RISK</v>
      </c>
      <c r="M6" s="5" t="str">
        <f ca="1">MASTER_AR_REPORT!M3</f>
        <v>Immediate Action</v>
      </c>
      <c r="N6" s="5" t="str">
        <f>MASTER_AR_REPORT!N3</f>
        <v>Pending</v>
      </c>
      <c r="O6" s="5" t="str">
        <f>MASTER_AR_REPORT!O3</f>
        <v>Sponge Not recived - Send DSO</v>
      </c>
    </row>
    <row r="7" spans="1:15">
      <c r="A7" s="2">
        <v>3</v>
      </c>
      <c r="B7" s="2" t="str">
        <f>IF(MASTER_AR_REPORT!B4="","",MASTER_AR_REPORT!B4)</f>
        <v>Watches</v>
      </c>
      <c r="C7" s="12">
        <f>MASTER_AR_REPORT!C4</f>
        <v>46013</v>
      </c>
      <c r="D7" s="2" t="str">
        <f>IF(MASTER_AR_REPORT!D4="","",MASTER_AR_REPORT!D4)</f>
        <v>SLGCW/1035/25-26</v>
      </c>
      <c r="E7" s="2" t="str">
        <f>IF(MASTER_AR_REPORT!E4="","",MASTER_AR_REPORT!E4)</f>
        <v>KHALEEL WATCH CO.</v>
      </c>
      <c r="F7" s="3">
        <f>MASTER_AR_REPORT!F4</f>
        <v>383</v>
      </c>
      <c r="G7" s="12">
        <f>MASTER_AR_REPORT!G4</f>
        <v>46043</v>
      </c>
      <c r="H7" s="3">
        <f>MASTER_AR_REPORT!H4</f>
        <v>0</v>
      </c>
      <c r="I7" s="3">
        <f>MASTER_AR_REPORT!I4</f>
        <v>383</v>
      </c>
      <c r="J7" s="2">
        <f ca="1">MASTER_AR_REPORT!J4</f>
        <v>121</v>
      </c>
      <c r="K7" s="2" t="str">
        <f ca="1">MASTER_AR_REPORT!K4</f>
        <v>90+ Days</v>
      </c>
      <c r="L7" s="2" t="str">
        <f ca="1">MASTER_AR_REPORT!L4</f>
        <v>HIGH RISK</v>
      </c>
      <c r="M7" s="2" t="str">
        <f ca="1">MASTER_AR_REPORT!M4</f>
        <v>Immediate Action</v>
      </c>
      <c r="N7" s="2" t="str">
        <f>MASTER_AR_REPORT!N4</f>
        <v>Pending</v>
      </c>
      <c r="O7" s="2" t="str">
        <f>MASTER_AR_REPORT!O4</f>
        <v>He will Pay - Follow Up Needed</v>
      </c>
    </row>
    <row r="8" spans="1:15">
      <c r="A8" s="5">
        <v>4</v>
      </c>
      <c r="B8" s="5" t="str">
        <f>IF(MASTER_AR_REPORT!B5="","",MASTER_AR_REPORT!B5)</f>
        <v>Watches</v>
      </c>
      <c r="C8" s="11">
        <f>MASTER_AR_REPORT!C5</f>
        <v>45996</v>
      </c>
      <c r="D8" s="5" t="str">
        <f>IF(MASTER_AR_REPORT!D5="","",MASTER_AR_REPORT!D5)</f>
        <v>SLGCW/969/25-26</v>
      </c>
      <c r="E8" s="5" t="str">
        <f>IF(MASTER_AR_REPORT!E5="","",MASTER_AR_REPORT!E5)</f>
        <v>KISHORE WATCH CO</v>
      </c>
      <c r="F8" s="6">
        <f>MASTER_AR_REPORT!F5</f>
        <v>2852</v>
      </c>
      <c r="G8" s="11">
        <f>MASTER_AR_REPORT!G5</f>
        <v>46041</v>
      </c>
      <c r="H8" s="6">
        <f>MASTER_AR_REPORT!H5</f>
        <v>0</v>
      </c>
      <c r="I8" s="6">
        <f>MASTER_AR_REPORT!I5</f>
        <v>2852</v>
      </c>
      <c r="J8" s="5">
        <f ca="1">MASTER_AR_REPORT!J5</f>
        <v>123</v>
      </c>
      <c r="K8" s="5" t="str">
        <f ca="1">MASTER_AR_REPORT!K5</f>
        <v>90+ Days</v>
      </c>
      <c r="L8" s="5" t="str">
        <f ca="1">MASTER_AR_REPORT!L5</f>
        <v>HIGH RISK</v>
      </c>
      <c r="M8" s="5" t="str">
        <f ca="1">MASTER_AR_REPORT!M5</f>
        <v>Immediate Action</v>
      </c>
      <c r="N8" s="5" t="str">
        <f>MASTER_AR_REPORT!N5</f>
        <v>Pending</v>
      </c>
      <c r="O8" s="5" t="str">
        <f>MASTER_AR_REPORT!O5</f>
        <v>Bill not available</v>
      </c>
    </row>
    <row r="9" spans="1:15">
      <c r="A9" s="2">
        <v>5</v>
      </c>
      <c r="B9" s="2" t="str">
        <f>IF(MASTER_AR_REPORT!B6="","",MASTER_AR_REPORT!B6)</f>
        <v>Watches</v>
      </c>
      <c r="C9" s="12">
        <f>MASTER_AR_REPORT!C6</f>
        <v>46139</v>
      </c>
      <c r="D9" s="2" t="str">
        <f>IF(MASTER_AR_REPORT!D6="","",MASTER_AR_REPORT!D6)</f>
        <v>SLGCW/25/26-27</v>
      </c>
      <c r="E9" s="2" t="str">
        <f>IF(MASTER_AR_REPORT!E6="","",MASTER_AR_REPORT!E6)</f>
        <v>KISHORE WATCH CO</v>
      </c>
      <c r="F9" s="3">
        <f>MASTER_AR_REPORT!F6</f>
        <v>196667</v>
      </c>
      <c r="G9" s="12">
        <f>MASTER_AR_REPORT!G6</f>
        <v>46184</v>
      </c>
      <c r="H9" s="3">
        <f>MASTER_AR_REPORT!H6</f>
        <v>0</v>
      </c>
      <c r="I9" s="3">
        <f>MASTER_AR_REPORT!I6</f>
        <v>196667</v>
      </c>
      <c r="J9" s="2">
        <f ca="1">MASTER_AR_REPORT!J6</f>
        <v>0</v>
      </c>
      <c r="K9" s="2" t="str">
        <f ca="1">MASTER_AR_REPORT!K6</f>
        <v>0-30 Days</v>
      </c>
      <c r="L9" s="2" t="str">
        <f ca="1">MASTER_AR_REPORT!L6</f>
        <v>Low</v>
      </c>
      <c r="M9" s="2" t="str">
        <f ca="1">MASTER_AR_REPORT!M6</f>
        <v>Normal</v>
      </c>
      <c r="N9" s="2" t="str">
        <f>MASTER_AR_REPORT!N6</f>
        <v>Pending</v>
      </c>
      <c r="O9" s="2">
        <f>MASTER_AR_REPORT!O6</f>
        <v>0</v>
      </c>
    </row>
    <row r="10" spans="1:15">
      <c r="A10" s="5">
        <v>6</v>
      </c>
      <c r="B10" s="5" t="str">
        <f>IF(MASTER_AR_REPORT!B7="","",MASTER_AR_REPORT!B7)</f>
        <v>Watches</v>
      </c>
      <c r="C10" s="11">
        <f>MASTER_AR_REPORT!C7</f>
        <v>46144</v>
      </c>
      <c r="D10" s="5" t="str">
        <f>IF(MASTER_AR_REPORT!D7="","",MASTER_AR_REPORT!D7)</f>
        <v>SLGCW/51/26-27</v>
      </c>
      <c r="E10" s="5" t="str">
        <f>IF(MASTER_AR_REPORT!E7="","",MASTER_AR_REPORT!E7)</f>
        <v>KISHORE WATCH CO</v>
      </c>
      <c r="F10" s="6">
        <f>MASTER_AR_REPORT!F7</f>
        <v>9035</v>
      </c>
      <c r="G10" s="11">
        <f>MASTER_AR_REPORT!G7</f>
        <v>46189</v>
      </c>
      <c r="H10" s="6">
        <f>MASTER_AR_REPORT!H7</f>
        <v>0</v>
      </c>
      <c r="I10" s="6">
        <f>MASTER_AR_REPORT!I7</f>
        <v>9035</v>
      </c>
      <c r="J10" s="5">
        <f ca="1">MASTER_AR_REPORT!J7</f>
        <v>0</v>
      </c>
      <c r="K10" s="5" t="str">
        <f ca="1">MASTER_AR_REPORT!K7</f>
        <v>0-30 Days</v>
      </c>
      <c r="L10" s="5" t="str">
        <f ca="1">MASTER_AR_REPORT!L7</f>
        <v>Low</v>
      </c>
      <c r="M10" s="5" t="str">
        <f ca="1">MASTER_AR_REPORT!M7</f>
        <v>Normal</v>
      </c>
      <c r="N10" s="5" t="str">
        <f>MASTER_AR_REPORT!N7</f>
        <v>Pending</v>
      </c>
      <c r="O10" s="5">
        <f>MASTER_AR_REPORT!O7</f>
        <v>0</v>
      </c>
    </row>
    <row r="11" spans="1:15">
      <c r="A11" s="2">
        <v>7</v>
      </c>
      <c r="B11" s="2" t="str">
        <f>IF(MASTER_AR_REPORT!B8="","",MASTER_AR_REPORT!B8)</f>
        <v>Watches</v>
      </c>
      <c r="C11" s="12">
        <f>MASTER_AR_REPORT!C8</f>
        <v>46148</v>
      </c>
      <c r="D11" s="2" t="str">
        <f>IF(MASTER_AR_REPORT!D8="","",MASTER_AR_REPORT!D8)</f>
        <v>SLGCW/59/26-27</v>
      </c>
      <c r="E11" s="2" t="str">
        <f>IF(MASTER_AR_REPORT!E8="","",MASTER_AR_REPORT!E8)</f>
        <v>KISHORE WATCH CO</v>
      </c>
      <c r="F11" s="3">
        <f>MASTER_AR_REPORT!F8</f>
        <v>19731</v>
      </c>
      <c r="G11" s="12">
        <f>MASTER_AR_REPORT!G8</f>
        <v>46193</v>
      </c>
      <c r="H11" s="3">
        <f>MASTER_AR_REPORT!H8</f>
        <v>0</v>
      </c>
      <c r="I11" s="3">
        <f>MASTER_AR_REPORT!I8</f>
        <v>19731</v>
      </c>
      <c r="J11" s="2">
        <f ca="1">MASTER_AR_REPORT!J8</f>
        <v>0</v>
      </c>
      <c r="K11" s="2" t="str">
        <f ca="1">MASTER_AR_REPORT!K8</f>
        <v>0-30 Days</v>
      </c>
      <c r="L11" s="2" t="str">
        <f ca="1">MASTER_AR_REPORT!L8</f>
        <v>Low</v>
      </c>
      <c r="M11" s="2" t="str">
        <f ca="1">MASTER_AR_REPORT!M8</f>
        <v>Normal</v>
      </c>
      <c r="N11" s="2" t="str">
        <f>MASTER_AR_REPORT!N8</f>
        <v>Pending</v>
      </c>
      <c r="O11" s="2">
        <f>MASTER_AR_REPORT!O8</f>
        <v>0</v>
      </c>
    </row>
    <row r="12" spans="1:15">
      <c r="A12" s="5">
        <v>8</v>
      </c>
      <c r="B12" s="5" t="str">
        <f>IF(MASTER_AR_REPORT!B9="","",MASTER_AR_REPORT!B9)</f>
        <v>Watches</v>
      </c>
      <c r="C12" s="11">
        <f>MASTER_AR_REPORT!C9</f>
        <v>46136</v>
      </c>
      <c r="D12" s="5" t="str">
        <f>IF(MASTER_AR_REPORT!D9="","",MASTER_AR_REPORT!D9)</f>
        <v>SLGCW/15/26-27</v>
      </c>
      <c r="E12" s="5" t="str">
        <f>IF(MASTER_AR_REPORT!E9="","",MASTER_AR_REPORT!E9)</f>
        <v>Maruti watche &amp; electronics</v>
      </c>
      <c r="F12" s="6">
        <f>MASTER_AR_REPORT!F9</f>
        <v>13163</v>
      </c>
      <c r="G12" s="11">
        <f>MASTER_AR_REPORT!G9</f>
        <v>46181</v>
      </c>
      <c r="H12" s="6">
        <f>MASTER_AR_REPORT!H9</f>
        <v>0</v>
      </c>
      <c r="I12" s="6">
        <f>MASTER_AR_REPORT!I9</f>
        <v>13163</v>
      </c>
      <c r="J12" s="5">
        <f ca="1">MASTER_AR_REPORT!J9</f>
        <v>0</v>
      </c>
      <c r="K12" s="5" t="str">
        <f ca="1">MASTER_AR_REPORT!K9</f>
        <v>0-30 Days</v>
      </c>
      <c r="L12" s="5" t="str">
        <f ca="1">MASTER_AR_REPORT!L9</f>
        <v>Low</v>
      </c>
      <c r="M12" s="5" t="str">
        <f ca="1">MASTER_AR_REPORT!M9</f>
        <v>Normal</v>
      </c>
      <c r="N12" s="5" t="str">
        <f>MASTER_AR_REPORT!N9</f>
        <v>Pending</v>
      </c>
      <c r="O12" s="5">
        <f>MASTER_AR_REPORT!O9</f>
        <v>0</v>
      </c>
    </row>
    <row r="13" spans="1:15">
      <c r="A13" s="2">
        <v>9</v>
      </c>
      <c r="B13" s="2" t="str">
        <f>IF(MASTER_AR_REPORT!B10="","",MASTER_AR_REPORT!B10)</f>
        <v>Watches</v>
      </c>
      <c r="C13" s="12">
        <f>MASTER_AR_REPORT!C10</f>
        <v>46142</v>
      </c>
      <c r="D13" s="2" t="str">
        <f>IF(MASTER_AR_REPORT!D10="","",MASTER_AR_REPORT!D10)</f>
        <v>SLGCW/40/26-27</v>
      </c>
      <c r="E13" s="2" t="str">
        <f>IF(MASTER_AR_REPORT!E10="","",MASTER_AR_REPORT!E10)</f>
        <v>Maruti watche &amp; electronics</v>
      </c>
      <c r="F13" s="3">
        <f>MASTER_AR_REPORT!F10</f>
        <v>48979</v>
      </c>
      <c r="G13" s="12">
        <f>MASTER_AR_REPORT!G10</f>
        <v>46187</v>
      </c>
      <c r="H13" s="3">
        <f>MASTER_AR_REPORT!H10</f>
        <v>0</v>
      </c>
      <c r="I13" s="3">
        <f>MASTER_AR_REPORT!I10</f>
        <v>48979</v>
      </c>
      <c r="J13" s="2">
        <f ca="1">MASTER_AR_REPORT!J10</f>
        <v>0</v>
      </c>
      <c r="K13" s="2" t="str">
        <f ca="1">MASTER_AR_REPORT!K10</f>
        <v>0-30 Days</v>
      </c>
      <c r="L13" s="2" t="str">
        <f ca="1">MASTER_AR_REPORT!L10</f>
        <v>Low</v>
      </c>
      <c r="M13" s="2" t="str">
        <f ca="1">MASTER_AR_REPORT!M10</f>
        <v>Normal</v>
      </c>
      <c r="N13" s="2" t="str">
        <f>MASTER_AR_REPORT!N10</f>
        <v>Pending</v>
      </c>
      <c r="O13" s="2">
        <f>MASTER_AR_REPORT!O10</f>
        <v>0</v>
      </c>
    </row>
    <row r="14" spans="1:15">
      <c r="A14" s="5">
        <v>10</v>
      </c>
      <c r="B14" s="5" t="str">
        <f>IF(MASTER_AR_REPORT!B11="","",MASTER_AR_REPORT!B11)</f>
        <v>Watches</v>
      </c>
      <c r="C14" s="11">
        <f>MASTER_AR_REPORT!C11</f>
        <v>46144</v>
      </c>
      <c r="D14" s="5" t="str">
        <f>IF(MASTER_AR_REPORT!D11="","",MASTER_AR_REPORT!D11)</f>
        <v>SLGCW/53/26-27</v>
      </c>
      <c r="E14" s="5" t="str">
        <f>IF(MASTER_AR_REPORT!E11="","",MASTER_AR_REPORT!E11)</f>
        <v>Maruti watche &amp; electronics</v>
      </c>
      <c r="F14" s="6">
        <f>MASTER_AR_REPORT!F11</f>
        <v>22969</v>
      </c>
      <c r="G14" s="11">
        <f>MASTER_AR_REPORT!G11</f>
        <v>46189</v>
      </c>
      <c r="H14" s="6">
        <f>MASTER_AR_REPORT!H11</f>
        <v>0</v>
      </c>
      <c r="I14" s="6">
        <f>MASTER_AR_REPORT!I11</f>
        <v>22969</v>
      </c>
      <c r="J14" s="5">
        <f ca="1">MASTER_AR_REPORT!J11</f>
        <v>0</v>
      </c>
      <c r="K14" s="5" t="str">
        <f ca="1">MASTER_AR_REPORT!K11</f>
        <v>0-30 Days</v>
      </c>
      <c r="L14" s="5" t="str">
        <f ca="1">MASTER_AR_REPORT!L11</f>
        <v>Low</v>
      </c>
      <c r="M14" s="5" t="str">
        <f ca="1">MASTER_AR_REPORT!M11</f>
        <v>Normal</v>
      </c>
      <c r="N14" s="5" t="str">
        <f>MASTER_AR_REPORT!N11</f>
        <v>Pending</v>
      </c>
      <c r="O14" s="5">
        <f>MASTER_AR_REPORT!O11</f>
        <v>0</v>
      </c>
    </row>
    <row r="15" spans="1:15">
      <c r="A15" s="2">
        <v>11</v>
      </c>
      <c r="B15" s="2" t="str">
        <f>IF(MASTER_AR_REPORT!B12="","",MASTER_AR_REPORT!B12)</f>
        <v>Watches</v>
      </c>
      <c r="C15" s="12">
        <f>MASTER_AR_REPORT!C12</f>
        <v>46149</v>
      </c>
      <c r="D15" s="2" t="str">
        <f>IF(MASTER_AR_REPORT!D12="","",MASTER_AR_REPORT!D12)</f>
        <v>SLGCW/61/26-27</v>
      </c>
      <c r="E15" s="2" t="str">
        <f>IF(MASTER_AR_REPORT!E12="","",MASTER_AR_REPORT!E12)</f>
        <v>Maruti watche &amp; electronics</v>
      </c>
      <c r="F15" s="3">
        <f>MASTER_AR_REPORT!F12</f>
        <v>14355</v>
      </c>
      <c r="G15" s="12">
        <f>MASTER_AR_REPORT!G12</f>
        <v>46150</v>
      </c>
      <c r="H15" s="3">
        <f>MASTER_AR_REPORT!H12</f>
        <v>0</v>
      </c>
      <c r="I15" s="3">
        <f>MASTER_AR_REPORT!I12</f>
        <v>14355</v>
      </c>
      <c r="J15" s="2">
        <f ca="1">MASTER_AR_REPORT!J12</f>
        <v>14</v>
      </c>
      <c r="K15" s="2" t="str">
        <f ca="1">MASTER_AR_REPORT!K12</f>
        <v>0-30 Days</v>
      </c>
      <c r="L15" s="2" t="str">
        <f ca="1">MASTER_AR_REPORT!L12</f>
        <v>Low</v>
      </c>
      <c r="M15" s="2" t="str">
        <f ca="1">MASTER_AR_REPORT!M12</f>
        <v>Normal</v>
      </c>
      <c r="N15" s="2" t="str">
        <f>MASTER_AR_REPORT!N12</f>
        <v>Pending</v>
      </c>
      <c r="O15" s="2" t="str">
        <f>MASTER_AR_REPORT!O12</f>
        <v>Number Busy</v>
      </c>
    </row>
    <row r="16" spans="1:15">
      <c r="A16" s="5">
        <v>12</v>
      </c>
      <c r="B16" s="5" t="str">
        <f>IF(MASTER_AR_REPORT!B13="","",MASTER_AR_REPORT!B13)</f>
        <v>Watches</v>
      </c>
      <c r="C16" s="11">
        <f>MASTER_AR_REPORT!C13</f>
        <v>46157</v>
      </c>
      <c r="D16" s="5" t="str">
        <f>IF(MASTER_AR_REPORT!D13="","",MASTER_AR_REPORT!D13)</f>
        <v>SLGCW/65/26-27</v>
      </c>
      <c r="E16" s="5" t="str">
        <f>IF(MASTER_AR_REPORT!E13="","",MASTER_AR_REPORT!E13)</f>
        <v>Maruti watche &amp; electronics</v>
      </c>
      <c r="F16" s="6">
        <f>MASTER_AR_REPORT!F13</f>
        <v>3281</v>
      </c>
      <c r="G16" s="11">
        <f>MASTER_AR_REPORT!G13</f>
        <v>46158</v>
      </c>
      <c r="H16" s="6">
        <f>MASTER_AR_REPORT!H13</f>
        <v>0</v>
      </c>
      <c r="I16" s="6">
        <f>MASTER_AR_REPORT!I13</f>
        <v>3281</v>
      </c>
      <c r="J16" s="5">
        <f ca="1">MASTER_AR_REPORT!J13</f>
        <v>6</v>
      </c>
      <c r="K16" s="5" t="str">
        <f ca="1">MASTER_AR_REPORT!K13</f>
        <v>0-30 Days</v>
      </c>
      <c r="L16" s="5" t="str">
        <f ca="1">MASTER_AR_REPORT!L13</f>
        <v>Low</v>
      </c>
      <c r="M16" s="5" t="str">
        <f ca="1">MASTER_AR_REPORT!M13</f>
        <v>Normal</v>
      </c>
      <c r="N16" s="5" t="str">
        <f>MASTER_AR_REPORT!N13</f>
        <v>Pending</v>
      </c>
      <c r="O16" s="5" t="str">
        <f>MASTER_AR_REPORT!O13</f>
        <v>Number Busy</v>
      </c>
    </row>
    <row r="17" spans="1:15">
      <c r="A17" s="2">
        <v>13</v>
      </c>
      <c r="B17" s="2" t="str">
        <f>IF(MASTER_AR_REPORT!B14="","",MASTER_AR_REPORT!B14)</f>
        <v>Watches</v>
      </c>
      <c r="C17" s="12">
        <f>MASTER_AR_REPORT!C14</f>
        <v>46158</v>
      </c>
      <c r="D17" s="2" t="str">
        <f>IF(MASTER_AR_REPORT!D14="","",MASTER_AR_REPORT!D14)</f>
        <v>SLGCW/67/26-27</v>
      </c>
      <c r="E17" s="2" t="str">
        <f>IF(MASTER_AR_REPORT!E14="","",MASTER_AR_REPORT!E14)</f>
        <v>Maruti watche &amp; electronics</v>
      </c>
      <c r="F17" s="3">
        <f>MASTER_AR_REPORT!F14</f>
        <v>8756</v>
      </c>
      <c r="G17" s="12">
        <f>MASTER_AR_REPORT!G14</f>
        <v>46159</v>
      </c>
      <c r="H17" s="3">
        <f>MASTER_AR_REPORT!H14</f>
        <v>0</v>
      </c>
      <c r="I17" s="3">
        <f>MASTER_AR_REPORT!I14</f>
        <v>8756</v>
      </c>
      <c r="J17" s="2">
        <f ca="1">MASTER_AR_REPORT!J14</f>
        <v>5</v>
      </c>
      <c r="K17" s="2" t="str">
        <f ca="1">MASTER_AR_REPORT!K14</f>
        <v>0-30 Days</v>
      </c>
      <c r="L17" s="2" t="str">
        <f ca="1">MASTER_AR_REPORT!L14</f>
        <v>Low</v>
      </c>
      <c r="M17" s="2" t="str">
        <f ca="1">MASTER_AR_REPORT!M14</f>
        <v>Normal</v>
      </c>
      <c r="N17" s="2" t="str">
        <f>MASTER_AR_REPORT!N14</f>
        <v>Pending</v>
      </c>
      <c r="O17" s="2" t="str">
        <f>MASTER_AR_REPORT!O14</f>
        <v>Number Busy</v>
      </c>
    </row>
    <row r="18" spans="1:15">
      <c r="A18" s="5">
        <v>14</v>
      </c>
      <c r="B18" s="5" t="str">
        <f>IF(MASTER_AR_REPORT!B15="","",MASTER_AR_REPORT!B15)</f>
        <v>Watches</v>
      </c>
      <c r="C18" s="11">
        <f>MASTER_AR_REPORT!C15</f>
        <v>45705</v>
      </c>
      <c r="D18" s="5" t="str">
        <f>IF(MASTER_AR_REPORT!D15="","",MASTER_AR_REPORT!D15)</f>
        <v>SLGCW/1043/24-25</v>
      </c>
      <c r="E18" s="5" t="str">
        <f>IF(MASTER_AR_REPORT!E15="","",MASTER_AR_REPORT!E15)</f>
        <v>MILAP GENERAL STORES</v>
      </c>
      <c r="F18" s="6">
        <f>MASTER_AR_REPORT!F15</f>
        <v>560</v>
      </c>
      <c r="G18" s="11">
        <f>MASTER_AR_REPORT!G15</f>
        <v>45705</v>
      </c>
      <c r="H18" s="6">
        <f>MASTER_AR_REPORT!H15</f>
        <v>0</v>
      </c>
      <c r="I18" s="6">
        <f>MASTER_AR_REPORT!I15</f>
        <v>560</v>
      </c>
      <c r="J18" s="5">
        <f ca="1">MASTER_AR_REPORT!J15</f>
        <v>459</v>
      </c>
      <c r="K18" s="5" t="str">
        <f ca="1">MASTER_AR_REPORT!K15</f>
        <v>90+ Days</v>
      </c>
      <c r="L18" s="5" t="str">
        <f ca="1">MASTER_AR_REPORT!L15</f>
        <v>HIGH RISK</v>
      </c>
      <c r="M18" s="5" t="str">
        <f ca="1">MASTER_AR_REPORT!M15</f>
        <v>Immediate Action</v>
      </c>
      <c r="N18" s="5" t="str">
        <f>MASTER_AR_REPORT!N15</f>
        <v>Pending</v>
      </c>
      <c r="O18" s="5" t="str">
        <f>MASTER_AR_REPORT!O15</f>
        <v>Not Lifting Call</v>
      </c>
    </row>
    <row r="19" spans="1:15">
      <c r="A19" s="2">
        <v>15</v>
      </c>
      <c r="B19" s="2" t="str">
        <f>IF(MASTER_AR_REPORT!B16="","",MASTER_AR_REPORT!B16)</f>
        <v>Watches</v>
      </c>
      <c r="C19" s="12">
        <f>MASTER_AR_REPORT!C16</f>
        <v>45708</v>
      </c>
      <c r="D19" s="2" t="str">
        <f>IF(MASTER_AR_REPORT!D16="","",MASTER_AR_REPORT!D16)</f>
        <v>SLGCW/1061/24-25</v>
      </c>
      <c r="E19" s="2" t="str">
        <f>IF(MASTER_AR_REPORT!E16="","",MASTER_AR_REPORT!E16)</f>
        <v>MILAP GENERAL STORES</v>
      </c>
      <c r="F19" s="3">
        <f>MASTER_AR_REPORT!F16</f>
        <v>103.36</v>
      </c>
      <c r="G19" s="12">
        <f>MASTER_AR_REPORT!G16</f>
        <v>45708</v>
      </c>
      <c r="H19" s="3">
        <f>MASTER_AR_REPORT!H16</f>
        <v>0</v>
      </c>
      <c r="I19" s="3">
        <f>MASTER_AR_REPORT!I16</f>
        <v>103.36</v>
      </c>
      <c r="J19" s="2">
        <f ca="1">MASTER_AR_REPORT!J16</f>
        <v>456</v>
      </c>
      <c r="K19" s="2" t="str">
        <f ca="1">MASTER_AR_REPORT!K16</f>
        <v>90+ Days</v>
      </c>
      <c r="L19" s="2" t="str">
        <f ca="1">MASTER_AR_REPORT!L16</f>
        <v>HIGH RISK</v>
      </c>
      <c r="M19" s="2" t="str">
        <f ca="1">MASTER_AR_REPORT!M16</f>
        <v>Immediate Action</v>
      </c>
      <c r="N19" s="2" t="str">
        <f>MASTER_AR_REPORT!N16</f>
        <v>Pending</v>
      </c>
      <c r="O19" s="2" t="str">
        <f>MASTER_AR_REPORT!O16</f>
        <v>Not Lifting Call</v>
      </c>
    </row>
    <row r="20" spans="1:15">
      <c r="A20" s="5">
        <v>16</v>
      </c>
      <c r="B20" s="5" t="str">
        <f>IF(MASTER_AR_REPORT!B17="","",MASTER_AR_REPORT!B17)</f>
        <v>Watches</v>
      </c>
      <c r="C20" s="11">
        <f>MASTER_AR_REPORT!C17</f>
        <v>46144</v>
      </c>
      <c r="D20" s="5" t="str">
        <f>IF(MASTER_AR_REPORT!D17="","",MASTER_AR_REPORT!D17)</f>
        <v>SLGCW/58/26-27</v>
      </c>
      <c r="E20" s="5" t="str">
        <f>IF(MASTER_AR_REPORT!E17="","",MASTER_AR_REPORT!E17)</f>
        <v>NAZEER &amp; SONS</v>
      </c>
      <c r="F20" s="6">
        <f>MASTER_AR_REPORT!F17</f>
        <v>14781</v>
      </c>
      <c r="G20" s="11">
        <f>MASTER_AR_REPORT!G17</f>
        <v>46174</v>
      </c>
      <c r="H20" s="6">
        <f>MASTER_AR_REPORT!H17</f>
        <v>0</v>
      </c>
      <c r="I20" s="6">
        <f>MASTER_AR_REPORT!I17</f>
        <v>14781</v>
      </c>
      <c r="J20" s="5">
        <f ca="1">MASTER_AR_REPORT!J17</f>
        <v>0</v>
      </c>
      <c r="K20" s="5" t="str">
        <f ca="1">MASTER_AR_REPORT!K17</f>
        <v>0-30 Days</v>
      </c>
      <c r="L20" s="5" t="str">
        <f ca="1">MASTER_AR_REPORT!L17</f>
        <v>Low</v>
      </c>
      <c r="M20" s="5" t="str">
        <f ca="1">MASTER_AR_REPORT!M17</f>
        <v>Normal</v>
      </c>
      <c r="N20" s="5" t="str">
        <f>MASTER_AR_REPORT!N17</f>
        <v>Pending</v>
      </c>
      <c r="O20" s="5">
        <f>MASTER_AR_REPORT!O17</f>
        <v>0</v>
      </c>
    </row>
    <row r="21" spans="1:15">
      <c r="A21" s="2">
        <v>17</v>
      </c>
      <c r="B21" s="2" t="str">
        <f>IF(MASTER_AR_REPORT!B18="","",MASTER_AR_REPORT!B18)</f>
        <v>Watches</v>
      </c>
      <c r="C21" s="12">
        <f>MASTER_AR_REPORT!C18</f>
        <v>46150</v>
      </c>
      <c r="D21" s="2" t="str">
        <f>IF(MASTER_AR_REPORT!D18="","",MASTER_AR_REPORT!D18)</f>
        <v>SLGCW/62/26-27</v>
      </c>
      <c r="E21" s="2" t="str">
        <f>IF(MASTER_AR_REPORT!E18="","",MASTER_AR_REPORT!E18)</f>
        <v>NAZEER &amp; SONS</v>
      </c>
      <c r="F21" s="3">
        <f>MASTER_AR_REPORT!F18</f>
        <v>12783</v>
      </c>
      <c r="G21" s="12">
        <f>MASTER_AR_REPORT!G18</f>
        <v>46151</v>
      </c>
      <c r="H21" s="3">
        <f>MASTER_AR_REPORT!H18</f>
        <v>12783</v>
      </c>
      <c r="I21" s="3">
        <f>MASTER_AR_REPORT!I18</f>
        <v>0</v>
      </c>
      <c r="J21" s="2">
        <f ca="1">MASTER_AR_REPORT!J18</f>
        <v>13</v>
      </c>
      <c r="K21" s="2" t="str">
        <f>MASTER_AR_REPORT!K18</f>
        <v>Current</v>
      </c>
      <c r="L21" s="2" t="str">
        <f>MASTER_AR_REPORT!L18</f>
        <v>-</v>
      </c>
      <c r="M21" s="2" t="str">
        <f>MASTER_AR_REPORT!M18</f>
        <v>-</v>
      </c>
      <c r="N21" s="2" t="str">
        <f>MASTER_AR_REPORT!N18</f>
        <v>Pending</v>
      </c>
      <c r="O21" s="2" t="str">
        <f>MASTER_AR_REPORT!O18</f>
        <v>Customer says Cheque already Paid</v>
      </c>
    </row>
    <row r="22" spans="1:15">
      <c r="A22" s="5">
        <v>18</v>
      </c>
      <c r="B22" s="5" t="str">
        <f>IF(MASTER_AR_REPORT!B19="","",MASTER_AR_REPORT!B19)</f>
        <v>Watches</v>
      </c>
      <c r="C22" s="11">
        <f>MASTER_AR_REPORT!C19</f>
        <v>45667</v>
      </c>
      <c r="D22" s="5" t="str">
        <f>IF(MASTER_AR_REPORT!D19="","",MASTER_AR_REPORT!D19)</f>
        <v>SLGCW/898/24-25</v>
      </c>
      <c r="E22" s="5" t="str">
        <f>IF(MASTER_AR_REPORT!E19="","",MASTER_AR_REPORT!E19)</f>
        <v>RAMESH WATCH CO PVT LTD K-INORBIT</v>
      </c>
      <c r="F22" s="6">
        <f>MASTER_AR_REPORT!F19</f>
        <v>92000</v>
      </c>
      <c r="G22" s="11">
        <f>MASTER_AR_REPORT!G19</f>
        <v>45667</v>
      </c>
      <c r="H22" s="6">
        <f>MASTER_AR_REPORT!H19</f>
        <v>0</v>
      </c>
      <c r="I22" s="6">
        <f>MASTER_AR_REPORT!I19</f>
        <v>92000</v>
      </c>
      <c r="J22" s="5">
        <f ca="1">MASTER_AR_REPORT!J19</f>
        <v>497</v>
      </c>
      <c r="K22" s="5" t="str">
        <f ca="1">MASTER_AR_REPORT!K19</f>
        <v>90+ Days</v>
      </c>
      <c r="L22" s="5" t="str">
        <f ca="1">MASTER_AR_REPORT!L19</f>
        <v>HIGH RISK</v>
      </c>
      <c r="M22" s="5" t="str">
        <f ca="1">MASTER_AR_REPORT!M19</f>
        <v>Immediate Action</v>
      </c>
      <c r="N22" s="5" t="str">
        <f>MASTER_AR_REPORT!N19</f>
        <v>Pending</v>
      </c>
      <c r="O22" s="5" t="str">
        <f>MASTER_AR_REPORT!O19</f>
        <v>Issue</v>
      </c>
    </row>
    <row r="23" spans="1:15">
      <c r="A23" s="2">
        <v>19</v>
      </c>
      <c r="B23" s="2" t="str">
        <f>IF(MASTER_AR_REPORT!B20="","",MASTER_AR_REPORT!B20)</f>
        <v>Watches</v>
      </c>
      <c r="C23" s="12">
        <f>MASTER_AR_REPORT!C20</f>
        <v>46044</v>
      </c>
      <c r="D23" s="2" t="str">
        <f>IF(MASTER_AR_REPORT!D20="","",MASTER_AR_REPORT!D20)</f>
        <v>SLGCW/1138/25-26</v>
      </c>
      <c r="E23" s="2" t="str">
        <f>IF(MASTER_AR_REPORT!E20="","",MASTER_AR_REPORT!E20)</f>
        <v>RAMESH WATCH CO PVT LTD K-INORBIT</v>
      </c>
      <c r="F23" s="3">
        <f>MASTER_AR_REPORT!F20</f>
        <v>74393</v>
      </c>
      <c r="G23" s="12">
        <f>MASTER_AR_REPORT!G20</f>
        <v>46089</v>
      </c>
      <c r="H23" s="3">
        <f>MASTER_AR_REPORT!H20</f>
        <v>0</v>
      </c>
      <c r="I23" s="3">
        <f>MASTER_AR_REPORT!I20</f>
        <v>74393</v>
      </c>
      <c r="J23" s="2">
        <f ca="1">MASTER_AR_REPORT!J20</f>
        <v>75</v>
      </c>
      <c r="K23" s="2" t="str">
        <f ca="1">MASTER_AR_REPORT!K20</f>
        <v>61-90 Days</v>
      </c>
      <c r="L23" s="2" t="str">
        <f ca="1">MASTER_AR_REPORT!L20</f>
        <v>Medium</v>
      </c>
      <c r="M23" s="2" t="str">
        <f ca="1">MASTER_AR_REPORT!M20</f>
        <v>Urgent</v>
      </c>
      <c r="N23" s="2" t="str">
        <f>MASTER_AR_REPORT!N20</f>
        <v>Pending</v>
      </c>
      <c r="O23" s="2" t="str">
        <f>MASTER_AR_REPORT!O20</f>
        <v>DSO will collect</v>
      </c>
    </row>
    <row r="24" spans="1:15">
      <c r="A24" s="5">
        <v>20</v>
      </c>
      <c r="B24" s="5" t="str">
        <f>IF(MASTER_AR_REPORT!B21="","",MASTER_AR_REPORT!B21)</f>
        <v>Watches</v>
      </c>
      <c r="C24" s="11">
        <f>MASTER_AR_REPORT!C21</f>
        <v>46045</v>
      </c>
      <c r="D24" s="5" t="str">
        <f>IF(MASTER_AR_REPORT!D21="","",MASTER_AR_REPORT!D21)</f>
        <v>SLGCW/1150/25-26</v>
      </c>
      <c r="E24" s="5" t="str">
        <f>IF(MASTER_AR_REPORT!E21="","",MASTER_AR_REPORT!E21)</f>
        <v>RAMESH WATCH CO PVT LTD K-INORBIT</v>
      </c>
      <c r="F24" s="6">
        <f>MASTER_AR_REPORT!F21</f>
        <v>263334</v>
      </c>
      <c r="G24" s="11">
        <f>MASTER_AR_REPORT!G21</f>
        <v>46090</v>
      </c>
      <c r="H24" s="6">
        <f>MASTER_AR_REPORT!H21</f>
        <v>0</v>
      </c>
      <c r="I24" s="6">
        <f>MASTER_AR_REPORT!I21</f>
        <v>263334</v>
      </c>
      <c r="J24" s="5">
        <f ca="1">MASTER_AR_REPORT!J21</f>
        <v>74</v>
      </c>
      <c r="K24" s="5" t="str">
        <f ca="1">MASTER_AR_REPORT!K21</f>
        <v>61-90 Days</v>
      </c>
      <c r="L24" s="5" t="str">
        <f ca="1">MASTER_AR_REPORT!L21</f>
        <v>Medium</v>
      </c>
      <c r="M24" s="5" t="str">
        <f ca="1">MASTER_AR_REPORT!M21</f>
        <v>Urgent</v>
      </c>
      <c r="N24" s="5" t="str">
        <f>MASTER_AR_REPORT!N21</f>
        <v>Pending</v>
      </c>
      <c r="O24" s="5" t="str">
        <f>MASTER_AR_REPORT!O21</f>
        <v>DSO will collect</v>
      </c>
    </row>
    <row r="25" spans="1:15">
      <c r="A25" s="2">
        <v>21</v>
      </c>
      <c r="B25" s="2" t="str">
        <f>IF(MASTER_AR_REPORT!B22="","",MASTER_AR_REPORT!B22)</f>
        <v>Watches</v>
      </c>
      <c r="C25" s="12">
        <f>MASTER_AR_REPORT!C22</f>
        <v>46045</v>
      </c>
      <c r="D25" s="2" t="str">
        <f>IF(MASTER_AR_REPORT!D22="","",MASTER_AR_REPORT!D22)</f>
        <v>SLGCW/1147/25-26</v>
      </c>
      <c r="E25" s="2" t="str">
        <f>IF(MASTER_AR_REPORT!E22="","",MASTER_AR_REPORT!E22)</f>
        <v>RAMESH WATCH CO PVT LTD K-INORBIT</v>
      </c>
      <c r="F25" s="3">
        <f>MASTER_AR_REPORT!F22</f>
        <v>60364</v>
      </c>
      <c r="G25" s="12">
        <f>MASTER_AR_REPORT!G22</f>
        <v>46090</v>
      </c>
      <c r="H25" s="3">
        <f>MASTER_AR_REPORT!H22</f>
        <v>0</v>
      </c>
      <c r="I25" s="3">
        <f>MASTER_AR_REPORT!I22</f>
        <v>60364</v>
      </c>
      <c r="J25" s="2">
        <f ca="1">MASTER_AR_REPORT!J22</f>
        <v>74</v>
      </c>
      <c r="K25" s="2" t="str">
        <f ca="1">MASTER_AR_REPORT!K22</f>
        <v>61-90 Days</v>
      </c>
      <c r="L25" s="2" t="str">
        <f ca="1">MASTER_AR_REPORT!L22</f>
        <v>Medium</v>
      </c>
      <c r="M25" s="2" t="str">
        <f ca="1">MASTER_AR_REPORT!M22</f>
        <v>Urgent</v>
      </c>
      <c r="N25" s="2" t="str">
        <f>MASTER_AR_REPORT!N22</f>
        <v>Pending</v>
      </c>
      <c r="O25" s="2" t="str">
        <f>MASTER_AR_REPORT!O22</f>
        <v>DSO will collect</v>
      </c>
    </row>
    <row r="26" spans="1:15">
      <c r="A26" s="5">
        <v>22</v>
      </c>
      <c r="B26" s="5" t="str">
        <f>IF(MASTER_AR_REPORT!B23="","",MASTER_AR_REPORT!B23)</f>
        <v>Watches</v>
      </c>
      <c r="C26" s="11">
        <f>MASTER_AR_REPORT!C23</f>
        <v>46045</v>
      </c>
      <c r="D26" s="5" t="str">
        <f>IF(MASTER_AR_REPORT!D23="","",MASTER_AR_REPORT!D23)</f>
        <v>SLGCW/1149/25-26</v>
      </c>
      <c r="E26" s="5" t="str">
        <f>IF(MASTER_AR_REPORT!E23="","",MASTER_AR_REPORT!E23)</f>
        <v>RAMESH WATCH CO PVT LTD K-INORBIT</v>
      </c>
      <c r="F26" s="6">
        <f>MASTER_AR_REPORT!F23</f>
        <v>30132</v>
      </c>
      <c r="G26" s="11">
        <f>MASTER_AR_REPORT!G23</f>
        <v>46090</v>
      </c>
      <c r="H26" s="6">
        <f>MASTER_AR_REPORT!H23</f>
        <v>0</v>
      </c>
      <c r="I26" s="6">
        <f>MASTER_AR_REPORT!I23</f>
        <v>30132</v>
      </c>
      <c r="J26" s="5">
        <f ca="1">MASTER_AR_REPORT!J23</f>
        <v>74</v>
      </c>
      <c r="K26" s="5" t="str">
        <f ca="1">MASTER_AR_REPORT!K23</f>
        <v>61-90 Days</v>
      </c>
      <c r="L26" s="5" t="str">
        <f ca="1">MASTER_AR_REPORT!L23</f>
        <v>Medium</v>
      </c>
      <c r="M26" s="5" t="str">
        <f ca="1">MASTER_AR_REPORT!M23</f>
        <v>Urgent</v>
      </c>
      <c r="N26" s="5" t="str">
        <f>MASTER_AR_REPORT!N23</f>
        <v>Pending</v>
      </c>
      <c r="O26" s="5" t="str">
        <f>MASTER_AR_REPORT!O23</f>
        <v>DSO will collect</v>
      </c>
    </row>
    <row r="27" spans="1:15">
      <c r="A27" s="2">
        <v>23</v>
      </c>
      <c r="B27" s="2" t="str">
        <f>IF(MASTER_AR_REPORT!B24="","",MASTER_AR_REPORT!B24)</f>
        <v>Watches</v>
      </c>
      <c r="C27" s="12">
        <f>MASTER_AR_REPORT!C24</f>
        <v>46055</v>
      </c>
      <c r="D27" s="2" t="str">
        <f>IF(MASTER_AR_REPORT!D24="","",MASTER_AR_REPORT!D24)</f>
        <v>SLGCW/1188/25-26</v>
      </c>
      <c r="E27" s="2" t="str">
        <f>IF(MASTER_AR_REPORT!E24="","",MASTER_AR_REPORT!E24)</f>
        <v>RAMESH WATCH CO PVT LTD K-INORBIT</v>
      </c>
      <c r="F27" s="3">
        <f>MASTER_AR_REPORT!F24</f>
        <v>304908</v>
      </c>
      <c r="G27" s="12">
        <f>MASTER_AR_REPORT!G24</f>
        <v>46100</v>
      </c>
      <c r="H27" s="3">
        <f>MASTER_AR_REPORT!H24</f>
        <v>0</v>
      </c>
      <c r="I27" s="3">
        <f>MASTER_AR_REPORT!I24</f>
        <v>304908</v>
      </c>
      <c r="J27" s="2">
        <f ca="1">MASTER_AR_REPORT!J24</f>
        <v>64</v>
      </c>
      <c r="K27" s="2" t="str">
        <f ca="1">MASTER_AR_REPORT!K24</f>
        <v>61-90 Days</v>
      </c>
      <c r="L27" s="2" t="str">
        <f ca="1">MASTER_AR_REPORT!L24</f>
        <v>Medium</v>
      </c>
      <c r="M27" s="2" t="str">
        <f ca="1">MASTER_AR_REPORT!M24</f>
        <v>Urgent</v>
      </c>
      <c r="N27" s="2" t="str">
        <f>MASTER_AR_REPORT!N24</f>
        <v>Pending</v>
      </c>
      <c r="O27" s="2" t="str">
        <f>MASTER_AR_REPORT!O24</f>
        <v>DSO will collect</v>
      </c>
    </row>
    <row r="28" spans="1:15">
      <c r="A28" s="5">
        <v>24</v>
      </c>
      <c r="B28" s="5" t="str">
        <f>IF(MASTER_AR_REPORT!B25="","",MASTER_AR_REPORT!B25)</f>
        <v>Watches</v>
      </c>
      <c r="C28" s="11">
        <f>MASTER_AR_REPORT!C25</f>
        <v>46067</v>
      </c>
      <c r="D28" s="5" t="str">
        <f>IF(MASTER_AR_REPORT!D25="","",MASTER_AR_REPORT!D25)</f>
        <v>SLGCW/1226/25-26</v>
      </c>
      <c r="E28" s="5" t="str">
        <f>IF(MASTER_AR_REPORT!E25="","",MASTER_AR_REPORT!E25)</f>
        <v>RAMESH WATCH CO PVT LTD K-INORBIT</v>
      </c>
      <c r="F28" s="6">
        <f>MASTER_AR_REPORT!F25</f>
        <v>51332</v>
      </c>
      <c r="G28" s="11">
        <f>MASTER_AR_REPORT!G25</f>
        <v>46112</v>
      </c>
      <c r="H28" s="6">
        <f>MASTER_AR_REPORT!H25</f>
        <v>0</v>
      </c>
      <c r="I28" s="6">
        <f>MASTER_AR_REPORT!I25</f>
        <v>51332</v>
      </c>
      <c r="J28" s="5">
        <f ca="1">MASTER_AR_REPORT!J25</f>
        <v>52</v>
      </c>
      <c r="K28" s="5" t="str">
        <f ca="1">MASTER_AR_REPORT!K25</f>
        <v>31-60 Days</v>
      </c>
      <c r="L28" s="5" t="str">
        <f ca="1">MASTER_AR_REPORT!L25</f>
        <v>Low-Medium</v>
      </c>
      <c r="M28" s="5" t="str">
        <f ca="1">MASTER_AR_REPORT!M25</f>
        <v>Medium</v>
      </c>
      <c r="N28" s="5" t="str">
        <f>MASTER_AR_REPORT!N25</f>
        <v>Pending</v>
      </c>
      <c r="O28" s="5" t="str">
        <f>MASTER_AR_REPORT!O25</f>
        <v>DSO will collect</v>
      </c>
    </row>
    <row r="29" spans="1:15">
      <c r="A29" s="2">
        <v>25</v>
      </c>
      <c r="B29" s="2" t="str">
        <f>IF(MASTER_AR_REPORT!B26="","",MASTER_AR_REPORT!B26)</f>
        <v>Watches</v>
      </c>
      <c r="C29" s="12">
        <f>MASTER_AR_REPORT!C26</f>
        <v>46076</v>
      </c>
      <c r="D29" s="2" t="str">
        <f>IF(MASTER_AR_REPORT!D26="","",MASTER_AR_REPORT!D26)</f>
        <v>SLGCW/1233/25-26</v>
      </c>
      <c r="E29" s="2" t="str">
        <f>IF(MASTER_AR_REPORT!E26="","",MASTER_AR_REPORT!E26)</f>
        <v>RAMESH WATCH CO PVT LTD K-INORBIT</v>
      </c>
      <c r="F29" s="3">
        <f>MASTER_AR_REPORT!F26</f>
        <v>11979</v>
      </c>
      <c r="G29" s="12">
        <f>MASTER_AR_REPORT!G26</f>
        <v>46121</v>
      </c>
      <c r="H29" s="3">
        <f>MASTER_AR_REPORT!H26</f>
        <v>0</v>
      </c>
      <c r="I29" s="3">
        <f>MASTER_AR_REPORT!I26</f>
        <v>11979</v>
      </c>
      <c r="J29" s="2">
        <f ca="1">MASTER_AR_REPORT!J26</f>
        <v>43</v>
      </c>
      <c r="K29" s="2" t="str">
        <f ca="1">MASTER_AR_REPORT!K26</f>
        <v>31-60 Days</v>
      </c>
      <c r="L29" s="2" t="str">
        <f ca="1">MASTER_AR_REPORT!L26</f>
        <v>Low-Medium</v>
      </c>
      <c r="M29" s="2" t="str">
        <f ca="1">MASTER_AR_REPORT!M26</f>
        <v>Medium</v>
      </c>
      <c r="N29" s="2" t="str">
        <f>MASTER_AR_REPORT!N26</f>
        <v>Pending</v>
      </c>
      <c r="O29" s="2" t="str">
        <f>MASTER_AR_REPORT!O26</f>
        <v>DSO will collect</v>
      </c>
    </row>
    <row r="30" spans="1:15">
      <c r="A30" s="5">
        <v>26</v>
      </c>
      <c r="B30" s="5" t="str">
        <f>IF(MASTER_AR_REPORT!B27="","",MASTER_AR_REPORT!B27)</f>
        <v>Watches</v>
      </c>
      <c r="C30" s="11">
        <f>MASTER_AR_REPORT!C27</f>
        <v>46076</v>
      </c>
      <c r="D30" s="5" t="str">
        <f>IF(MASTER_AR_REPORT!D27="","",MASTER_AR_REPORT!D27)</f>
        <v>SLGCW/1235/25-26</v>
      </c>
      <c r="E30" s="5" t="str">
        <f>IF(MASTER_AR_REPORT!E27="","",MASTER_AR_REPORT!E27)</f>
        <v>RAMESH WATCH CO PVT LTD K-INORBIT</v>
      </c>
      <c r="F30" s="6">
        <f>MASTER_AR_REPORT!F27</f>
        <v>6291</v>
      </c>
      <c r="G30" s="11">
        <f>MASTER_AR_REPORT!G27</f>
        <v>46121</v>
      </c>
      <c r="H30" s="6">
        <f>MASTER_AR_REPORT!H27</f>
        <v>0</v>
      </c>
      <c r="I30" s="6">
        <f>MASTER_AR_REPORT!I27</f>
        <v>6291</v>
      </c>
      <c r="J30" s="5">
        <f ca="1">MASTER_AR_REPORT!J27</f>
        <v>43</v>
      </c>
      <c r="K30" s="5" t="str">
        <f ca="1">MASTER_AR_REPORT!K27</f>
        <v>31-60 Days</v>
      </c>
      <c r="L30" s="5" t="str">
        <f ca="1">MASTER_AR_REPORT!L27</f>
        <v>Low-Medium</v>
      </c>
      <c r="M30" s="5" t="str">
        <f ca="1">MASTER_AR_REPORT!M27</f>
        <v>Medium</v>
      </c>
      <c r="N30" s="5" t="str">
        <f>MASTER_AR_REPORT!N27</f>
        <v>Pending</v>
      </c>
      <c r="O30" s="5" t="str">
        <f>MASTER_AR_REPORT!O27</f>
        <v>DSO will collect</v>
      </c>
    </row>
    <row r="31" spans="1:15">
      <c r="A31" s="2">
        <v>27</v>
      </c>
      <c r="B31" s="2" t="str">
        <f>IF(MASTER_AR_REPORT!B28="","",MASTER_AR_REPORT!B28)</f>
        <v>Watches</v>
      </c>
      <c r="C31" s="12">
        <f>MASTER_AR_REPORT!C28</f>
        <v>46076</v>
      </c>
      <c r="D31" s="2" t="str">
        <f>IF(MASTER_AR_REPORT!D28="","",MASTER_AR_REPORT!D28)</f>
        <v>SLGCW/1236/25-26</v>
      </c>
      <c r="E31" s="2" t="str">
        <f>IF(MASTER_AR_REPORT!E28="","",MASTER_AR_REPORT!E28)</f>
        <v>RAMESH WATCH CO PVT LTD K-INORBIT</v>
      </c>
      <c r="F31" s="3">
        <f>MASTER_AR_REPORT!F28</f>
        <v>7296</v>
      </c>
      <c r="G31" s="12">
        <f>MASTER_AR_REPORT!G28</f>
        <v>46121</v>
      </c>
      <c r="H31" s="3">
        <f>MASTER_AR_REPORT!H28</f>
        <v>0</v>
      </c>
      <c r="I31" s="3">
        <f>MASTER_AR_REPORT!I28</f>
        <v>7296</v>
      </c>
      <c r="J31" s="2">
        <f ca="1">MASTER_AR_REPORT!J28</f>
        <v>43</v>
      </c>
      <c r="K31" s="2" t="str">
        <f ca="1">MASTER_AR_REPORT!K28</f>
        <v>31-60 Days</v>
      </c>
      <c r="L31" s="2" t="str">
        <f ca="1">MASTER_AR_REPORT!L28</f>
        <v>Low-Medium</v>
      </c>
      <c r="M31" s="2" t="str">
        <f ca="1">MASTER_AR_REPORT!M28</f>
        <v>Medium</v>
      </c>
      <c r="N31" s="2" t="str">
        <f>MASTER_AR_REPORT!N28</f>
        <v>Pending</v>
      </c>
      <c r="O31" s="2" t="str">
        <f>MASTER_AR_REPORT!O28</f>
        <v>DSO will collect</v>
      </c>
    </row>
    <row r="32" spans="1:15">
      <c r="A32" s="5">
        <v>28</v>
      </c>
      <c r="B32" s="5" t="str">
        <f>IF(MASTER_AR_REPORT!B29="","",MASTER_AR_REPORT!B29)</f>
        <v>Watches</v>
      </c>
      <c r="C32" s="11">
        <f>MASTER_AR_REPORT!C29</f>
        <v>46090</v>
      </c>
      <c r="D32" s="5" t="str">
        <f>IF(MASTER_AR_REPORT!D29="","",MASTER_AR_REPORT!D29)</f>
        <v>SLGCW/1247/25-26</v>
      </c>
      <c r="E32" s="5" t="str">
        <f>IF(MASTER_AR_REPORT!E29="","",MASTER_AR_REPORT!E29)</f>
        <v>RAMESH WATCH CO PVT LTD K-INORBIT</v>
      </c>
      <c r="F32" s="6">
        <f>MASTER_AR_REPORT!F29</f>
        <v>17417</v>
      </c>
      <c r="G32" s="11">
        <f>MASTER_AR_REPORT!G29</f>
        <v>46135</v>
      </c>
      <c r="H32" s="6">
        <f>MASTER_AR_REPORT!H29</f>
        <v>0</v>
      </c>
      <c r="I32" s="6">
        <f>MASTER_AR_REPORT!I29</f>
        <v>17417</v>
      </c>
      <c r="J32" s="5">
        <f ca="1">MASTER_AR_REPORT!J29</f>
        <v>29</v>
      </c>
      <c r="K32" s="5" t="str">
        <f ca="1">MASTER_AR_REPORT!K29</f>
        <v>0-30 Days</v>
      </c>
      <c r="L32" s="5" t="str">
        <f ca="1">MASTER_AR_REPORT!L29</f>
        <v>Low</v>
      </c>
      <c r="M32" s="5" t="str">
        <f ca="1">MASTER_AR_REPORT!M29</f>
        <v>Normal</v>
      </c>
      <c r="N32" s="5" t="str">
        <f>MASTER_AR_REPORT!N29</f>
        <v>Pending</v>
      </c>
      <c r="O32" s="5" t="str">
        <f>MASTER_AR_REPORT!O29</f>
        <v>DSO will collect</v>
      </c>
    </row>
    <row r="33" spans="1:15">
      <c r="A33" s="2">
        <v>29</v>
      </c>
      <c r="B33" s="2" t="str">
        <f>IF(MASTER_AR_REPORT!B30="","",MASTER_AR_REPORT!B30)</f>
        <v>Watches</v>
      </c>
      <c r="C33" s="12">
        <f>MASTER_AR_REPORT!C30</f>
        <v>46121</v>
      </c>
      <c r="D33" s="2" t="str">
        <f>IF(MASTER_AR_REPORT!D30="","",MASTER_AR_REPORT!D30)</f>
        <v>SLGCW/1/26-27</v>
      </c>
      <c r="E33" s="2" t="str">
        <f>IF(MASTER_AR_REPORT!E30="","",MASTER_AR_REPORT!E30)</f>
        <v>RAMESH WATCH CO PVT LTD K-INORBIT</v>
      </c>
      <c r="F33" s="3">
        <f>MASTER_AR_REPORT!F30</f>
        <v>188677</v>
      </c>
      <c r="G33" s="12">
        <f>MASTER_AR_REPORT!G30</f>
        <v>46166</v>
      </c>
      <c r="H33" s="3">
        <f>MASTER_AR_REPORT!H30</f>
        <v>0</v>
      </c>
      <c r="I33" s="3">
        <f>MASTER_AR_REPORT!I30</f>
        <v>188677</v>
      </c>
      <c r="J33" s="2">
        <f ca="1">MASTER_AR_REPORT!J30</f>
        <v>0</v>
      </c>
      <c r="K33" s="2" t="str">
        <f ca="1">MASTER_AR_REPORT!K30</f>
        <v>0-30 Days</v>
      </c>
      <c r="L33" s="2" t="str">
        <f ca="1">MASTER_AR_REPORT!L30</f>
        <v>Low</v>
      </c>
      <c r="M33" s="2" t="str">
        <f ca="1">MASTER_AR_REPORT!M30</f>
        <v>Normal</v>
      </c>
      <c r="N33" s="2" t="str">
        <f>MASTER_AR_REPORT!N30</f>
        <v>Pending</v>
      </c>
      <c r="O33" s="2" t="str">
        <f>MASTER_AR_REPORT!O30</f>
        <v>DSO will collect</v>
      </c>
    </row>
    <row r="34" spans="1:15">
      <c r="A34" s="5">
        <v>30</v>
      </c>
      <c r="B34" s="5" t="str">
        <f>IF(MASTER_AR_REPORT!B31="","",MASTER_AR_REPORT!B31)</f>
        <v>Watches</v>
      </c>
      <c r="C34" s="11">
        <f>MASTER_AR_REPORT!C31</f>
        <v>46121</v>
      </c>
      <c r="D34" s="5" t="str">
        <f>IF(MASTER_AR_REPORT!D31="","",MASTER_AR_REPORT!D31)</f>
        <v>SLGCW/2/26-27</v>
      </c>
      <c r="E34" s="5" t="str">
        <f>IF(MASTER_AR_REPORT!E31="","",MASTER_AR_REPORT!E31)</f>
        <v>RAMESH WATCH CO PVT LTD K-INORBIT</v>
      </c>
      <c r="F34" s="6">
        <f>MASTER_AR_REPORT!F31</f>
        <v>125895</v>
      </c>
      <c r="G34" s="11">
        <f>MASTER_AR_REPORT!G31</f>
        <v>46166</v>
      </c>
      <c r="H34" s="6">
        <f>MASTER_AR_REPORT!H31</f>
        <v>0</v>
      </c>
      <c r="I34" s="6">
        <f>MASTER_AR_REPORT!I31</f>
        <v>125895</v>
      </c>
      <c r="J34" s="5">
        <f ca="1">MASTER_AR_REPORT!J31</f>
        <v>0</v>
      </c>
      <c r="K34" s="5" t="str">
        <f ca="1">MASTER_AR_REPORT!K31</f>
        <v>0-30 Days</v>
      </c>
      <c r="L34" s="5" t="str">
        <f ca="1">MASTER_AR_REPORT!L31</f>
        <v>Low</v>
      </c>
      <c r="M34" s="5" t="str">
        <f ca="1">MASTER_AR_REPORT!M31</f>
        <v>Normal</v>
      </c>
      <c r="N34" s="5" t="str">
        <f>MASTER_AR_REPORT!N31</f>
        <v>Pending</v>
      </c>
      <c r="O34" s="5" t="str">
        <f>MASTER_AR_REPORT!O31</f>
        <v>DSO will collect</v>
      </c>
    </row>
    <row r="35" spans="1:15">
      <c r="A35" s="2">
        <v>31</v>
      </c>
      <c r="B35" s="2" t="str">
        <f>IF(MASTER_AR_REPORT!B32="","",MASTER_AR_REPORT!B32)</f>
        <v>Watches</v>
      </c>
      <c r="C35" s="12">
        <f>MASTER_AR_REPORT!C32</f>
        <v>46121</v>
      </c>
      <c r="D35" s="2" t="str">
        <f>IF(MASTER_AR_REPORT!D32="","",MASTER_AR_REPORT!D32)</f>
        <v>SLGCW/3/26-27</v>
      </c>
      <c r="E35" s="2" t="str">
        <f>IF(MASTER_AR_REPORT!E32="","",MASTER_AR_REPORT!E32)</f>
        <v>RAMESH WATCH CO PVT LTD K-INORBIT</v>
      </c>
      <c r="F35" s="3">
        <f>MASTER_AR_REPORT!F32</f>
        <v>176081</v>
      </c>
      <c r="G35" s="12">
        <f>MASTER_AR_REPORT!G32</f>
        <v>46166</v>
      </c>
      <c r="H35" s="3">
        <f>MASTER_AR_REPORT!H32</f>
        <v>0</v>
      </c>
      <c r="I35" s="3">
        <f>MASTER_AR_REPORT!I32</f>
        <v>176081</v>
      </c>
      <c r="J35" s="2">
        <f ca="1">MASTER_AR_REPORT!J32</f>
        <v>0</v>
      </c>
      <c r="K35" s="2" t="str">
        <f ca="1">MASTER_AR_REPORT!K32</f>
        <v>0-30 Days</v>
      </c>
      <c r="L35" s="2" t="str">
        <f ca="1">MASTER_AR_REPORT!L32</f>
        <v>Low</v>
      </c>
      <c r="M35" s="2" t="str">
        <f ca="1">MASTER_AR_REPORT!M32</f>
        <v>Normal</v>
      </c>
      <c r="N35" s="2" t="str">
        <f>MASTER_AR_REPORT!N32</f>
        <v>Pending</v>
      </c>
      <c r="O35" s="2" t="str">
        <f>MASTER_AR_REPORT!O32</f>
        <v>DSO will collect</v>
      </c>
    </row>
    <row r="36" spans="1:15">
      <c r="A36" s="5">
        <v>32</v>
      </c>
      <c r="B36" s="5" t="str">
        <f>IF(MASTER_AR_REPORT!B33="","",MASTER_AR_REPORT!B33)</f>
        <v>Watches</v>
      </c>
      <c r="C36" s="11">
        <f>MASTER_AR_REPORT!C33</f>
        <v>46121</v>
      </c>
      <c r="D36" s="5" t="str">
        <f>IF(MASTER_AR_REPORT!D33="","",MASTER_AR_REPORT!D33)</f>
        <v>SLGCW/4/26-27</v>
      </c>
      <c r="E36" s="5" t="str">
        <f>IF(MASTER_AR_REPORT!E33="","",MASTER_AR_REPORT!E33)</f>
        <v>RAMESH WATCH CO PVT LTD K-INORBIT</v>
      </c>
      <c r="F36" s="6">
        <f>MASTER_AR_REPORT!F33</f>
        <v>101373</v>
      </c>
      <c r="G36" s="11">
        <f>MASTER_AR_REPORT!G33</f>
        <v>46166</v>
      </c>
      <c r="H36" s="6">
        <f>MASTER_AR_REPORT!H33</f>
        <v>0</v>
      </c>
      <c r="I36" s="6">
        <f>MASTER_AR_REPORT!I33</f>
        <v>101373</v>
      </c>
      <c r="J36" s="5">
        <f ca="1">MASTER_AR_REPORT!J33</f>
        <v>0</v>
      </c>
      <c r="K36" s="5" t="str">
        <f ca="1">MASTER_AR_REPORT!K33</f>
        <v>0-30 Days</v>
      </c>
      <c r="L36" s="5" t="str">
        <f ca="1">MASTER_AR_REPORT!L33</f>
        <v>Low</v>
      </c>
      <c r="M36" s="5" t="str">
        <f ca="1">MASTER_AR_REPORT!M33</f>
        <v>Normal</v>
      </c>
      <c r="N36" s="5" t="str">
        <f>MASTER_AR_REPORT!N33</f>
        <v>Pending</v>
      </c>
      <c r="O36" s="5" t="str">
        <f>MASTER_AR_REPORT!O33</f>
        <v>DSO will collect</v>
      </c>
    </row>
    <row r="37" spans="1:15">
      <c r="A37" s="2">
        <v>33</v>
      </c>
      <c r="B37" s="2" t="str">
        <f>IF(MASTER_AR_REPORT!B34="","",MASTER_AR_REPORT!B34)</f>
        <v>Watches</v>
      </c>
      <c r="C37" s="12">
        <f>MASTER_AR_REPORT!C34</f>
        <v>46121</v>
      </c>
      <c r="D37" s="2" t="str">
        <f>IF(MASTER_AR_REPORT!D34="","",MASTER_AR_REPORT!D34)</f>
        <v>SLGCW/5/26-27</v>
      </c>
      <c r="E37" s="2" t="str">
        <f>IF(MASTER_AR_REPORT!E34="","",MASTER_AR_REPORT!E34)</f>
        <v>RAMESH WATCH CO PVT LTD K-INORBIT</v>
      </c>
      <c r="F37" s="3">
        <f>MASTER_AR_REPORT!F34</f>
        <v>16740</v>
      </c>
      <c r="G37" s="12">
        <f>MASTER_AR_REPORT!G34</f>
        <v>46166</v>
      </c>
      <c r="H37" s="3">
        <f>MASTER_AR_REPORT!H34</f>
        <v>0</v>
      </c>
      <c r="I37" s="3">
        <f>MASTER_AR_REPORT!I34</f>
        <v>16740</v>
      </c>
      <c r="J37" s="2">
        <f ca="1">MASTER_AR_REPORT!J34</f>
        <v>0</v>
      </c>
      <c r="K37" s="2" t="str">
        <f ca="1">MASTER_AR_REPORT!K34</f>
        <v>0-30 Days</v>
      </c>
      <c r="L37" s="2" t="str">
        <f ca="1">MASTER_AR_REPORT!L34</f>
        <v>Low</v>
      </c>
      <c r="M37" s="2" t="str">
        <f ca="1">MASTER_AR_REPORT!M34</f>
        <v>Normal</v>
      </c>
      <c r="N37" s="2" t="str">
        <f>MASTER_AR_REPORT!N34</f>
        <v>Pending</v>
      </c>
      <c r="O37" s="2" t="str">
        <f>MASTER_AR_REPORT!O34</f>
        <v>DSO will collect</v>
      </c>
    </row>
    <row r="38" spans="1:15">
      <c r="A38" s="5">
        <v>34</v>
      </c>
      <c r="B38" s="5" t="str">
        <f>IF(MASTER_AR_REPORT!B35="","",MASTER_AR_REPORT!B35)</f>
        <v>Watches</v>
      </c>
      <c r="C38" s="11">
        <f>MASTER_AR_REPORT!C35</f>
        <v>46121</v>
      </c>
      <c r="D38" s="5" t="str">
        <f>IF(MASTER_AR_REPORT!D35="","",MASTER_AR_REPORT!D35)</f>
        <v>SLGCW/6/26-27</v>
      </c>
      <c r="E38" s="5" t="str">
        <f>IF(MASTER_AR_REPORT!E35="","",MASTER_AR_REPORT!E35)</f>
        <v>RAMESH WATCH CO PVT LTD K-INORBIT</v>
      </c>
      <c r="F38" s="6">
        <f>MASTER_AR_REPORT!F35</f>
        <v>34833</v>
      </c>
      <c r="G38" s="11">
        <f>MASTER_AR_REPORT!G35</f>
        <v>46166</v>
      </c>
      <c r="H38" s="6">
        <f>MASTER_AR_REPORT!H35</f>
        <v>0</v>
      </c>
      <c r="I38" s="6">
        <f>MASTER_AR_REPORT!I35</f>
        <v>34833</v>
      </c>
      <c r="J38" s="5">
        <f ca="1">MASTER_AR_REPORT!J35</f>
        <v>0</v>
      </c>
      <c r="K38" s="5" t="str">
        <f ca="1">MASTER_AR_REPORT!K35</f>
        <v>0-30 Days</v>
      </c>
      <c r="L38" s="5" t="str">
        <f ca="1">MASTER_AR_REPORT!L35</f>
        <v>Low</v>
      </c>
      <c r="M38" s="5" t="str">
        <f ca="1">MASTER_AR_REPORT!M35</f>
        <v>Normal</v>
      </c>
      <c r="N38" s="5" t="str">
        <f>MASTER_AR_REPORT!N35</f>
        <v>Pending</v>
      </c>
      <c r="O38" s="5" t="str">
        <f>MASTER_AR_REPORT!O35</f>
        <v>DSO will collect</v>
      </c>
    </row>
    <row r="39" spans="1:15">
      <c r="A39" s="2">
        <v>35</v>
      </c>
      <c r="B39" s="2" t="str">
        <f>IF(MASTER_AR_REPORT!B36="","",MASTER_AR_REPORT!B36)</f>
        <v>Watches</v>
      </c>
      <c r="C39" s="12">
        <f>MASTER_AR_REPORT!C36</f>
        <v>46121</v>
      </c>
      <c r="D39" s="2" t="str">
        <f>IF(MASTER_AR_REPORT!D36="","",MASTER_AR_REPORT!D36)</f>
        <v>SLGCW/7/26-27</v>
      </c>
      <c r="E39" s="2" t="str">
        <f>IF(MASTER_AR_REPORT!E36="","",MASTER_AR_REPORT!E36)</f>
        <v>RAMESH WATCH CO PVT LTD K-INORBIT</v>
      </c>
      <c r="F39" s="3">
        <f>MASTER_AR_REPORT!F36</f>
        <v>743415</v>
      </c>
      <c r="G39" s="12">
        <f>MASTER_AR_REPORT!G36</f>
        <v>46166</v>
      </c>
      <c r="H39" s="3">
        <f>MASTER_AR_REPORT!H36</f>
        <v>0</v>
      </c>
      <c r="I39" s="3">
        <f>MASTER_AR_REPORT!I36</f>
        <v>743415</v>
      </c>
      <c r="J39" s="2">
        <f ca="1">MASTER_AR_REPORT!J36</f>
        <v>0</v>
      </c>
      <c r="K39" s="2" t="str">
        <f ca="1">MASTER_AR_REPORT!K36</f>
        <v>0-30 Days</v>
      </c>
      <c r="L39" s="2" t="str">
        <f ca="1">MASTER_AR_REPORT!L36</f>
        <v>Low</v>
      </c>
      <c r="M39" s="2" t="str">
        <f ca="1">MASTER_AR_REPORT!M36</f>
        <v>Normal</v>
      </c>
      <c r="N39" s="2" t="str">
        <f>MASTER_AR_REPORT!N36</f>
        <v>Pending</v>
      </c>
      <c r="O39" s="2" t="str">
        <f>MASTER_AR_REPORT!O36</f>
        <v>DSO will collect</v>
      </c>
    </row>
    <row r="40" spans="1:15">
      <c r="A40" s="5">
        <v>36</v>
      </c>
      <c r="B40" s="5" t="str">
        <f>IF(MASTER_AR_REPORT!B37="","",MASTER_AR_REPORT!B37)</f>
        <v>Watches</v>
      </c>
      <c r="C40" s="11">
        <f>MASTER_AR_REPORT!C37</f>
        <v>46121</v>
      </c>
      <c r="D40" s="5" t="str">
        <f>IF(MASTER_AR_REPORT!D37="","",MASTER_AR_REPORT!D37)</f>
        <v>SLGCW/8/26-27</v>
      </c>
      <c r="E40" s="5" t="str">
        <f>IF(MASTER_AR_REPORT!E37="","",MASTER_AR_REPORT!E37)</f>
        <v>RAMESH WATCH CO PVT LTD K-INORBIT</v>
      </c>
      <c r="F40" s="6">
        <f>MASTER_AR_REPORT!F37</f>
        <v>371398</v>
      </c>
      <c r="G40" s="11">
        <f>MASTER_AR_REPORT!G37</f>
        <v>46166</v>
      </c>
      <c r="H40" s="6">
        <f>MASTER_AR_REPORT!H37</f>
        <v>0</v>
      </c>
      <c r="I40" s="6">
        <f>MASTER_AR_REPORT!I37</f>
        <v>371398</v>
      </c>
      <c r="J40" s="5">
        <f ca="1">MASTER_AR_REPORT!J37</f>
        <v>0</v>
      </c>
      <c r="K40" s="5" t="str">
        <f ca="1">MASTER_AR_REPORT!K37</f>
        <v>0-30 Days</v>
      </c>
      <c r="L40" s="5" t="str">
        <f ca="1">MASTER_AR_REPORT!L37</f>
        <v>Low</v>
      </c>
      <c r="M40" s="5" t="str">
        <f ca="1">MASTER_AR_REPORT!M37</f>
        <v>Normal</v>
      </c>
      <c r="N40" s="5" t="str">
        <f>MASTER_AR_REPORT!N37</f>
        <v>Pending</v>
      </c>
      <c r="O40" s="5" t="str">
        <f>MASTER_AR_REPORT!O37</f>
        <v>DSO will collect</v>
      </c>
    </row>
    <row r="41" spans="1:15">
      <c r="A41" s="2">
        <v>37</v>
      </c>
      <c r="B41" s="2" t="str">
        <f>IF(MASTER_AR_REPORT!B38="","",MASTER_AR_REPORT!B38)</f>
        <v>Watches</v>
      </c>
      <c r="C41" s="12">
        <f>MASTER_AR_REPORT!C38</f>
        <v>46137</v>
      </c>
      <c r="D41" s="2" t="str">
        <f>IF(MASTER_AR_REPORT!D38="","",MASTER_AR_REPORT!D38)</f>
        <v>SLGCW/22/26-27</v>
      </c>
      <c r="E41" s="2" t="str">
        <f>IF(MASTER_AR_REPORT!E38="","",MASTER_AR_REPORT!E38)</f>
        <v>RAMESH WATCH CO PVT LTD K-INORBIT</v>
      </c>
      <c r="F41" s="3">
        <f>MASTER_AR_REPORT!F38</f>
        <v>111145</v>
      </c>
      <c r="G41" s="12">
        <f>MASTER_AR_REPORT!G38</f>
        <v>46182</v>
      </c>
      <c r="H41" s="3">
        <f>MASTER_AR_REPORT!H38</f>
        <v>0</v>
      </c>
      <c r="I41" s="3">
        <f>MASTER_AR_REPORT!I38</f>
        <v>111145</v>
      </c>
      <c r="J41" s="2">
        <f ca="1">MASTER_AR_REPORT!J38</f>
        <v>0</v>
      </c>
      <c r="K41" s="2" t="str">
        <f ca="1">MASTER_AR_REPORT!K38</f>
        <v>0-30 Days</v>
      </c>
      <c r="L41" s="2" t="str">
        <f ca="1">MASTER_AR_REPORT!L38</f>
        <v>Low</v>
      </c>
      <c r="M41" s="2" t="str">
        <f ca="1">MASTER_AR_REPORT!M38</f>
        <v>Normal</v>
      </c>
      <c r="N41" s="2" t="str">
        <f>MASTER_AR_REPORT!N38</f>
        <v>Pending</v>
      </c>
      <c r="O41" s="2" t="str">
        <f>MASTER_AR_REPORT!O38</f>
        <v>DSO will collect</v>
      </c>
    </row>
    <row r="42" spans="1:15">
      <c r="A42" s="5">
        <v>38</v>
      </c>
      <c r="B42" s="5" t="str">
        <f>IF(MASTER_AR_REPORT!B39="","",MASTER_AR_REPORT!B39)</f>
        <v>Watches</v>
      </c>
      <c r="C42" s="11">
        <f>MASTER_AR_REPORT!C39</f>
        <v>46137</v>
      </c>
      <c r="D42" s="5" t="str">
        <f>IF(MASTER_AR_REPORT!D39="","",MASTER_AR_REPORT!D39)</f>
        <v>SLGCW/23/26-27</v>
      </c>
      <c r="E42" s="5" t="str">
        <f>IF(MASTER_AR_REPORT!E39="","",MASTER_AR_REPORT!E39)</f>
        <v>RAMESH WATCH CO PVT LTD K-INORBIT</v>
      </c>
      <c r="F42" s="6">
        <f>MASTER_AR_REPORT!F39</f>
        <v>119259</v>
      </c>
      <c r="G42" s="11">
        <f>MASTER_AR_REPORT!G39</f>
        <v>46182</v>
      </c>
      <c r="H42" s="6">
        <f>MASTER_AR_REPORT!H39</f>
        <v>0</v>
      </c>
      <c r="I42" s="6">
        <f>MASTER_AR_REPORT!I39</f>
        <v>119259</v>
      </c>
      <c r="J42" s="5">
        <f ca="1">MASTER_AR_REPORT!J39</f>
        <v>0</v>
      </c>
      <c r="K42" s="5" t="str">
        <f ca="1">MASTER_AR_REPORT!K39</f>
        <v>0-30 Days</v>
      </c>
      <c r="L42" s="5" t="str">
        <f ca="1">MASTER_AR_REPORT!L39</f>
        <v>Low</v>
      </c>
      <c r="M42" s="5" t="str">
        <f ca="1">MASTER_AR_REPORT!M39</f>
        <v>Normal</v>
      </c>
      <c r="N42" s="5" t="str">
        <f>MASTER_AR_REPORT!N39</f>
        <v>Pending</v>
      </c>
      <c r="O42" s="5" t="str">
        <f>MASTER_AR_REPORT!O39</f>
        <v>DSO will collect</v>
      </c>
    </row>
    <row r="43" spans="1:15">
      <c r="A43" s="2">
        <v>39</v>
      </c>
      <c r="B43" s="2" t="str">
        <f>IF(MASTER_AR_REPORT!B40="","",MASTER_AR_REPORT!B40)</f>
        <v>Watches</v>
      </c>
      <c r="C43" s="12">
        <f>MASTER_AR_REPORT!C40</f>
        <v>46139</v>
      </c>
      <c r="D43" s="2" t="str">
        <f>IF(MASTER_AR_REPORT!D40="","",MASTER_AR_REPORT!D40)</f>
        <v>SLGCW/28/26-27</v>
      </c>
      <c r="E43" s="2" t="str">
        <f>IF(MASTER_AR_REPORT!E40="","",MASTER_AR_REPORT!E40)</f>
        <v>RAMESH WATCH CO PVT LTD K-INORBIT</v>
      </c>
      <c r="F43" s="3">
        <f>MASTER_AR_REPORT!F40</f>
        <v>547720</v>
      </c>
      <c r="G43" s="12">
        <f>MASTER_AR_REPORT!G40</f>
        <v>46140</v>
      </c>
      <c r="H43" s="3">
        <f>MASTER_AR_REPORT!H40</f>
        <v>0</v>
      </c>
      <c r="I43" s="3">
        <f>MASTER_AR_REPORT!I40</f>
        <v>547720</v>
      </c>
      <c r="J43" s="2">
        <f ca="1">MASTER_AR_REPORT!J40</f>
        <v>24</v>
      </c>
      <c r="K43" s="2" t="str">
        <f ca="1">MASTER_AR_REPORT!K40</f>
        <v>0-30 Days</v>
      </c>
      <c r="L43" s="2" t="str">
        <f ca="1">MASTER_AR_REPORT!L40</f>
        <v>Low</v>
      </c>
      <c r="M43" s="2" t="str">
        <f ca="1">MASTER_AR_REPORT!M40</f>
        <v>Normal</v>
      </c>
      <c r="N43" s="2" t="str">
        <f>MASTER_AR_REPORT!N40</f>
        <v>Pending</v>
      </c>
      <c r="O43" s="2" t="str">
        <f>MASTER_AR_REPORT!O40</f>
        <v>DSO will collect</v>
      </c>
    </row>
    <row r="44" spans="1:15">
      <c r="A44" s="5">
        <v>40</v>
      </c>
      <c r="B44" s="5" t="str">
        <f>IF(MASTER_AR_REPORT!B41="","",MASTER_AR_REPORT!B41)</f>
        <v>Watches</v>
      </c>
      <c r="C44" s="11">
        <f>MASTER_AR_REPORT!C41</f>
        <v>46140</v>
      </c>
      <c r="D44" s="5" t="str">
        <f>IF(MASTER_AR_REPORT!D41="","",MASTER_AR_REPORT!D41)</f>
        <v>SLGCW/29/26-27</v>
      </c>
      <c r="E44" s="5" t="str">
        <f>IF(MASTER_AR_REPORT!E41="","",MASTER_AR_REPORT!E41)</f>
        <v>RAMESH WATCH CO PVT LTD K-INORBIT</v>
      </c>
      <c r="F44" s="6">
        <f>MASTER_AR_REPORT!F41</f>
        <v>348093</v>
      </c>
      <c r="G44" s="11">
        <f>MASTER_AR_REPORT!G41</f>
        <v>46185</v>
      </c>
      <c r="H44" s="6">
        <f>MASTER_AR_REPORT!H41</f>
        <v>0</v>
      </c>
      <c r="I44" s="6">
        <f>MASTER_AR_REPORT!I41</f>
        <v>348093</v>
      </c>
      <c r="J44" s="5">
        <f ca="1">MASTER_AR_REPORT!J41</f>
        <v>0</v>
      </c>
      <c r="K44" s="5" t="str">
        <f ca="1">MASTER_AR_REPORT!K41</f>
        <v>0-30 Days</v>
      </c>
      <c r="L44" s="5" t="str">
        <f ca="1">MASTER_AR_REPORT!L41</f>
        <v>Low</v>
      </c>
      <c r="M44" s="5" t="str">
        <f ca="1">MASTER_AR_REPORT!M41</f>
        <v>Normal</v>
      </c>
      <c r="N44" s="5" t="str">
        <f>MASTER_AR_REPORT!N41</f>
        <v>Pending</v>
      </c>
      <c r="O44" s="5" t="str">
        <f>MASTER_AR_REPORT!O41</f>
        <v>DSO will collect</v>
      </c>
    </row>
    <row r="45" spans="1:15">
      <c r="A45" s="2">
        <v>41</v>
      </c>
      <c r="B45" s="2" t="str">
        <f>IF(MASTER_AR_REPORT!B42="","",MASTER_AR_REPORT!B42)</f>
        <v>Watches</v>
      </c>
      <c r="C45" s="12">
        <f>MASTER_AR_REPORT!C42</f>
        <v>46140</v>
      </c>
      <c r="D45" s="2" t="str">
        <f>IF(MASTER_AR_REPORT!D42="","",MASTER_AR_REPORT!D42)</f>
        <v>SLGCW/30/26-27</v>
      </c>
      <c r="E45" s="2" t="str">
        <f>IF(MASTER_AR_REPORT!E42="","",MASTER_AR_REPORT!E42)</f>
        <v>RAMESH WATCH CO PVT LTD K-INORBIT</v>
      </c>
      <c r="F45" s="3">
        <f>MASTER_AR_REPORT!F42</f>
        <v>90650</v>
      </c>
      <c r="G45" s="12">
        <f>MASTER_AR_REPORT!G42</f>
        <v>46141</v>
      </c>
      <c r="H45" s="3">
        <f>MASTER_AR_REPORT!H42</f>
        <v>0</v>
      </c>
      <c r="I45" s="3">
        <f>MASTER_AR_REPORT!I42</f>
        <v>90650</v>
      </c>
      <c r="J45" s="2">
        <f ca="1">MASTER_AR_REPORT!J42</f>
        <v>23</v>
      </c>
      <c r="K45" s="2" t="str">
        <f ca="1">MASTER_AR_REPORT!K42</f>
        <v>0-30 Days</v>
      </c>
      <c r="L45" s="2" t="str">
        <f ca="1">MASTER_AR_REPORT!L42</f>
        <v>Low</v>
      </c>
      <c r="M45" s="2" t="str">
        <f ca="1">MASTER_AR_REPORT!M42</f>
        <v>Normal</v>
      </c>
      <c r="N45" s="2" t="str">
        <f>MASTER_AR_REPORT!N42</f>
        <v>Pending</v>
      </c>
      <c r="O45" s="2" t="str">
        <f>MASTER_AR_REPORT!O42</f>
        <v>DSO will collect</v>
      </c>
    </row>
    <row r="46" spans="1:15">
      <c r="A46" s="5">
        <v>42</v>
      </c>
      <c r="B46" s="5" t="str">
        <f>IF(MASTER_AR_REPORT!B43="","",MASTER_AR_REPORT!B43)</f>
        <v>Watches</v>
      </c>
      <c r="C46" s="11">
        <f>MASTER_AR_REPORT!C43</f>
        <v>46140</v>
      </c>
      <c r="D46" s="5" t="str">
        <f>IF(MASTER_AR_REPORT!D43="","",MASTER_AR_REPORT!D43)</f>
        <v>SLGCW/31/26-27</v>
      </c>
      <c r="E46" s="5" t="str">
        <f>IF(MASTER_AR_REPORT!E43="","",MASTER_AR_REPORT!E43)</f>
        <v>RAMESH WATCH CO PVT LTD K-INORBIT</v>
      </c>
      <c r="F46" s="6">
        <f>MASTER_AR_REPORT!F43</f>
        <v>292469</v>
      </c>
      <c r="G46" s="11">
        <f>MASTER_AR_REPORT!G43</f>
        <v>46185</v>
      </c>
      <c r="H46" s="6">
        <f>MASTER_AR_REPORT!H43</f>
        <v>0</v>
      </c>
      <c r="I46" s="6">
        <f>MASTER_AR_REPORT!I43</f>
        <v>292469</v>
      </c>
      <c r="J46" s="5">
        <f ca="1">MASTER_AR_REPORT!J43</f>
        <v>0</v>
      </c>
      <c r="K46" s="5" t="str">
        <f ca="1">MASTER_AR_REPORT!K43</f>
        <v>0-30 Days</v>
      </c>
      <c r="L46" s="5" t="str">
        <f ca="1">MASTER_AR_REPORT!L43</f>
        <v>Low</v>
      </c>
      <c r="M46" s="5" t="str">
        <f ca="1">MASTER_AR_REPORT!M43</f>
        <v>Normal</v>
      </c>
      <c r="N46" s="5" t="str">
        <f>MASTER_AR_REPORT!N43</f>
        <v>Pending</v>
      </c>
      <c r="O46" s="5" t="str">
        <f>MASTER_AR_REPORT!O43</f>
        <v>DSO will collect</v>
      </c>
    </row>
    <row r="47" spans="1:15">
      <c r="A47" s="2">
        <v>43</v>
      </c>
      <c r="B47" s="2" t="str">
        <f>IF(MASTER_AR_REPORT!B44="","",MASTER_AR_REPORT!B44)</f>
        <v>Watches</v>
      </c>
      <c r="C47" s="12">
        <f>MASTER_AR_REPORT!C44</f>
        <v>46140</v>
      </c>
      <c r="D47" s="2" t="str">
        <f>IF(MASTER_AR_REPORT!D44="","",MASTER_AR_REPORT!D44)</f>
        <v>SLGCW/32/26-27</v>
      </c>
      <c r="E47" s="2" t="str">
        <f>IF(MASTER_AR_REPORT!E44="","",MASTER_AR_REPORT!E44)</f>
        <v>RAMESH WATCH CO PVT LTD K-INORBIT</v>
      </c>
      <c r="F47" s="3">
        <f>MASTER_AR_REPORT!F44</f>
        <v>132528</v>
      </c>
      <c r="G47" s="12">
        <f>MASTER_AR_REPORT!G44</f>
        <v>46185</v>
      </c>
      <c r="H47" s="3">
        <f>MASTER_AR_REPORT!H44</f>
        <v>0</v>
      </c>
      <c r="I47" s="3">
        <f>MASTER_AR_REPORT!I44</f>
        <v>132528</v>
      </c>
      <c r="J47" s="2">
        <f ca="1">MASTER_AR_REPORT!J44</f>
        <v>0</v>
      </c>
      <c r="K47" s="2" t="str">
        <f ca="1">MASTER_AR_REPORT!K44</f>
        <v>0-30 Days</v>
      </c>
      <c r="L47" s="2" t="str">
        <f ca="1">MASTER_AR_REPORT!L44</f>
        <v>Low</v>
      </c>
      <c r="M47" s="2" t="str">
        <f ca="1">MASTER_AR_REPORT!M44</f>
        <v>Normal</v>
      </c>
      <c r="N47" s="2" t="str">
        <f>MASTER_AR_REPORT!N44</f>
        <v>Pending</v>
      </c>
      <c r="O47" s="2" t="str">
        <f>MASTER_AR_REPORT!O44</f>
        <v>DSO will collect</v>
      </c>
    </row>
    <row r="48" spans="1:15">
      <c r="A48" s="5">
        <v>44</v>
      </c>
      <c r="B48" s="5" t="str">
        <f>IF(MASTER_AR_REPORT!B45="","",MASTER_AR_REPORT!B45)</f>
        <v>Watches</v>
      </c>
      <c r="C48" s="11">
        <f>MASTER_AR_REPORT!C45</f>
        <v>46140</v>
      </c>
      <c r="D48" s="5" t="str">
        <f>IF(MASTER_AR_REPORT!D45="","",MASTER_AR_REPORT!D45)</f>
        <v>SLGCW/33/26-27</v>
      </c>
      <c r="E48" s="5" t="str">
        <f>IF(MASTER_AR_REPORT!E45="","",MASTER_AR_REPORT!E45)</f>
        <v>RAMESH WATCH CO PVT LTD K-INORBIT</v>
      </c>
      <c r="F48" s="6">
        <f>MASTER_AR_REPORT!F45</f>
        <v>240230</v>
      </c>
      <c r="G48" s="11">
        <f>MASTER_AR_REPORT!G45</f>
        <v>46185</v>
      </c>
      <c r="H48" s="6">
        <f>MASTER_AR_REPORT!H45</f>
        <v>0</v>
      </c>
      <c r="I48" s="6">
        <f>MASTER_AR_REPORT!I45</f>
        <v>240230</v>
      </c>
      <c r="J48" s="5">
        <f ca="1">MASTER_AR_REPORT!J45</f>
        <v>0</v>
      </c>
      <c r="K48" s="5" t="str">
        <f ca="1">MASTER_AR_REPORT!K45</f>
        <v>0-30 Days</v>
      </c>
      <c r="L48" s="5" t="str">
        <f ca="1">MASTER_AR_REPORT!L45</f>
        <v>Low</v>
      </c>
      <c r="M48" s="5" t="str">
        <f ca="1">MASTER_AR_REPORT!M45</f>
        <v>Normal</v>
      </c>
      <c r="N48" s="5" t="str">
        <f>MASTER_AR_REPORT!N45</f>
        <v>Pending</v>
      </c>
      <c r="O48" s="5" t="str">
        <f>MASTER_AR_REPORT!O45</f>
        <v>DSO will collect</v>
      </c>
    </row>
    <row r="49" spans="1:15">
      <c r="A49" s="2">
        <v>45</v>
      </c>
      <c r="B49" s="2" t="str">
        <f>IF(MASTER_AR_REPORT!B46="","",MASTER_AR_REPORT!B46)</f>
        <v>Watches</v>
      </c>
      <c r="C49" s="12">
        <f>MASTER_AR_REPORT!C46</f>
        <v>46140</v>
      </c>
      <c r="D49" s="2" t="str">
        <f>IF(MASTER_AR_REPORT!D46="","",MASTER_AR_REPORT!D46)</f>
        <v>SLGCW/35/26-27</v>
      </c>
      <c r="E49" s="2" t="str">
        <f>IF(MASTER_AR_REPORT!E46="","",MASTER_AR_REPORT!E46)</f>
        <v>RAMESH WATCH CO PVT LTD K-INORBIT</v>
      </c>
      <c r="F49" s="3">
        <f>MASTER_AR_REPORT!F46</f>
        <v>204171</v>
      </c>
      <c r="G49" s="12">
        <f>MASTER_AR_REPORT!G46</f>
        <v>46185</v>
      </c>
      <c r="H49" s="3">
        <f>MASTER_AR_REPORT!H46</f>
        <v>0</v>
      </c>
      <c r="I49" s="3">
        <f>MASTER_AR_REPORT!I46</f>
        <v>204171</v>
      </c>
      <c r="J49" s="2">
        <f ca="1">MASTER_AR_REPORT!J46</f>
        <v>0</v>
      </c>
      <c r="K49" s="2" t="str">
        <f ca="1">MASTER_AR_REPORT!K46</f>
        <v>0-30 Days</v>
      </c>
      <c r="L49" s="2" t="str">
        <f ca="1">MASTER_AR_REPORT!L46</f>
        <v>Low</v>
      </c>
      <c r="M49" s="2" t="str">
        <f ca="1">MASTER_AR_REPORT!M46</f>
        <v>Normal</v>
      </c>
      <c r="N49" s="2" t="str">
        <f>MASTER_AR_REPORT!N46</f>
        <v>Pending</v>
      </c>
      <c r="O49" s="2" t="str">
        <f>MASTER_AR_REPORT!O46</f>
        <v>DSO will collect</v>
      </c>
    </row>
    <row r="50" spans="1:15">
      <c r="A50" s="5">
        <v>46</v>
      </c>
      <c r="B50" s="5" t="str">
        <f>IF(MASTER_AR_REPORT!B47="","",MASTER_AR_REPORT!B47)</f>
        <v>Watches</v>
      </c>
      <c r="C50" s="11">
        <f>MASTER_AR_REPORT!C47</f>
        <v>46141</v>
      </c>
      <c r="D50" s="5" t="str">
        <f>IF(MASTER_AR_REPORT!D47="","",MASTER_AR_REPORT!D47)</f>
        <v>SLGCW/37/26-27</v>
      </c>
      <c r="E50" s="5" t="str">
        <f>IF(MASTER_AR_REPORT!E47="","",MASTER_AR_REPORT!E47)</f>
        <v>RAMESH WATCH CO PVT LTD K-INORBIT</v>
      </c>
      <c r="F50" s="6">
        <f>MASTER_AR_REPORT!F47</f>
        <v>65314</v>
      </c>
      <c r="G50" s="11">
        <f>MASTER_AR_REPORT!G47</f>
        <v>46142</v>
      </c>
      <c r="H50" s="6">
        <f>MASTER_AR_REPORT!H47</f>
        <v>0</v>
      </c>
      <c r="I50" s="6">
        <f>MASTER_AR_REPORT!I47</f>
        <v>65314</v>
      </c>
      <c r="J50" s="5">
        <f ca="1">MASTER_AR_REPORT!J47</f>
        <v>22</v>
      </c>
      <c r="K50" s="5" t="str">
        <f ca="1">MASTER_AR_REPORT!K47</f>
        <v>0-30 Days</v>
      </c>
      <c r="L50" s="5" t="str">
        <f ca="1">MASTER_AR_REPORT!L47</f>
        <v>Low</v>
      </c>
      <c r="M50" s="5" t="str">
        <f ca="1">MASTER_AR_REPORT!M47</f>
        <v>Normal</v>
      </c>
      <c r="N50" s="5" t="str">
        <f>MASTER_AR_REPORT!N47</f>
        <v>Pending</v>
      </c>
      <c r="O50" s="5" t="str">
        <f>MASTER_AR_REPORT!O47</f>
        <v>DSO will collect</v>
      </c>
    </row>
    <row r="51" spans="1:15">
      <c r="A51" s="2">
        <v>47</v>
      </c>
      <c r="B51" s="2" t="str">
        <f>IF(MASTER_AR_REPORT!B48="","",MASTER_AR_REPORT!B48)</f>
        <v>Watches</v>
      </c>
      <c r="C51" s="12">
        <f>MASTER_AR_REPORT!C48</f>
        <v>46141</v>
      </c>
      <c r="D51" s="2" t="str">
        <f>IF(MASTER_AR_REPORT!D48="","",MASTER_AR_REPORT!D48)</f>
        <v>SLGCW/36/26-27</v>
      </c>
      <c r="E51" s="2" t="str">
        <f>IF(MASTER_AR_REPORT!E48="","",MASTER_AR_REPORT!E48)</f>
        <v>RAMESH WATCH CO PVT LTD K-INORBIT</v>
      </c>
      <c r="F51" s="3">
        <f>MASTER_AR_REPORT!F48</f>
        <v>107008</v>
      </c>
      <c r="G51" s="12">
        <f>MASTER_AR_REPORT!G48</f>
        <v>46142</v>
      </c>
      <c r="H51" s="3">
        <f>MASTER_AR_REPORT!H48</f>
        <v>0</v>
      </c>
      <c r="I51" s="3">
        <f>MASTER_AR_REPORT!I48</f>
        <v>107008</v>
      </c>
      <c r="J51" s="2">
        <f ca="1">MASTER_AR_REPORT!J48</f>
        <v>22</v>
      </c>
      <c r="K51" s="2" t="str">
        <f ca="1">MASTER_AR_REPORT!K48</f>
        <v>0-30 Days</v>
      </c>
      <c r="L51" s="2" t="str">
        <f ca="1">MASTER_AR_REPORT!L48</f>
        <v>Low</v>
      </c>
      <c r="M51" s="2" t="str">
        <f ca="1">MASTER_AR_REPORT!M48</f>
        <v>Normal</v>
      </c>
      <c r="N51" s="2" t="str">
        <f>MASTER_AR_REPORT!N48</f>
        <v>Pending</v>
      </c>
      <c r="O51" s="2" t="str">
        <f>MASTER_AR_REPORT!O48</f>
        <v>DSO will collect</v>
      </c>
    </row>
    <row r="52" spans="1:15">
      <c r="A52" s="5">
        <v>48</v>
      </c>
      <c r="B52" s="5" t="str">
        <f>IF(MASTER_AR_REPORT!B49="","",MASTER_AR_REPORT!B49)</f>
        <v>Watches</v>
      </c>
      <c r="C52" s="11">
        <f>MASTER_AR_REPORT!C49</f>
        <v>46142</v>
      </c>
      <c r="D52" s="5" t="str">
        <f>IF(MASTER_AR_REPORT!D49="","",MASTER_AR_REPORT!D49)</f>
        <v>SLGCW/42/26-27</v>
      </c>
      <c r="E52" s="5" t="str">
        <f>IF(MASTER_AR_REPORT!E49="","",MASTER_AR_REPORT!E49)</f>
        <v>RAMESH WATCH CO PVT LTD K-INORBIT</v>
      </c>
      <c r="F52" s="6">
        <f>MASTER_AR_REPORT!F49</f>
        <v>105959</v>
      </c>
      <c r="G52" s="11">
        <f>MASTER_AR_REPORT!G49</f>
        <v>46187</v>
      </c>
      <c r="H52" s="6">
        <f>MASTER_AR_REPORT!H49</f>
        <v>0</v>
      </c>
      <c r="I52" s="6">
        <f>MASTER_AR_REPORT!I49</f>
        <v>105959</v>
      </c>
      <c r="J52" s="5">
        <f ca="1">MASTER_AR_REPORT!J49</f>
        <v>0</v>
      </c>
      <c r="K52" s="5" t="str">
        <f ca="1">MASTER_AR_REPORT!K49</f>
        <v>0-30 Days</v>
      </c>
      <c r="L52" s="5" t="str">
        <f ca="1">MASTER_AR_REPORT!L49</f>
        <v>Low</v>
      </c>
      <c r="M52" s="5" t="str">
        <f ca="1">MASTER_AR_REPORT!M49</f>
        <v>Normal</v>
      </c>
      <c r="N52" s="5" t="str">
        <f>MASTER_AR_REPORT!N49</f>
        <v>Pending</v>
      </c>
      <c r="O52" s="5" t="str">
        <f>MASTER_AR_REPORT!O49</f>
        <v>DSO will collect</v>
      </c>
    </row>
    <row r="53" spans="1:15">
      <c r="A53" s="2">
        <v>49</v>
      </c>
      <c r="B53" s="2" t="str">
        <f>IF(MASTER_AR_REPORT!B50="","",MASTER_AR_REPORT!B50)</f>
        <v>Watches</v>
      </c>
      <c r="C53" s="12">
        <f>MASTER_AR_REPORT!C50</f>
        <v>46144</v>
      </c>
      <c r="D53" s="2" t="str">
        <f>IF(MASTER_AR_REPORT!D50="","",MASTER_AR_REPORT!D50)</f>
        <v>SLGCW/50/26-27</v>
      </c>
      <c r="E53" s="2" t="str">
        <f>IF(MASTER_AR_REPORT!E50="","",MASTER_AR_REPORT!E50)</f>
        <v>RAMESH WATCH CO PVT LTD K-INORBIT</v>
      </c>
      <c r="F53" s="3">
        <f>MASTER_AR_REPORT!F50</f>
        <v>84325</v>
      </c>
      <c r="G53" s="12">
        <f>MASTER_AR_REPORT!G50</f>
        <v>46189</v>
      </c>
      <c r="H53" s="3">
        <f>MASTER_AR_REPORT!H50</f>
        <v>0</v>
      </c>
      <c r="I53" s="3">
        <f>MASTER_AR_REPORT!I50</f>
        <v>84325</v>
      </c>
      <c r="J53" s="2">
        <f ca="1">MASTER_AR_REPORT!J50</f>
        <v>0</v>
      </c>
      <c r="K53" s="2" t="str">
        <f ca="1">MASTER_AR_REPORT!K50</f>
        <v>0-30 Days</v>
      </c>
      <c r="L53" s="2" t="str">
        <f ca="1">MASTER_AR_REPORT!L50</f>
        <v>Low</v>
      </c>
      <c r="M53" s="2" t="str">
        <f ca="1">MASTER_AR_REPORT!M50</f>
        <v>Normal</v>
      </c>
      <c r="N53" s="2" t="str">
        <f>MASTER_AR_REPORT!N50</f>
        <v>Pending</v>
      </c>
      <c r="O53" s="2" t="str">
        <f>MASTER_AR_REPORT!O50</f>
        <v>DSO will collect</v>
      </c>
    </row>
    <row r="54" spans="1:15">
      <c r="A54" s="5">
        <v>50</v>
      </c>
      <c r="B54" s="5" t="str">
        <f>IF(MASTER_AR_REPORT!B51="","",MASTER_AR_REPORT!B51)</f>
        <v>Watches</v>
      </c>
      <c r="C54" s="11">
        <f>MASTER_AR_REPORT!C51</f>
        <v>46148</v>
      </c>
      <c r="D54" s="5" t="str">
        <f>IF(MASTER_AR_REPORT!D51="","",MASTER_AR_REPORT!D51)</f>
        <v>SLGCW/60/26-27</v>
      </c>
      <c r="E54" s="5" t="str">
        <f>IF(MASTER_AR_REPORT!E51="","",MASTER_AR_REPORT!E51)</f>
        <v>RAMESH WATCH CO PVT LTD K-INORBIT</v>
      </c>
      <c r="F54" s="6">
        <f>MASTER_AR_REPORT!F51</f>
        <v>9635</v>
      </c>
      <c r="G54" s="11">
        <f>MASTER_AR_REPORT!G51</f>
        <v>46193</v>
      </c>
      <c r="H54" s="6">
        <f>MASTER_AR_REPORT!H51</f>
        <v>0</v>
      </c>
      <c r="I54" s="6">
        <f>MASTER_AR_REPORT!I51</f>
        <v>9635</v>
      </c>
      <c r="J54" s="5">
        <f ca="1">MASTER_AR_REPORT!J51</f>
        <v>0</v>
      </c>
      <c r="K54" s="5" t="str">
        <f ca="1">MASTER_AR_REPORT!K51</f>
        <v>0-30 Days</v>
      </c>
      <c r="L54" s="5" t="str">
        <f ca="1">MASTER_AR_REPORT!L51</f>
        <v>Low</v>
      </c>
      <c r="M54" s="5" t="str">
        <f ca="1">MASTER_AR_REPORT!M51</f>
        <v>Normal</v>
      </c>
      <c r="N54" s="5" t="str">
        <f>MASTER_AR_REPORT!N51</f>
        <v>Pending</v>
      </c>
      <c r="O54" s="5" t="str">
        <f>MASTER_AR_REPORT!O51</f>
        <v>DSO will collect</v>
      </c>
    </row>
    <row r="55" spans="1:15">
      <c r="A55" s="2">
        <v>51</v>
      </c>
      <c r="B55" s="2" t="str">
        <f>IF(MASTER_AR_REPORT!B52="","",MASTER_AR_REPORT!B52)</f>
        <v>Watches</v>
      </c>
      <c r="C55" s="12">
        <f>MASTER_AR_REPORT!C52</f>
        <v>45682</v>
      </c>
      <c r="D55" s="2" t="str">
        <f>IF(MASTER_AR_REPORT!D52="","",MASTER_AR_REPORT!D52)</f>
        <v>SLGCW/969/24-25</v>
      </c>
      <c r="E55" s="2" t="str">
        <f>IF(MASTER_AR_REPORT!E52="","",MASTER_AR_REPORT!E52)</f>
        <v>RAVINDRA WATCH REPAIR</v>
      </c>
      <c r="F55" s="3">
        <f>MASTER_AR_REPORT!F52</f>
        <v>271</v>
      </c>
      <c r="G55" s="12">
        <f>MASTER_AR_REPORT!G52</f>
        <v>45682</v>
      </c>
      <c r="H55" s="3">
        <f>MASTER_AR_REPORT!H52</f>
        <v>0</v>
      </c>
      <c r="I55" s="3">
        <f>MASTER_AR_REPORT!I52</f>
        <v>271</v>
      </c>
      <c r="J55" s="2">
        <f ca="1">MASTER_AR_REPORT!J52</f>
        <v>482</v>
      </c>
      <c r="K55" s="2" t="str">
        <f ca="1">MASTER_AR_REPORT!K52</f>
        <v>90+ Days</v>
      </c>
      <c r="L55" s="2" t="str">
        <f ca="1">MASTER_AR_REPORT!L52</f>
        <v>HIGH RISK</v>
      </c>
      <c r="M55" s="2" t="str">
        <f ca="1">MASTER_AR_REPORT!M52</f>
        <v>Immediate Action</v>
      </c>
      <c r="N55" s="2" t="str">
        <f>MASTER_AR_REPORT!N52</f>
        <v>Pending</v>
      </c>
      <c r="O55" s="2" t="str">
        <f>MASTER_AR_REPORT!O52</f>
        <v>Old Credit Issue</v>
      </c>
    </row>
    <row r="56" spans="1:15">
      <c r="A56" s="5">
        <v>52</v>
      </c>
      <c r="B56" s="5" t="str">
        <f>IF(MASTER_AR_REPORT!B53="","",MASTER_AR_REPORT!B53)</f>
        <v>Watches</v>
      </c>
      <c r="C56" s="11">
        <f>MASTER_AR_REPORT!C53</f>
        <v>45951</v>
      </c>
      <c r="D56" s="5" t="str">
        <f>IF(MASTER_AR_REPORT!D53="","",MASTER_AR_REPORT!D53)</f>
        <v>SLGCW/768/25-26</v>
      </c>
      <c r="E56" s="5" t="str">
        <f>IF(MASTER_AR_REPORT!E53="","",MASTER_AR_REPORT!E53)</f>
        <v>RAVINDRA WATCH REPAIR</v>
      </c>
      <c r="F56" s="6">
        <f>MASTER_AR_REPORT!F53</f>
        <v>272</v>
      </c>
      <c r="G56" s="11">
        <f>MASTER_AR_REPORT!G53</f>
        <v>45952</v>
      </c>
      <c r="H56" s="6">
        <f>MASTER_AR_REPORT!H53</f>
        <v>0</v>
      </c>
      <c r="I56" s="6">
        <f>MASTER_AR_REPORT!I53</f>
        <v>272</v>
      </c>
      <c r="J56" s="5">
        <f ca="1">MASTER_AR_REPORT!J53</f>
        <v>212</v>
      </c>
      <c r="K56" s="5" t="str">
        <f ca="1">MASTER_AR_REPORT!K53</f>
        <v>90+ Days</v>
      </c>
      <c r="L56" s="5" t="str">
        <f ca="1">MASTER_AR_REPORT!L53</f>
        <v>HIGH RISK</v>
      </c>
      <c r="M56" s="5" t="str">
        <f ca="1">MASTER_AR_REPORT!M53</f>
        <v>Immediate Action</v>
      </c>
      <c r="N56" s="5" t="str">
        <f>MASTER_AR_REPORT!N53</f>
        <v>Pending</v>
      </c>
      <c r="O56" s="5" t="str">
        <f>MASTER_AR_REPORT!O53</f>
        <v>Old Credit Issue</v>
      </c>
    </row>
    <row r="57" spans="1:15">
      <c r="A57" s="2">
        <v>53</v>
      </c>
      <c r="B57" s="2" t="str">
        <f>IF(MASTER_AR_REPORT!B54="","",MASTER_AR_REPORT!B54)</f>
        <v>Watches</v>
      </c>
      <c r="C57" s="12">
        <f>MASTER_AR_REPORT!C54</f>
        <v>46142</v>
      </c>
      <c r="D57" s="2" t="str">
        <f>IF(MASTER_AR_REPORT!D54="","",MASTER_AR_REPORT!D54)</f>
        <v>SLGCW/41/26-27</v>
      </c>
      <c r="E57" s="2" t="str">
        <f>IF(MASTER_AR_REPORT!E54="","",MASTER_AR_REPORT!E54)</f>
        <v>Siddi Times &amp; Electronics</v>
      </c>
      <c r="F57" s="3">
        <f>MASTER_AR_REPORT!F54</f>
        <v>149682</v>
      </c>
      <c r="G57" s="12">
        <f>MASTER_AR_REPORT!G54</f>
        <v>46143</v>
      </c>
      <c r="H57" s="3">
        <f>MASTER_AR_REPORT!H54</f>
        <v>149682</v>
      </c>
      <c r="I57" s="3">
        <f>MASTER_AR_REPORT!I54</f>
        <v>0</v>
      </c>
      <c r="J57" s="2">
        <f ca="1">MASTER_AR_REPORT!J54</f>
        <v>21</v>
      </c>
      <c r="K57" s="2" t="str">
        <f>MASTER_AR_REPORT!K54</f>
        <v>Current</v>
      </c>
      <c r="L57" s="2" t="str">
        <f>MASTER_AR_REPORT!L54</f>
        <v>-</v>
      </c>
      <c r="M57" s="2" t="str">
        <f>MASTER_AR_REPORT!M54</f>
        <v>-</v>
      </c>
      <c r="N57" s="2" t="str">
        <f>MASTER_AR_REPORT!N54</f>
        <v>Paid</v>
      </c>
      <c r="O57" s="2" t="str">
        <f>MASTER_AR_REPORT!O54</f>
        <v>Send DSO tommorrow morning</v>
      </c>
    </row>
    <row r="58" spans="1:15">
      <c r="A58" s="5">
        <v>54</v>
      </c>
      <c r="B58" s="5" t="str">
        <f>IF(MASTER_AR_REPORT!B55="","",MASTER_AR_REPORT!B55)</f>
        <v>Watches</v>
      </c>
      <c r="C58" s="11">
        <f>MASTER_AR_REPORT!C55</f>
        <v>46102</v>
      </c>
      <c r="D58" s="5" t="str">
        <f>IF(MASTER_AR_REPORT!D55="","",MASTER_AR_REPORT!D55)</f>
        <v>SLGCW/1263/25-26</v>
      </c>
      <c r="E58" s="5" t="str">
        <f>IF(MASTER_AR_REPORT!E55="","",MASTER_AR_REPORT!E55)</f>
        <v>SS WATCHES AND SUNGLASSES</v>
      </c>
      <c r="F58" s="6">
        <f>MASTER_AR_REPORT!F55</f>
        <v>12806</v>
      </c>
      <c r="G58" s="11">
        <f>MASTER_AR_REPORT!G55</f>
        <v>46102</v>
      </c>
      <c r="H58" s="6">
        <f>MASTER_AR_REPORT!H55</f>
        <v>0</v>
      </c>
      <c r="I58" s="6">
        <f>MASTER_AR_REPORT!I55</f>
        <v>12806</v>
      </c>
      <c r="J58" s="5">
        <f ca="1">MASTER_AR_REPORT!J55</f>
        <v>62</v>
      </c>
      <c r="K58" s="5" t="str">
        <f ca="1">MASTER_AR_REPORT!K55</f>
        <v>61-90 Days</v>
      </c>
      <c r="L58" s="5" t="str">
        <f ca="1">MASTER_AR_REPORT!L55</f>
        <v>Medium</v>
      </c>
      <c r="M58" s="5" t="str">
        <f ca="1">MASTER_AR_REPORT!M55</f>
        <v>Urgent</v>
      </c>
      <c r="N58" s="5" t="str">
        <f>MASTER_AR_REPORT!N55</f>
        <v>Pending</v>
      </c>
      <c r="O58" s="5">
        <f>MASTER_AR_REPORT!O55</f>
        <v>0</v>
      </c>
    </row>
    <row r="59" spans="1:15">
      <c r="A59" s="2">
        <v>55</v>
      </c>
      <c r="B59" s="2" t="str">
        <f>IF(MASTER_AR_REPORT!B56="","",MASTER_AR_REPORT!B56)</f>
        <v>Watches</v>
      </c>
      <c r="C59" s="12">
        <f>MASTER_AR_REPORT!C56</f>
        <v>46137</v>
      </c>
      <c r="D59" s="2" t="str">
        <f>IF(MASTER_AR_REPORT!D56="","",MASTER_AR_REPORT!D56)</f>
        <v>SLGCW/18/26-27</v>
      </c>
      <c r="E59" s="2" t="str">
        <f>IF(MASTER_AR_REPORT!E56="","",MASTER_AR_REPORT!E56)</f>
        <v>Sunny Watch</v>
      </c>
      <c r="F59" s="3">
        <f>MASTER_AR_REPORT!F56</f>
        <v>111599</v>
      </c>
      <c r="G59" s="12">
        <f>MASTER_AR_REPORT!G56</f>
        <v>46138</v>
      </c>
      <c r="H59" s="3">
        <f>MASTER_AR_REPORT!H56</f>
        <v>0</v>
      </c>
      <c r="I59" s="3">
        <f>MASTER_AR_REPORT!I56</f>
        <v>111599</v>
      </c>
      <c r="J59" s="2">
        <f ca="1">MASTER_AR_REPORT!J56</f>
        <v>26</v>
      </c>
      <c r="K59" s="2" t="str">
        <f ca="1">MASTER_AR_REPORT!K56</f>
        <v>0-30 Days</v>
      </c>
      <c r="L59" s="2" t="str">
        <f ca="1">MASTER_AR_REPORT!L56</f>
        <v>Low</v>
      </c>
      <c r="M59" s="2" t="str">
        <f ca="1">MASTER_AR_REPORT!M56</f>
        <v>Normal</v>
      </c>
      <c r="N59" s="2" t="str">
        <f>MASTER_AR_REPORT!N56</f>
        <v>Pending</v>
      </c>
      <c r="O59" s="2" t="str">
        <f>MASTER_AR_REPORT!O56</f>
        <v>Not Responding</v>
      </c>
    </row>
    <row r="60" spans="1:15">
      <c r="A60" s="5">
        <v>56</v>
      </c>
      <c r="B60" s="5" t="str">
        <f>IF(MASTER_AR_REPORT!B57="","",MASTER_AR_REPORT!B57)</f>
        <v>Watches</v>
      </c>
      <c r="C60" s="11">
        <f>MASTER_AR_REPORT!C57</f>
        <v>46144</v>
      </c>
      <c r="D60" s="5" t="str">
        <f>IF(MASTER_AR_REPORT!D57="","",MASTER_AR_REPORT!D57)</f>
        <v>SLGCW/56/26-27</v>
      </c>
      <c r="E60" s="5" t="str">
        <f>IF(MASTER_AR_REPORT!E57="","",MASTER_AR_REPORT!E57)</f>
        <v>Sunny Watch</v>
      </c>
      <c r="F60" s="6">
        <f>MASTER_AR_REPORT!F57</f>
        <v>20227</v>
      </c>
      <c r="G60" s="11">
        <f>MASTER_AR_REPORT!G57</f>
        <v>46169</v>
      </c>
      <c r="H60" s="6">
        <f>MASTER_AR_REPORT!H57</f>
        <v>0</v>
      </c>
      <c r="I60" s="6">
        <f>MASTER_AR_REPORT!I57</f>
        <v>20227</v>
      </c>
      <c r="J60" s="5">
        <f ca="1">MASTER_AR_REPORT!J57</f>
        <v>0</v>
      </c>
      <c r="K60" s="5" t="str">
        <f ca="1">MASTER_AR_REPORT!K57</f>
        <v>0-30 Days</v>
      </c>
      <c r="L60" s="5" t="str">
        <f ca="1">MASTER_AR_REPORT!L57</f>
        <v>Low</v>
      </c>
      <c r="M60" s="5" t="str">
        <f ca="1">MASTER_AR_REPORT!M57</f>
        <v>Normal</v>
      </c>
      <c r="N60" s="5" t="str">
        <f>MASTER_AR_REPORT!N57</f>
        <v>Pending</v>
      </c>
      <c r="O60" s="5">
        <f>MASTER_AR_REPORT!O57</f>
        <v>0</v>
      </c>
    </row>
    <row r="61" spans="1:15">
      <c r="A61" s="2">
        <v>57</v>
      </c>
      <c r="B61" s="2" t="str">
        <f>IF(MASTER_AR_REPORT!B58="","",MASTER_AR_REPORT!B58)</f>
        <v>Watches</v>
      </c>
      <c r="C61" s="12">
        <f>MASTER_AR_REPORT!C58</f>
        <v>46137</v>
      </c>
      <c r="D61" s="2" t="str">
        <f>IF(MASTER_AR_REPORT!D58="","",MASTER_AR_REPORT!D58)</f>
        <v>SLGCW/20/26-27</v>
      </c>
      <c r="E61" s="2" t="str">
        <f>IF(MASTER_AR_REPORT!E58="","",MASTER_AR_REPORT!E58)</f>
        <v>THE TIMES</v>
      </c>
      <c r="F61" s="3">
        <f>MASTER_AR_REPORT!F58</f>
        <v>70357</v>
      </c>
      <c r="G61" s="12">
        <f>MASTER_AR_REPORT!G58</f>
        <v>46137</v>
      </c>
      <c r="H61" s="3">
        <f>MASTER_AR_REPORT!H58</f>
        <v>0</v>
      </c>
      <c r="I61" s="3">
        <f>MASTER_AR_REPORT!I58</f>
        <v>70357</v>
      </c>
      <c r="J61" s="2">
        <f ca="1">MASTER_AR_REPORT!J58</f>
        <v>27</v>
      </c>
      <c r="K61" s="2" t="str">
        <f ca="1">MASTER_AR_REPORT!K58</f>
        <v>0-30 Days</v>
      </c>
      <c r="L61" s="2" t="str">
        <f ca="1">MASTER_AR_REPORT!L58</f>
        <v>Low</v>
      </c>
      <c r="M61" s="2" t="str">
        <f ca="1">MASTER_AR_REPORT!M58</f>
        <v>Normal</v>
      </c>
      <c r="N61" s="2" t="str">
        <f>MASTER_AR_REPORT!N58</f>
        <v>Pending</v>
      </c>
      <c r="O61" s="2" t="str">
        <f>MASTER_AR_REPORT!O58</f>
        <v>Next Week (Market Down)</v>
      </c>
    </row>
    <row r="62" spans="1:15">
      <c r="A62" s="13"/>
      <c r="B62" s="13"/>
      <c r="C62" s="13"/>
      <c r="D62" s="13"/>
      <c r="E62" s="8" t="s">
        <v>17</v>
      </c>
      <c r="F62" s="9">
        <f>SUM(F5:F61)</f>
        <v>5871536.0300000003</v>
      </c>
      <c r="G62" s="13"/>
      <c r="H62" s="9">
        <f>SUM(H5:H61)</f>
        <v>162465</v>
      </c>
      <c r="I62" s="9">
        <f>SUM(I5:I61)</f>
        <v>5709071.0300000003</v>
      </c>
      <c r="J62" s="13"/>
      <c r="K62" s="13"/>
      <c r="L62" s="13"/>
      <c r="M62" s="13"/>
      <c r="N62" s="13"/>
      <c r="O62" s="13"/>
    </row>
  </sheetData>
  <autoFilter ref="A4:O61" xr:uid="{00000000-0009-0000-0000-000003000000}"/>
  <mergeCells count="2">
    <mergeCell ref="A1:O1"/>
    <mergeCell ref="A2:O2"/>
  </mergeCells>
  <conditionalFormatting sqref="A5:O61">
    <cfRule type="expression" dxfId="15" priority="1">
      <formula>AND($J5&gt;=90,$I5&gt;0)</formula>
    </cfRule>
    <cfRule type="expression" dxfId="14" priority="2">
      <formula>AND($J5&gt;=61,$J5&lt;90,$I5&gt;0)</formula>
    </cfRule>
    <cfRule type="expression" dxfId="13" priority="3">
      <formula>AND($J5&gt;=31,$J5&lt;61,$I5&gt;0)</formula>
    </cfRule>
    <cfRule type="expression" dxfId="12" priority="4">
      <formula>AND($J5&gt;=1,$J5&lt;31,$I5&gt;0)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"/>
  <sheetViews>
    <sheetView topLeftCell="C1" workbookViewId="0">
      <pane ySplit="4" topLeftCell="A51" activePane="bottomLeft" state="frozen"/>
      <selection pane="bottomLeft" activeCell="I19" sqref="I19"/>
    </sheetView>
  </sheetViews>
  <sheetFormatPr defaultRowHeight="14.4"/>
  <cols>
    <col min="1" max="1" width="6" customWidth="1"/>
    <col min="2" max="3" width="14" customWidth="1"/>
    <col min="4" max="4" width="20" customWidth="1"/>
    <col min="5" max="5" width="39.33203125" bestFit="1" customWidth="1"/>
    <col min="6" max="8" width="14" customWidth="1"/>
    <col min="9" max="9" width="16" customWidth="1"/>
    <col min="10" max="10" width="14" customWidth="1"/>
    <col min="11" max="11" width="16" customWidth="1"/>
    <col min="12" max="12" width="14" customWidth="1"/>
    <col min="13" max="13" width="18" customWidth="1"/>
    <col min="14" max="14" width="12" customWidth="1"/>
    <col min="15" max="15" width="40" bestFit="1" customWidth="1"/>
  </cols>
  <sheetData>
    <row r="1" spans="1:15" ht="36" customHeight="1">
      <c r="A1" s="115" t="s">
        <v>486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15" ht="22.2" customHeight="1">
      <c r="A2" s="117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6" customHeight="1"/>
    <row r="4" spans="1:15" ht="30" customHeight="1">
      <c r="A4" s="108" t="s">
        <v>2</v>
      </c>
      <c r="B4" s="108" t="s">
        <v>3</v>
      </c>
      <c r="C4" s="108" t="s">
        <v>4</v>
      </c>
      <c r="D4" s="108" t="s">
        <v>5</v>
      </c>
      <c r="E4" s="108" t="s">
        <v>6</v>
      </c>
      <c r="F4" s="108" t="s">
        <v>7</v>
      </c>
      <c r="G4" s="108" t="s">
        <v>8</v>
      </c>
      <c r="H4" s="108" t="s">
        <v>9</v>
      </c>
      <c r="I4" s="108" t="s">
        <v>10</v>
      </c>
      <c r="J4" s="108" t="s">
        <v>11</v>
      </c>
      <c r="K4" s="108" t="s">
        <v>12</v>
      </c>
      <c r="L4" s="108" t="s">
        <v>13</v>
      </c>
      <c r="M4" s="108" t="s">
        <v>14</v>
      </c>
      <c r="N4" s="108" t="s">
        <v>15</v>
      </c>
      <c r="O4" s="108" t="s">
        <v>16</v>
      </c>
    </row>
    <row r="5" spans="1:15">
      <c r="A5" s="2">
        <v>1</v>
      </c>
      <c r="B5" s="2" t="str">
        <f>IF(MASTER_AR_REPORT!B59="","",MASTER_AR_REPORT!B59)</f>
        <v>Praveen</v>
      </c>
      <c r="C5" s="12">
        <f>MASTER_AR_REPORT!C59</f>
        <v>46095</v>
      </c>
      <c r="D5" s="2" t="str">
        <f>IF(MASTER_AR_REPORT!D59="","",MASTER_AR_REPORT!D59)</f>
        <v>C-SLG/2384/25-26</v>
      </c>
      <c r="E5" s="2" t="str">
        <f>IF(MASTER_AR_REPORT!E59="","",MASTER_AR_REPORT!E59)</f>
        <v>AMBIKA STATIONERY</v>
      </c>
      <c r="F5" s="3">
        <f>MASTER_AR_REPORT!F59</f>
        <v>8075</v>
      </c>
      <c r="G5" s="12">
        <f>MASTER_AR_REPORT!G59</f>
        <v>46120</v>
      </c>
      <c r="H5" s="3">
        <f>MASTER_AR_REPORT!H59</f>
        <v>0</v>
      </c>
      <c r="I5" s="3">
        <f>MASTER_AR_REPORT!I59</f>
        <v>8075</v>
      </c>
      <c r="J5" s="2">
        <f ca="1">MASTER_AR_REPORT!J59</f>
        <v>44</v>
      </c>
      <c r="K5" s="2" t="str">
        <f ca="1">MASTER_AR_REPORT!K59</f>
        <v>31-60 Days</v>
      </c>
      <c r="L5" s="2" t="str">
        <f ca="1">MASTER_AR_REPORT!L59</f>
        <v>Low-Medium</v>
      </c>
      <c r="M5" s="2" t="str">
        <f ca="1">MASTER_AR_REPORT!M59</f>
        <v>Medium</v>
      </c>
      <c r="N5" s="2" t="str">
        <f>MASTER_AR_REPORT!N59</f>
        <v>Pending</v>
      </c>
      <c r="O5" s="2" t="str">
        <f>MASTER_AR_REPORT!O59</f>
        <v>Number Busy</v>
      </c>
    </row>
    <row r="6" spans="1:15">
      <c r="A6" s="5">
        <v>2</v>
      </c>
      <c r="B6" s="5" t="str">
        <f>IF(MASTER_AR_REPORT!B60="","",MASTER_AR_REPORT!B60)</f>
        <v>Praveen</v>
      </c>
      <c r="C6" s="11">
        <f>MASTER_AR_REPORT!C60</f>
        <v>45996</v>
      </c>
      <c r="D6" s="5" t="str">
        <f>IF(MASTER_AR_REPORT!D60="","",MASTER_AR_REPORT!D60)</f>
        <v>C-SLG/1844/25-26</v>
      </c>
      <c r="E6" s="5" t="str">
        <f>IF(MASTER_AR_REPORT!E60="","",MASTER_AR_REPORT!E60)</f>
        <v>BEST ENTERPRISES</v>
      </c>
      <c r="F6" s="6">
        <f>MASTER_AR_REPORT!F60</f>
        <v>30511</v>
      </c>
      <c r="G6" s="11">
        <f>MASTER_AR_REPORT!G60</f>
        <v>46021</v>
      </c>
      <c r="H6" s="6">
        <f>MASTER_AR_REPORT!H60</f>
        <v>0</v>
      </c>
      <c r="I6" s="6">
        <f>MASTER_AR_REPORT!I60</f>
        <v>30511</v>
      </c>
      <c r="J6" s="5">
        <f ca="1">MASTER_AR_REPORT!J60</f>
        <v>143</v>
      </c>
      <c r="K6" s="5" t="str">
        <f ca="1">MASTER_AR_REPORT!K60</f>
        <v>90+ Days</v>
      </c>
      <c r="L6" s="5" t="str">
        <f ca="1">MASTER_AR_REPORT!L60</f>
        <v>HIGH RISK</v>
      </c>
      <c r="M6" s="5" t="str">
        <f ca="1">MASTER_AR_REPORT!M60</f>
        <v>Immediate Action</v>
      </c>
      <c r="N6" s="5" t="str">
        <f>MASTER_AR_REPORT!N60</f>
        <v>Pending</v>
      </c>
      <c r="O6" s="5" t="str">
        <f>MASTER_AR_REPORT!O60</f>
        <v>Customer Out of Station - Month end he will Pay</v>
      </c>
    </row>
    <row r="7" spans="1:15">
      <c r="A7" s="2">
        <v>3</v>
      </c>
      <c r="B7" s="2" t="str">
        <f>IF(MASTER_AR_REPORT!B61="","",MASTER_AR_REPORT!B61)</f>
        <v>Praveen</v>
      </c>
      <c r="C7" s="12">
        <f>MASTER_AR_REPORT!C61</f>
        <v>46105</v>
      </c>
      <c r="D7" s="2" t="str">
        <f>IF(MASTER_AR_REPORT!D61="","",MASTER_AR_REPORT!D61)</f>
        <v>C-SLG/2429/25-26</v>
      </c>
      <c r="E7" s="2" t="str">
        <f>IF(MASTER_AR_REPORT!E61="","",MASTER_AR_REPORT!E61)</f>
        <v>Bhavani Stationery and Gift</v>
      </c>
      <c r="F7" s="3">
        <f>MASTER_AR_REPORT!F61</f>
        <v>1186</v>
      </c>
      <c r="G7" s="12">
        <f>MASTER_AR_REPORT!G61</f>
        <v>46130</v>
      </c>
      <c r="H7" s="3">
        <f>MASTER_AR_REPORT!H61</f>
        <v>0</v>
      </c>
      <c r="I7" s="3">
        <f>MASTER_AR_REPORT!I61</f>
        <v>1186</v>
      </c>
      <c r="J7" s="2">
        <f ca="1">MASTER_AR_REPORT!J61</f>
        <v>34</v>
      </c>
      <c r="K7" s="2" t="str">
        <f ca="1">MASTER_AR_REPORT!K61</f>
        <v>31-60 Days</v>
      </c>
      <c r="L7" s="2" t="str">
        <f ca="1">MASTER_AR_REPORT!L61</f>
        <v>Low-Medium</v>
      </c>
      <c r="M7" s="2" t="str">
        <f ca="1">MASTER_AR_REPORT!M61</f>
        <v>Medium</v>
      </c>
      <c r="N7" s="2" t="str">
        <f>MASTER_AR_REPORT!N61</f>
        <v>Pending</v>
      </c>
      <c r="O7" s="2">
        <f>MASTER_AR_REPORT!O61</f>
        <v>0</v>
      </c>
    </row>
    <row r="8" spans="1:15">
      <c r="A8" s="5">
        <v>4</v>
      </c>
      <c r="B8" s="5" t="str">
        <f>IF(MASTER_AR_REPORT!B62="","",MASTER_AR_REPORT!B62)</f>
        <v>Praveen</v>
      </c>
      <c r="C8" s="11">
        <f>MASTER_AR_REPORT!C62</f>
        <v>46156</v>
      </c>
      <c r="D8" s="5" t="str">
        <f>IF(MASTER_AR_REPORT!D62="","",MASTER_AR_REPORT!D62)</f>
        <v>C-SLG/0125/26-27</v>
      </c>
      <c r="E8" s="5" t="str">
        <f>IF(MASTER_AR_REPORT!E62="","",MASTER_AR_REPORT!E62)</f>
        <v>Bhavani Stationery and Gift</v>
      </c>
      <c r="F8" s="6">
        <f>MASTER_AR_REPORT!F62</f>
        <v>2941</v>
      </c>
      <c r="G8" s="11">
        <f>MASTER_AR_REPORT!G62</f>
        <v>46181</v>
      </c>
      <c r="H8" s="6">
        <f>MASTER_AR_REPORT!H62</f>
        <v>0</v>
      </c>
      <c r="I8" s="6">
        <f>MASTER_AR_REPORT!I62</f>
        <v>2941</v>
      </c>
      <c r="J8" s="5">
        <f ca="1">MASTER_AR_REPORT!J62</f>
        <v>0</v>
      </c>
      <c r="K8" s="5" t="str">
        <f ca="1">MASTER_AR_REPORT!K62</f>
        <v>0-30 Days</v>
      </c>
      <c r="L8" s="5" t="str">
        <f ca="1">MASTER_AR_REPORT!L62</f>
        <v>Low</v>
      </c>
      <c r="M8" s="5" t="str">
        <f ca="1">MASTER_AR_REPORT!M62</f>
        <v>Normal</v>
      </c>
      <c r="N8" s="5" t="str">
        <f>MASTER_AR_REPORT!N62</f>
        <v>Pending</v>
      </c>
      <c r="O8" s="5">
        <f>MASTER_AR_REPORT!O62</f>
        <v>0</v>
      </c>
    </row>
    <row r="9" spans="1:15">
      <c r="A9" s="2">
        <v>5</v>
      </c>
      <c r="B9" s="2" t="str">
        <f>IF(MASTER_AR_REPORT!B63="","",MASTER_AR_REPORT!B63)</f>
        <v>Praveen</v>
      </c>
      <c r="C9" s="12">
        <f>MASTER_AR_REPORT!C63</f>
        <v>46105</v>
      </c>
      <c r="D9" s="2" t="str">
        <f>IF(MASTER_AR_REPORT!D63="","",MASTER_AR_REPORT!D63)</f>
        <v>C-SLG/2427/25-26</v>
      </c>
      <c r="E9" s="2" t="str">
        <f>IF(MASTER_AR_REPORT!E63="","",MASTER_AR_REPORT!E63)</f>
        <v>Dachapally Book Centre</v>
      </c>
      <c r="F9" s="3">
        <f>MASTER_AR_REPORT!F63</f>
        <v>5152</v>
      </c>
      <c r="G9" s="12">
        <f>MASTER_AR_REPORT!G63</f>
        <v>46130</v>
      </c>
      <c r="H9" s="3">
        <f>MASTER_AR_REPORT!H63</f>
        <v>0</v>
      </c>
      <c r="I9" s="3">
        <f>MASTER_AR_REPORT!I63</f>
        <v>5152</v>
      </c>
      <c r="J9" s="2">
        <f ca="1">MASTER_AR_REPORT!J63</f>
        <v>34</v>
      </c>
      <c r="K9" s="2" t="str">
        <f ca="1">MASTER_AR_REPORT!K63</f>
        <v>31-60 Days</v>
      </c>
      <c r="L9" s="2" t="str">
        <f ca="1">MASTER_AR_REPORT!L63</f>
        <v>Low-Medium</v>
      </c>
      <c r="M9" s="2" t="str">
        <f ca="1">MASTER_AR_REPORT!M63</f>
        <v>Medium</v>
      </c>
      <c r="N9" s="2" t="str">
        <f>MASTER_AR_REPORT!N63</f>
        <v>Pending</v>
      </c>
      <c r="O9" s="2" t="str">
        <f>MASTER_AR_REPORT!O63</f>
        <v>No Number available - Send DSO</v>
      </c>
    </row>
    <row r="10" spans="1:15">
      <c r="A10" s="5">
        <v>6</v>
      </c>
      <c r="B10" s="5" t="str">
        <f>IF(MASTER_AR_REPORT!B64="","",MASTER_AR_REPORT!B64)</f>
        <v>Praveen</v>
      </c>
      <c r="C10" s="11">
        <f>MASTER_AR_REPORT!C64</f>
        <v>45975</v>
      </c>
      <c r="D10" s="5" t="str">
        <f>IF(MASTER_AR_REPORT!D64="","",MASTER_AR_REPORT!D64)</f>
        <v>C-SLG/1655/25-26</v>
      </c>
      <c r="E10" s="5" t="str">
        <f>IF(MASTER_AR_REPORT!E64="","",MASTER_AR_REPORT!E64)</f>
        <v>Deccan Book Depot and Stationery</v>
      </c>
      <c r="F10" s="6">
        <f>MASTER_AR_REPORT!F64</f>
        <v>2900</v>
      </c>
      <c r="G10" s="11">
        <f>MASTER_AR_REPORT!G64</f>
        <v>46000</v>
      </c>
      <c r="H10" s="6">
        <f>MASTER_AR_REPORT!H64</f>
        <v>0</v>
      </c>
      <c r="I10" s="6">
        <f>MASTER_AR_REPORT!I64</f>
        <v>2900</v>
      </c>
      <c r="J10" s="5">
        <f ca="1">MASTER_AR_REPORT!J64</f>
        <v>164</v>
      </c>
      <c r="K10" s="5" t="str">
        <f ca="1">MASTER_AR_REPORT!K64</f>
        <v>90+ Days</v>
      </c>
      <c r="L10" s="5" t="str">
        <f ca="1">MASTER_AR_REPORT!L64</f>
        <v>HIGH RISK</v>
      </c>
      <c r="M10" s="5" t="str">
        <f ca="1">MASTER_AR_REPORT!M64</f>
        <v>Immediate Action</v>
      </c>
      <c r="N10" s="5" t="str">
        <f>MASTER_AR_REPORT!N64</f>
        <v>Pending</v>
      </c>
      <c r="O10" s="5" t="str">
        <f>MASTER_AR_REPORT!O64</f>
        <v>Send DSO with Sign Copies</v>
      </c>
    </row>
    <row r="11" spans="1:15">
      <c r="A11" s="2">
        <v>7</v>
      </c>
      <c r="B11" s="2" t="str">
        <f>IF(MASTER_AR_REPORT!B65="","",MASTER_AR_REPORT!B65)</f>
        <v>Praveen</v>
      </c>
      <c r="C11" s="12">
        <f>MASTER_AR_REPORT!C65</f>
        <v>46069</v>
      </c>
      <c r="D11" s="2" t="str">
        <f>IF(MASTER_AR_REPORT!D65="","",MASTER_AR_REPORT!D65)</f>
        <v>C-SLG/2235/25-26</v>
      </c>
      <c r="E11" s="2" t="str">
        <f>IF(MASTER_AR_REPORT!E65="","",MASTER_AR_REPORT!E65)</f>
        <v>Deccan Book Depot and Stationery</v>
      </c>
      <c r="F11" s="3">
        <f>MASTER_AR_REPORT!F65</f>
        <v>2044</v>
      </c>
      <c r="G11" s="12">
        <f>MASTER_AR_REPORT!G65</f>
        <v>46094</v>
      </c>
      <c r="H11" s="3">
        <f>MASTER_AR_REPORT!H65</f>
        <v>0</v>
      </c>
      <c r="I11" s="3">
        <f>MASTER_AR_REPORT!I65</f>
        <v>2044</v>
      </c>
      <c r="J11" s="2">
        <f ca="1">MASTER_AR_REPORT!J65</f>
        <v>70</v>
      </c>
      <c r="K11" s="2" t="str">
        <f ca="1">MASTER_AR_REPORT!K65</f>
        <v>61-90 Days</v>
      </c>
      <c r="L11" s="2" t="str">
        <f ca="1">MASTER_AR_REPORT!L65</f>
        <v>Medium</v>
      </c>
      <c r="M11" s="2" t="str">
        <f ca="1">MASTER_AR_REPORT!M65</f>
        <v>Urgent</v>
      </c>
      <c r="N11" s="2" t="str">
        <f>MASTER_AR_REPORT!N65</f>
        <v>Pending</v>
      </c>
      <c r="O11" s="2" t="str">
        <f>MASTER_AR_REPORT!O65</f>
        <v>Send DSO with Sign Copies</v>
      </c>
    </row>
    <row r="12" spans="1:15">
      <c r="A12" s="5">
        <v>8</v>
      </c>
      <c r="B12" s="5" t="str">
        <f>IF(MASTER_AR_REPORT!B66="","",MASTER_AR_REPORT!B66)</f>
        <v>Praveen</v>
      </c>
      <c r="C12" s="11">
        <f>MASTER_AR_REPORT!C66</f>
        <v>46088</v>
      </c>
      <c r="D12" s="5" t="str">
        <f>IF(MASTER_AR_REPORT!D66="","",MASTER_AR_REPORT!D66)</f>
        <v>C-SLG/2344/25-26</v>
      </c>
      <c r="E12" s="5" t="str">
        <f>IF(MASTER_AR_REPORT!E66="","",MASTER_AR_REPORT!E66)</f>
        <v>Dilip Super Market (Manikonda)</v>
      </c>
      <c r="F12" s="6">
        <f>MASTER_AR_REPORT!F66</f>
        <v>2472</v>
      </c>
      <c r="G12" s="11">
        <f>MASTER_AR_REPORT!G66</f>
        <v>46113</v>
      </c>
      <c r="H12" s="6">
        <f>MASTER_AR_REPORT!H66</f>
        <v>0</v>
      </c>
      <c r="I12" s="6">
        <f>MASTER_AR_REPORT!I66</f>
        <v>2472</v>
      </c>
      <c r="J12" s="5">
        <f ca="1">MASTER_AR_REPORT!J66</f>
        <v>51</v>
      </c>
      <c r="K12" s="5" t="str">
        <f ca="1">MASTER_AR_REPORT!K66</f>
        <v>31-60 Days</v>
      </c>
      <c r="L12" s="5" t="str">
        <f ca="1">MASTER_AR_REPORT!L66</f>
        <v>Low-Medium</v>
      </c>
      <c r="M12" s="5" t="str">
        <f ca="1">MASTER_AR_REPORT!M66</f>
        <v>Medium</v>
      </c>
      <c r="N12" s="5" t="str">
        <f>MASTER_AR_REPORT!N66</f>
        <v>Pending</v>
      </c>
      <c r="O12" s="5" t="str">
        <f>MASTER_AR_REPORT!O66</f>
        <v>He will inform to his Sir</v>
      </c>
    </row>
    <row r="13" spans="1:15">
      <c r="A13" s="2">
        <v>9</v>
      </c>
      <c r="B13" s="2" t="str">
        <f>IF(MASTER_AR_REPORT!B67="","",MASTER_AR_REPORT!B67)</f>
        <v>Praveen</v>
      </c>
      <c r="C13" s="12">
        <f>MASTER_AR_REPORT!C67</f>
        <v>46105</v>
      </c>
      <c r="D13" s="2" t="str">
        <f>IF(MASTER_AR_REPORT!D67="","",MASTER_AR_REPORT!D67)</f>
        <v>C-SLG/2432/25-25</v>
      </c>
      <c r="E13" s="2" t="str">
        <f>IF(MASTER_AR_REPORT!E67="","",MASTER_AR_REPORT!E67)</f>
        <v>Ever Green Book Centre</v>
      </c>
      <c r="F13" s="3">
        <f>MASTER_AR_REPORT!F67</f>
        <v>381</v>
      </c>
      <c r="G13" s="12">
        <f>MASTER_AR_REPORT!G67</f>
        <v>46130</v>
      </c>
      <c r="H13" s="3">
        <f>MASTER_AR_REPORT!H67</f>
        <v>0</v>
      </c>
      <c r="I13" s="3">
        <f>MASTER_AR_REPORT!I67</f>
        <v>381</v>
      </c>
      <c r="J13" s="2">
        <f ca="1">MASTER_AR_REPORT!J67</f>
        <v>34</v>
      </c>
      <c r="K13" s="2" t="str">
        <f ca="1">MASTER_AR_REPORT!K67</f>
        <v>31-60 Days</v>
      </c>
      <c r="L13" s="2" t="str">
        <f ca="1">MASTER_AR_REPORT!L67</f>
        <v>Low-Medium</v>
      </c>
      <c r="M13" s="2" t="str">
        <f ca="1">MASTER_AR_REPORT!M67</f>
        <v>Medium</v>
      </c>
      <c r="N13" s="2" t="str">
        <f>MASTER_AR_REPORT!N67</f>
        <v>Pending</v>
      </c>
      <c r="O13" s="2">
        <f>MASTER_AR_REPORT!O67</f>
        <v>0</v>
      </c>
    </row>
    <row r="14" spans="1:15">
      <c r="A14" s="5">
        <v>10</v>
      </c>
      <c r="B14" s="5" t="str">
        <f>IF(MASTER_AR_REPORT!B68="","",MASTER_AR_REPORT!B68)</f>
        <v>Praveen</v>
      </c>
      <c r="C14" s="11">
        <f>MASTER_AR_REPORT!C68</f>
        <v>46123</v>
      </c>
      <c r="D14" s="5" t="str">
        <f>IF(MASTER_AR_REPORT!D68="","",MASTER_AR_REPORT!D68)</f>
        <v>C-SLG/0029/26-27</v>
      </c>
      <c r="E14" s="5" t="str">
        <f>IF(MASTER_AR_REPORT!E68="","",MASTER_AR_REPORT!E68)</f>
        <v>Ever Green Book Centre</v>
      </c>
      <c r="F14" s="6">
        <f>MASTER_AR_REPORT!F68</f>
        <v>8874</v>
      </c>
      <c r="G14" s="11">
        <f>MASTER_AR_REPORT!G68</f>
        <v>46148</v>
      </c>
      <c r="H14" s="6">
        <f>MASTER_AR_REPORT!H68</f>
        <v>0</v>
      </c>
      <c r="I14" s="6">
        <f>MASTER_AR_REPORT!I68</f>
        <v>8874</v>
      </c>
      <c r="J14" s="5">
        <f ca="1">MASTER_AR_REPORT!J68</f>
        <v>16</v>
      </c>
      <c r="K14" s="5" t="str">
        <f ca="1">MASTER_AR_REPORT!K68</f>
        <v>0-30 Days</v>
      </c>
      <c r="L14" s="5" t="str">
        <f ca="1">MASTER_AR_REPORT!L68</f>
        <v>Low</v>
      </c>
      <c r="M14" s="5" t="str">
        <f ca="1">MASTER_AR_REPORT!M68</f>
        <v>Normal</v>
      </c>
      <c r="N14" s="5" t="str">
        <f>MASTER_AR_REPORT!N68</f>
        <v>Pending</v>
      </c>
      <c r="O14" s="5">
        <f>MASTER_AR_REPORT!O68</f>
        <v>0</v>
      </c>
    </row>
    <row r="15" spans="1:15">
      <c r="A15" s="2">
        <v>11</v>
      </c>
      <c r="B15" s="2" t="str">
        <f>IF(MASTER_AR_REPORT!B69="","",MASTER_AR_REPORT!B69)</f>
        <v>Praveen</v>
      </c>
      <c r="C15" s="12">
        <f>MASTER_AR_REPORT!C69</f>
        <v>46104</v>
      </c>
      <c r="D15" s="2" t="str">
        <f>IF(MASTER_AR_REPORT!D69="","",MASTER_AR_REPORT!D69)</f>
        <v>C-SLG/2419/25-26</v>
      </c>
      <c r="E15" s="2" t="str">
        <f>IF(MASTER_AR_REPORT!E69="","",MASTER_AR_REPORT!E69)</f>
        <v>GLOBAL STATIONERY</v>
      </c>
      <c r="F15" s="3">
        <f>MASTER_AR_REPORT!F69</f>
        <v>2</v>
      </c>
      <c r="G15" s="12">
        <f>MASTER_AR_REPORT!G69</f>
        <v>46129</v>
      </c>
      <c r="H15" s="3">
        <f>MASTER_AR_REPORT!H69</f>
        <v>0</v>
      </c>
      <c r="I15" s="3">
        <f>MASTER_AR_REPORT!I69</f>
        <v>2</v>
      </c>
      <c r="J15" s="2">
        <f ca="1">MASTER_AR_REPORT!J69</f>
        <v>35</v>
      </c>
      <c r="K15" s="2" t="str">
        <f ca="1">MASTER_AR_REPORT!K69</f>
        <v>31-60 Days</v>
      </c>
      <c r="L15" s="2" t="str">
        <f ca="1">MASTER_AR_REPORT!L69</f>
        <v>Low-Medium</v>
      </c>
      <c r="M15" s="2" t="str">
        <f ca="1">MASTER_AR_REPORT!M69</f>
        <v>Medium</v>
      </c>
      <c r="N15" s="2" t="str">
        <f>MASTER_AR_REPORT!N69</f>
        <v>Pending</v>
      </c>
      <c r="O15" s="2">
        <f>MASTER_AR_REPORT!O69</f>
        <v>0</v>
      </c>
    </row>
    <row r="16" spans="1:15">
      <c r="A16" s="5">
        <v>12</v>
      </c>
      <c r="B16" s="5" t="str">
        <f>IF(MASTER_AR_REPORT!B70="","",MASTER_AR_REPORT!B70)</f>
        <v>Praveen</v>
      </c>
      <c r="C16" s="11">
        <f>MASTER_AR_REPORT!C70</f>
        <v>46095</v>
      </c>
      <c r="D16" s="5" t="str">
        <f>IF(MASTER_AR_REPORT!D70="","",MASTER_AR_REPORT!D70)</f>
        <v>C-SLG/2385/25-26</v>
      </c>
      <c r="E16" s="5" t="str">
        <f>IF(MASTER_AR_REPORT!E70="","",MASTER_AR_REPORT!E70)</f>
        <v>GS Enterprises</v>
      </c>
      <c r="F16" s="6">
        <f>MASTER_AR_REPORT!F70</f>
        <v>2561</v>
      </c>
      <c r="G16" s="11">
        <f>MASTER_AR_REPORT!G70</f>
        <v>46120</v>
      </c>
      <c r="H16" s="6">
        <f>MASTER_AR_REPORT!H70</f>
        <v>0</v>
      </c>
      <c r="I16" s="6">
        <f>MASTER_AR_REPORT!I70</f>
        <v>2561</v>
      </c>
      <c r="J16" s="5">
        <f ca="1">MASTER_AR_REPORT!J70</f>
        <v>44</v>
      </c>
      <c r="K16" s="5" t="str">
        <f ca="1">MASTER_AR_REPORT!K70</f>
        <v>31-60 Days</v>
      </c>
      <c r="L16" s="5" t="str">
        <f ca="1">MASTER_AR_REPORT!L70</f>
        <v>Low-Medium</v>
      </c>
      <c r="M16" s="5" t="str">
        <f ca="1">MASTER_AR_REPORT!M70</f>
        <v>Medium</v>
      </c>
      <c r="N16" s="5" t="str">
        <f>MASTER_AR_REPORT!N70</f>
        <v>Pending</v>
      </c>
      <c r="O16" s="5">
        <f>MASTER_AR_REPORT!O70</f>
        <v>0</v>
      </c>
    </row>
    <row r="17" spans="1:15">
      <c r="A17" s="2">
        <v>13</v>
      </c>
      <c r="B17" s="2" t="str">
        <f>IF(MASTER_AR_REPORT!B71="","",MASTER_AR_REPORT!B71)</f>
        <v>Praveen</v>
      </c>
      <c r="C17" s="12">
        <f>MASTER_AR_REPORT!C71</f>
        <v>46090</v>
      </c>
      <c r="D17" s="2" t="str">
        <f>IF(MASTER_AR_REPORT!D71="","",MASTER_AR_REPORT!D71)</f>
        <v>C-SLG/2351/25-26</v>
      </c>
      <c r="E17" s="2" t="str">
        <f>IF(MASTER_AR_REPORT!E71="","",MASTER_AR_REPORT!E71)</f>
        <v>Hasti Stationery Mart (Madhapur)</v>
      </c>
      <c r="F17" s="3">
        <f>MASTER_AR_REPORT!F71</f>
        <v>4181</v>
      </c>
      <c r="G17" s="12">
        <f>MASTER_AR_REPORT!G71</f>
        <v>46115</v>
      </c>
      <c r="H17" s="3">
        <f>MASTER_AR_REPORT!H71</f>
        <v>0</v>
      </c>
      <c r="I17" s="3">
        <f>MASTER_AR_REPORT!I71</f>
        <v>4181</v>
      </c>
      <c r="J17" s="2">
        <f ca="1">MASTER_AR_REPORT!J71</f>
        <v>49</v>
      </c>
      <c r="K17" s="2" t="str">
        <f ca="1">MASTER_AR_REPORT!K71</f>
        <v>31-60 Days</v>
      </c>
      <c r="L17" s="2" t="str">
        <f ca="1">MASTER_AR_REPORT!L71</f>
        <v>Low-Medium</v>
      </c>
      <c r="M17" s="2" t="str">
        <f ca="1">MASTER_AR_REPORT!M71</f>
        <v>Medium</v>
      </c>
      <c r="N17" s="2" t="str">
        <f>MASTER_AR_REPORT!N71</f>
        <v>Pending</v>
      </c>
      <c r="O17" s="2">
        <f>MASTER_AR_REPORT!O71</f>
        <v>0</v>
      </c>
    </row>
    <row r="18" spans="1:15">
      <c r="A18" s="5">
        <v>14</v>
      </c>
      <c r="B18" s="5" t="str">
        <f>IF(MASTER_AR_REPORT!B72="","",MASTER_AR_REPORT!B72)</f>
        <v>Praveen</v>
      </c>
      <c r="C18" s="11">
        <f>MASTER_AR_REPORT!C72</f>
        <v>46107</v>
      </c>
      <c r="D18" s="5" t="str">
        <f>IF(MASTER_AR_REPORT!D72="","",MASTER_AR_REPORT!D72)</f>
        <v>C-SLG/2443/25-26</v>
      </c>
      <c r="E18" s="5" t="str">
        <f>IF(MASTER_AR_REPORT!E72="","",MASTER_AR_REPORT!E72)</f>
        <v>Hasti Stationery Mart (Madhapur)</v>
      </c>
      <c r="F18" s="6">
        <f>MASTER_AR_REPORT!F72</f>
        <v>947</v>
      </c>
      <c r="G18" s="11">
        <f>MASTER_AR_REPORT!G72</f>
        <v>46132</v>
      </c>
      <c r="H18" s="6">
        <f>MASTER_AR_REPORT!H72</f>
        <v>0</v>
      </c>
      <c r="I18" s="6">
        <f>MASTER_AR_REPORT!I72</f>
        <v>947</v>
      </c>
      <c r="J18" s="5">
        <f ca="1">MASTER_AR_REPORT!J72</f>
        <v>32</v>
      </c>
      <c r="K18" s="5" t="str">
        <f ca="1">MASTER_AR_REPORT!K72</f>
        <v>31-60 Days</v>
      </c>
      <c r="L18" s="5" t="str">
        <f ca="1">MASTER_AR_REPORT!L72</f>
        <v>Low-Medium</v>
      </c>
      <c r="M18" s="5" t="str">
        <f ca="1">MASTER_AR_REPORT!M72</f>
        <v>Medium</v>
      </c>
      <c r="N18" s="5" t="str">
        <f>MASTER_AR_REPORT!N72</f>
        <v>Pending</v>
      </c>
      <c r="O18" s="5">
        <f>MASTER_AR_REPORT!O72</f>
        <v>0</v>
      </c>
    </row>
    <row r="19" spans="1:15">
      <c r="A19" s="2">
        <v>15</v>
      </c>
      <c r="B19" s="2" t="str">
        <f>IF(MASTER_AR_REPORT!B73="","",MASTER_AR_REPORT!B73)</f>
        <v>Praveen</v>
      </c>
      <c r="C19" s="12">
        <f>MASTER_AR_REPORT!C73</f>
        <v>45489</v>
      </c>
      <c r="D19" s="2" t="str">
        <f>IF(MASTER_AR_REPORT!D73="","",MASTER_AR_REPORT!D73)</f>
        <v>C-SLG/631/24-25</v>
      </c>
      <c r="E19" s="2" t="str">
        <f>IF(MASTER_AR_REPORT!E73="","",MASTER_AR_REPORT!E73)</f>
        <v>Hyderabad Communications</v>
      </c>
      <c r="F19" s="3">
        <f>MASTER_AR_REPORT!F73</f>
        <v>34687</v>
      </c>
      <c r="G19" s="12">
        <f>MASTER_AR_REPORT!G73</f>
        <v>45514</v>
      </c>
      <c r="H19" s="3">
        <f>MASTER_AR_REPORT!H73</f>
        <v>0</v>
      </c>
      <c r="I19" s="3">
        <f>MASTER_AR_REPORT!I73</f>
        <v>34687</v>
      </c>
      <c r="J19" s="2">
        <f ca="1">MASTER_AR_REPORT!J73</f>
        <v>650</v>
      </c>
      <c r="K19" s="2" t="str">
        <f ca="1">MASTER_AR_REPORT!K73</f>
        <v>90+ Days</v>
      </c>
      <c r="L19" s="2" t="str">
        <f ca="1">MASTER_AR_REPORT!L73</f>
        <v>HIGH RISK</v>
      </c>
      <c r="M19" s="2" t="str">
        <f ca="1">MASTER_AR_REPORT!M73</f>
        <v>Immediate Action</v>
      </c>
      <c r="N19" s="2" t="str">
        <f>MASTER_AR_REPORT!N73</f>
        <v>Pending</v>
      </c>
      <c r="O19" s="2">
        <f>MASTER_AR_REPORT!O73</f>
        <v>0</v>
      </c>
    </row>
    <row r="20" spans="1:15">
      <c r="A20" s="5">
        <v>16</v>
      </c>
      <c r="B20" s="5" t="str">
        <f>IF(MASTER_AR_REPORT!B74="","",MASTER_AR_REPORT!B74)</f>
        <v>Praveen</v>
      </c>
      <c r="C20" s="11">
        <f>MASTER_AR_REPORT!C74</f>
        <v>45510</v>
      </c>
      <c r="D20" s="5" t="str">
        <f>IF(MASTER_AR_REPORT!D74="","",MASTER_AR_REPORT!D74)</f>
        <v>C-SLG/800/24-25</v>
      </c>
      <c r="E20" s="5" t="str">
        <f>IF(MASTER_AR_REPORT!E74="","",MASTER_AR_REPORT!E74)</f>
        <v>Hyderabad Communications</v>
      </c>
      <c r="F20" s="6">
        <f>MASTER_AR_REPORT!F74</f>
        <v>596</v>
      </c>
      <c r="G20" s="11">
        <f>MASTER_AR_REPORT!G74</f>
        <v>45535</v>
      </c>
      <c r="H20" s="6">
        <f>MASTER_AR_REPORT!H74</f>
        <v>0</v>
      </c>
      <c r="I20" s="6">
        <f>MASTER_AR_REPORT!I74</f>
        <v>596</v>
      </c>
      <c r="J20" s="5">
        <f ca="1">MASTER_AR_REPORT!J74</f>
        <v>629</v>
      </c>
      <c r="K20" s="5" t="str">
        <f ca="1">MASTER_AR_REPORT!K74</f>
        <v>90+ Days</v>
      </c>
      <c r="L20" s="5" t="str">
        <f ca="1">MASTER_AR_REPORT!L74</f>
        <v>HIGH RISK</v>
      </c>
      <c r="M20" s="5" t="str">
        <f ca="1">MASTER_AR_REPORT!M74</f>
        <v>Immediate Action</v>
      </c>
      <c r="N20" s="5" t="str">
        <f>MASTER_AR_REPORT!N74</f>
        <v>Pending</v>
      </c>
      <c r="O20" s="5">
        <f>MASTER_AR_REPORT!O74</f>
        <v>0</v>
      </c>
    </row>
    <row r="21" spans="1:15">
      <c r="A21" s="2">
        <v>17</v>
      </c>
      <c r="B21" s="2" t="str">
        <f>IF(MASTER_AR_REPORT!B75="","",MASTER_AR_REPORT!B75)</f>
        <v>Praveen</v>
      </c>
      <c r="C21" s="12">
        <f>MASTER_AR_REPORT!C75</f>
        <v>45533</v>
      </c>
      <c r="D21" s="2" t="str">
        <f>IF(MASTER_AR_REPORT!D75="","",MASTER_AR_REPORT!D75)</f>
        <v>C-SLG/979/24-25</v>
      </c>
      <c r="E21" s="2" t="str">
        <f>IF(MASTER_AR_REPORT!E75="","",MASTER_AR_REPORT!E75)</f>
        <v>Hyderabad Communications</v>
      </c>
      <c r="F21" s="3">
        <f>MASTER_AR_REPORT!F75</f>
        <v>24001</v>
      </c>
      <c r="G21" s="12">
        <f>MASTER_AR_REPORT!G75</f>
        <v>45558</v>
      </c>
      <c r="H21" s="3">
        <f>MASTER_AR_REPORT!H75</f>
        <v>0</v>
      </c>
      <c r="I21" s="3">
        <f>MASTER_AR_REPORT!I75</f>
        <v>24001</v>
      </c>
      <c r="J21" s="2">
        <f ca="1">MASTER_AR_REPORT!J75</f>
        <v>606</v>
      </c>
      <c r="K21" s="2" t="str">
        <f ca="1">MASTER_AR_REPORT!K75</f>
        <v>90+ Days</v>
      </c>
      <c r="L21" s="2" t="str">
        <f ca="1">MASTER_AR_REPORT!L75</f>
        <v>HIGH RISK</v>
      </c>
      <c r="M21" s="2" t="str">
        <f ca="1">MASTER_AR_REPORT!M75</f>
        <v>Immediate Action</v>
      </c>
      <c r="N21" s="2" t="str">
        <f>MASTER_AR_REPORT!N75</f>
        <v>Pending</v>
      </c>
      <c r="O21" s="2">
        <f>MASTER_AR_REPORT!O75</f>
        <v>0</v>
      </c>
    </row>
    <row r="22" spans="1:15">
      <c r="A22" s="5">
        <v>18</v>
      </c>
      <c r="B22" s="5" t="str">
        <f>IF(MASTER_AR_REPORT!B76="","",MASTER_AR_REPORT!B76)</f>
        <v>Praveen</v>
      </c>
      <c r="C22" s="11">
        <f>MASTER_AR_REPORT!C76</f>
        <v>46120</v>
      </c>
      <c r="D22" s="5" t="str">
        <f>IF(MASTER_AR_REPORT!D76="","",MASTER_AR_REPORT!D76)</f>
        <v>C-SLG/0018/26-27</v>
      </c>
      <c r="E22" s="5" t="str">
        <f>IF(MASTER_AR_REPORT!E76="","",MASTER_AR_REPORT!E76)</f>
        <v>JAGDISH BOOK CENTRE</v>
      </c>
      <c r="F22" s="6">
        <f>MASTER_AR_REPORT!F76</f>
        <v>5566</v>
      </c>
      <c r="G22" s="11">
        <f>MASTER_AR_REPORT!G76</f>
        <v>46145</v>
      </c>
      <c r="H22" s="6">
        <f>MASTER_AR_REPORT!H76</f>
        <v>0</v>
      </c>
      <c r="I22" s="6">
        <f>MASTER_AR_REPORT!I76</f>
        <v>5566</v>
      </c>
      <c r="J22" s="5">
        <f ca="1">MASTER_AR_REPORT!J76</f>
        <v>19</v>
      </c>
      <c r="K22" s="5" t="str">
        <f ca="1">MASTER_AR_REPORT!K76</f>
        <v>0-30 Days</v>
      </c>
      <c r="L22" s="5" t="str">
        <f ca="1">MASTER_AR_REPORT!L76</f>
        <v>Low</v>
      </c>
      <c r="M22" s="5" t="str">
        <f ca="1">MASTER_AR_REPORT!M76</f>
        <v>Normal</v>
      </c>
      <c r="N22" s="5" t="str">
        <f>MASTER_AR_REPORT!N76</f>
        <v>Pending</v>
      </c>
      <c r="O22" s="5">
        <f>MASTER_AR_REPORT!O76</f>
        <v>0</v>
      </c>
    </row>
    <row r="23" spans="1:15">
      <c r="A23" s="2">
        <v>19</v>
      </c>
      <c r="B23" s="2" t="str">
        <f>IF(MASTER_AR_REPORT!B77="","",MASTER_AR_REPORT!B77)</f>
        <v>Praveen</v>
      </c>
      <c r="C23" s="12">
        <f>MASTER_AR_REPORT!C77</f>
        <v>46129</v>
      </c>
      <c r="D23" s="2" t="str">
        <f>IF(MASTER_AR_REPORT!D77="","",MASTER_AR_REPORT!D77)</f>
        <v>C-SLG/0049/26-27</v>
      </c>
      <c r="E23" s="2" t="str">
        <f>IF(MASTER_AR_REPORT!E77="","",MASTER_AR_REPORT!E77)</f>
        <v>Jaya Stationery &amp; Engg Co</v>
      </c>
      <c r="F23" s="3">
        <f>MASTER_AR_REPORT!F77</f>
        <v>4427</v>
      </c>
      <c r="G23" s="12">
        <f>MASTER_AR_REPORT!G77</f>
        <v>46154</v>
      </c>
      <c r="H23" s="3">
        <f>MASTER_AR_REPORT!H77</f>
        <v>0</v>
      </c>
      <c r="I23" s="3">
        <f>MASTER_AR_REPORT!I77</f>
        <v>4427</v>
      </c>
      <c r="J23" s="2">
        <f ca="1">MASTER_AR_REPORT!J77</f>
        <v>10</v>
      </c>
      <c r="K23" s="2" t="str">
        <f ca="1">MASTER_AR_REPORT!K77</f>
        <v>0-30 Days</v>
      </c>
      <c r="L23" s="2" t="str">
        <f ca="1">MASTER_AR_REPORT!L77</f>
        <v>Low</v>
      </c>
      <c r="M23" s="2" t="str">
        <f ca="1">MASTER_AR_REPORT!M77</f>
        <v>Normal</v>
      </c>
      <c r="N23" s="2" t="str">
        <f>MASTER_AR_REPORT!N77</f>
        <v>Pending</v>
      </c>
      <c r="O23" s="2">
        <f>MASTER_AR_REPORT!O77</f>
        <v>0</v>
      </c>
    </row>
    <row r="24" spans="1:15">
      <c r="A24" s="5">
        <v>20</v>
      </c>
      <c r="B24" s="5" t="str">
        <f>IF(MASTER_AR_REPORT!B78="","",MASTER_AR_REPORT!B78)</f>
        <v>Praveen</v>
      </c>
      <c r="C24" s="11">
        <f>MASTER_AR_REPORT!C78</f>
        <v>46149</v>
      </c>
      <c r="D24" s="5" t="str">
        <f>IF(MASTER_AR_REPORT!D78="","",MASTER_AR_REPORT!D78)</f>
        <v>C-SLG/0099/26-27</v>
      </c>
      <c r="E24" s="5" t="str">
        <f>IF(MASTER_AR_REPORT!E78="","",MASTER_AR_REPORT!E78)</f>
        <v>Jaya Stationery &amp; Engg Co</v>
      </c>
      <c r="F24" s="6">
        <f>MASTER_AR_REPORT!F78</f>
        <v>2945</v>
      </c>
      <c r="G24" s="11">
        <f>MASTER_AR_REPORT!G78</f>
        <v>46174</v>
      </c>
      <c r="H24" s="6">
        <f>MASTER_AR_REPORT!H78</f>
        <v>0</v>
      </c>
      <c r="I24" s="6">
        <f>MASTER_AR_REPORT!I78</f>
        <v>2945</v>
      </c>
      <c r="J24" s="5">
        <f ca="1">MASTER_AR_REPORT!J78</f>
        <v>0</v>
      </c>
      <c r="K24" s="5" t="str">
        <f ca="1">MASTER_AR_REPORT!K78</f>
        <v>0-30 Days</v>
      </c>
      <c r="L24" s="5" t="str">
        <f ca="1">MASTER_AR_REPORT!L78</f>
        <v>Low</v>
      </c>
      <c r="M24" s="5" t="str">
        <f ca="1">MASTER_AR_REPORT!M78</f>
        <v>Normal</v>
      </c>
      <c r="N24" s="5" t="str">
        <f>MASTER_AR_REPORT!N78</f>
        <v>Pending</v>
      </c>
      <c r="O24" s="5">
        <f>MASTER_AR_REPORT!O78</f>
        <v>0</v>
      </c>
    </row>
    <row r="25" spans="1:15">
      <c r="A25" s="2">
        <v>21</v>
      </c>
      <c r="B25" s="2" t="str">
        <f>IF(MASTER_AR_REPORT!B79="","",MASTER_AR_REPORT!B79)</f>
        <v>Praveen</v>
      </c>
      <c r="C25" s="12">
        <f>MASTER_AR_REPORT!C79</f>
        <v>45915</v>
      </c>
      <c r="D25" s="2" t="str">
        <f>IF(MASTER_AR_REPORT!D79="","",MASTER_AR_REPORT!D79)</f>
        <v>C-SLG/1203/25-26</v>
      </c>
      <c r="E25" s="2" t="str">
        <f>IF(MASTER_AR_REPORT!E79="","",MASTER_AR_REPORT!E79)</f>
        <v>Kaanuka Collection</v>
      </c>
      <c r="F25" s="3">
        <f>MASTER_AR_REPORT!F79</f>
        <v>1771</v>
      </c>
      <c r="G25" s="12">
        <f>MASTER_AR_REPORT!G79</f>
        <v>45940</v>
      </c>
      <c r="H25" s="3">
        <f>MASTER_AR_REPORT!H79</f>
        <v>0</v>
      </c>
      <c r="I25" s="3">
        <f>MASTER_AR_REPORT!I79</f>
        <v>1771</v>
      </c>
      <c r="J25" s="2">
        <f ca="1">MASTER_AR_REPORT!J79</f>
        <v>224</v>
      </c>
      <c r="K25" s="2" t="str">
        <f ca="1">MASTER_AR_REPORT!K79</f>
        <v>90+ Days</v>
      </c>
      <c r="L25" s="2" t="str">
        <f ca="1">MASTER_AR_REPORT!L79</f>
        <v>HIGH RISK</v>
      </c>
      <c r="M25" s="2" t="str">
        <f ca="1">MASTER_AR_REPORT!M79</f>
        <v>Immediate Action</v>
      </c>
      <c r="N25" s="2" t="str">
        <f>MASTER_AR_REPORT!N79</f>
        <v>Pending</v>
      </c>
      <c r="O25" s="2" t="str">
        <f>MASTER_AR_REPORT!O79</f>
        <v>Credit Note</v>
      </c>
    </row>
    <row r="26" spans="1:15">
      <c r="A26" s="5">
        <v>22</v>
      </c>
      <c r="B26" s="5" t="str">
        <f>IF(MASTER_AR_REPORT!B80="","",MASTER_AR_REPORT!B80)</f>
        <v>Praveen</v>
      </c>
      <c r="C26" s="11">
        <f>MASTER_AR_REPORT!C80</f>
        <v>46158</v>
      </c>
      <c r="D26" s="5" t="str">
        <f>IF(MASTER_AR_REPORT!D80="","",MASTER_AR_REPORT!D80)</f>
        <v>C-SLG/0141/26-27</v>
      </c>
      <c r="E26" s="5" t="str">
        <f>IF(MASTER_AR_REPORT!E80="","",MASTER_AR_REPORT!E80)</f>
        <v>Kaanuka Collection</v>
      </c>
      <c r="F26" s="6">
        <f>MASTER_AR_REPORT!F80</f>
        <v>7266</v>
      </c>
      <c r="G26" s="11">
        <f>MASTER_AR_REPORT!G80</f>
        <v>46183</v>
      </c>
      <c r="H26" s="6">
        <f>MASTER_AR_REPORT!H80</f>
        <v>0</v>
      </c>
      <c r="I26" s="6">
        <f>MASTER_AR_REPORT!I80</f>
        <v>7266</v>
      </c>
      <c r="J26" s="5">
        <f ca="1">MASTER_AR_REPORT!J80</f>
        <v>0</v>
      </c>
      <c r="K26" s="5" t="str">
        <f ca="1">MASTER_AR_REPORT!K80</f>
        <v>0-30 Days</v>
      </c>
      <c r="L26" s="5" t="str">
        <f ca="1">MASTER_AR_REPORT!L80</f>
        <v>Low</v>
      </c>
      <c r="M26" s="5" t="str">
        <f ca="1">MASTER_AR_REPORT!M80</f>
        <v>Normal</v>
      </c>
      <c r="N26" s="5" t="str">
        <f>MASTER_AR_REPORT!N80</f>
        <v>Pending</v>
      </c>
      <c r="O26" s="5">
        <f>MASTER_AR_REPORT!O80</f>
        <v>0</v>
      </c>
    </row>
    <row r="27" spans="1:15">
      <c r="A27" s="2">
        <v>23</v>
      </c>
      <c r="B27" s="2" t="str">
        <f>IF(MASTER_AR_REPORT!B81="","",MASTER_AR_REPORT!B81)</f>
        <v>Praveen</v>
      </c>
      <c r="C27" s="12">
        <f>MASTER_AR_REPORT!C81</f>
        <v>46158</v>
      </c>
      <c r="D27" s="2" t="str">
        <f>IF(MASTER_AR_REPORT!D81="","",MASTER_AR_REPORT!D81)</f>
        <v>C-SLG/0142/26-27</v>
      </c>
      <c r="E27" s="2" t="str">
        <f>IF(MASTER_AR_REPORT!E81="","",MASTER_AR_REPORT!E81)</f>
        <v>Kaanuka Collection</v>
      </c>
      <c r="F27" s="3">
        <f>MASTER_AR_REPORT!F81</f>
        <v>1244</v>
      </c>
      <c r="G27" s="12">
        <f>MASTER_AR_REPORT!G81</f>
        <v>46183</v>
      </c>
      <c r="H27" s="3">
        <f>MASTER_AR_REPORT!H81</f>
        <v>0</v>
      </c>
      <c r="I27" s="3">
        <f>MASTER_AR_REPORT!I81</f>
        <v>1244</v>
      </c>
      <c r="J27" s="2">
        <f ca="1">MASTER_AR_REPORT!J81</f>
        <v>0</v>
      </c>
      <c r="K27" s="2" t="str">
        <f ca="1">MASTER_AR_REPORT!K81</f>
        <v>0-30 Days</v>
      </c>
      <c r="L27" s="2" t="str">
        <f ca="1">MASTER_AR_REPORT!L81</f>
        <v>Low</v>
      </c>
      <c r="M27" s="2" t="str">
        <f ca="1">MASTER_AR_REPORT!M81</f>
        <v>Normal</v>
      </c>
      <c r="N27" s="2" t="str">
        <f>MASTER_AR_REPORT!N81</f>
        <v>Pending</v>
      </c>
      <c r="O27" s="2">
        <f>MASTER_AR_REPORT!O81</f>
        <v>0</v>
      </c>
    </row>
    <row r="28" spans="1:15">
      <c r="A28" s="5">
        <v>24</v>
      </c>
      <c r="B28" s="5" t="str">
        <f>IF(MASTER_AR_REPORT!B82="","",MASTER_AR_REPORT!B82)</f>
        <v>Praveen</v>
      </c>
      <c r="C28" s="11">
        <f>MASTER_AR_REPORT!C82</f>
        <v>46158</v>
      </c>
      <c r="D28" s="5" t="str">
        <f>IF(MASTER_AR_REPORT!D82="","",MASTER_AR_REPORT!D82)</f>
        <v>C-SLG/0143/26-27</v>
      </c>
      <c r="E28" s="5" t="str">
        <f>IF(MASTER_AR_REPORT!E82="","",MASTER_AR_REPORT!E82)</f>
        <v>Kaanuka Collection</v>
      </c>
      <c r="F28" s="6">
        <f>MASTER_AR_REPORT!F82</f>
        <v>830</v>
      </c>
      <c r="G28" s="11">
        <f>MASTER_AR_REPORT!G82</f>
        <v>46183</v>
      </c>
      <c r="H28" s="6">
        <f>MASTER_AR_REPORT!H82</f>
        <v>0</v>
      </c>
      <c r="I28" s="6">
        <f>MASTER_AR_REPORT!I82</f>
        <v>830</v>
      </c>
      <c r="J28" s="5">
        <f ca="1">MASTER_AR_REPORT!J82</f>
        <v>0</v>
      </c>
      <c r="K28" s="5" t="str">
        <f ca="1">MASTER_AR_REPORT!K82</f>
        <v>0-30 Days</v>
      </c>
      <c r="L28" s="5" t="str">
        <f ca="1">MASTER_AR_REPORT!L82</f>
        <v>Low</v>
      </c>
      <c r="M28" s="5" t="str">
        <f ca="1">MASTER_AR_REPORT!M82</f>
        <v>Normal</v>
      </c>
      <c r="N28" s="5" t="str">
        <f>MASTER_AR_REPORT!N82</f>
        <v>Pending</v>
      </c>
      <c r="O28" s="5">
        <f>MASTER_AR_REPORT!O82</f>
        <v>0</v>
      </c>
    </row>
    <row r="29" spans="1:15">
      <c r="A29" s="2">
        <v>25</v>
      </c>
      <c r="B29" s="2" t="str">
        <f>IF(MASTER_AR_REPORT!B83="","",MASTER_AR_REPORT!B83)</f>
        <v>Praveen</v>
      </c>
      <c r="C29" s="12">
        <f>MASTER_AR_REPORT!C83</f>
        <v>45985</v>
      </c>
      <c r="D29" s="2" t="str">
        <f>IF(MASTER_AR_REPORT!D83="","",MASTER_AR_REPORT!D83)</f>
        <v>C-SLG/1754/25-26</v>
      </c>
      <c r="E29" s="2" t="str">
        <f>IF(MASTER_AR_REPORT!E83="","",MASTER_AR_REPORT!E83)</f>
        <v>KITSONS-GACHIBOWLI</v>
      </c>
      <c r="F29" s="3">
        <f>MASTER_AR_REPORT!F83</f>
        <v>180</v>
      </c>
      <c r="G29" s="12">
        <f>MASTER_AR_REPORT!G83</f>
        <v>46010</v>
      </c>
      <c r="H29" s="3">
        <f>MASTER_AR_REPORT!H83</f>
        <v>0</v>
      </c>
      <c r="I29" s="3">
        <f>MASTER_AR_REPORT!I83</f>
        <v>180</v>
      </c>
      <c r="J29" s="2">
        <f ca="1">MASTER_AR_REPORT!J83</f>
        <v>154</v>
      </c>
      <c r="K29" s="2" t="str">
        <f ca="1">MASTER_AR_REPORT!K83</f>
        <v>90+ Days</v>
      </c>
      <c r="L29" s="2" t="str">
        <f ca="1">MASTER_AR_REPORT!L83</f>
        <v>HIGH RISK</v>
      </c>
      <c r="M29" s="2" t="str">
        <f ca="1">MASTER_AR_REPORT!M83</f>
        <v>Immediate Action</v>
      </c>
      <c r="N29" s="2" t="str">
        <f>MASTER_AR_REPORT!N83</f>
        <v>Pending</v>
      </c>
      <c r="O29" s="2">
        <f>MASTER_AR_REPORT!O83</f>
        <v>0</v>
      </c>
    </row>
    <row r="30" spans="1:15">
      <c r="A30" s="5">
        <v>26</v>
      </c>
      <c r="B30" s="5" t="str">
        <f>IF(MASTER_AR_REPORT!B84="","",MASTER_AR_REPORT!B84)</f>
        <v>Praveen</v>
      </c>
      <c r="C30" s="11">
        <f>MASTER_AR_REPORT!C84</f>
        <v>46092</v>
      </c>
      <c r="D30" s="5" t="str">
        <f>IF(MASTER_AR_REPORT!D84="","",MASTER_AR_REPORT!D84)</f>
        <v>C-SLG/2369/25-26</v>
      </c>
      <c r="E30" s="5" t="str">
        <f>IF(MASTER_AR_REPORT!E84="","",MASTER_AR_REPORT!E84)</f>
        <v>KITSONS-GACHIBOWLI</v>
      </c>
      <c r="F30" s="6">
        <f>MASTER_AR_REPORT!F84</f>
        <v>22195</v>
      </c>
      <c r="G30" s="11">
        <f>MASTER_AR_REPORT!G84</f>
        <v>46117</v>
      </c>
      <c r="H30" s="6">
        <f>MASTER_AR_REPORT!H84</f>
        <v>0</v>
      </c>
      <c r="I30" s="6">
        <f>MASTER_AR_REPORT!I84</f>
        <v>22195</v>
      </c>
      <c r="J30" s="5">
        <f ca="1">MASTER_AR_REPORT!J84</f>
        <v>47</v>
      </c>
      <c r="K30" s="5" t="str">
        <f ca="1">MASTER_AR_REPORT!K84</f>
        <v>31-60 Days</v>
      </c>
      <c r="L30" s="5" t="str">
        <f ca="1">MASTER_AR_REPORT!L84</f>
        <v>Low-Medium</v>
      </c>
      <c r="M30" s="5" t="str">
        <f ca="1">MASTER_AR_REPORT!M84</f>
        <v>Medium</v>
      </c>
      <c r="N30" s="5" t="str">
        <f>MASTER_AR_REPORT!N84</f>
        <v>Pending</v>
      </c>
      <c r="O30" s="5">
        <f>MASTER_AR_REPORT!O84</f>
        <v>0</v>
      </c>
    </row>
    <row r="31" spans="1:15">
      <c r="A31" s="2">
        <v>27</v>
      </c>
      <c r="B31" s="2" t="str">
        <f>IF(MASTER_AR_REPORT!B85="","",MASTER_AR_REPORT!B85)</f>
        <v>Praveen</v>
      </c>
      <c r="C31" s="12">
        <f>MASTER_AR_REPORT!C85</f>
        <v>46098</v>
      </c>
      <c r="D31" s="2" t="str">
        <f>IF(MASTER_AR_REPORT!D85="","",MASTER_AR_REPORT!D85)</f>
        <v>C-SLG/2398/25-26</v>
      </c>
      <c r="E31" s="2" t="str">
        <f>IF(MASTER_AR_REPORT!E85="","",MASTER_AR_REPORT!E85)</f>
        <v>KITSONS-GACHIBOWLI</v>
      </c>
      <c r="F31" s="3">
        <f>MASTER_AR_REPORT!F85</f>
        <v>15116</v>
      </c>
      <c r="G31" s="12">
        <f>MASTER_AR_REPORT!G85</f>
        <v>46123</v>
      </c>
      <c r="H31" s="3">
        <f>MASTER_AR_REPORT!H85</f>
        <v>0</v>
      </c>
      <c r="I31" s="3">
        <f>MASTER_AR_REPORT!I85</f>
        <v>15116</v>
      </c>
      <c r="J31" s="2">
        <f ca="1">MASTER_AR_REPORT!J85</f>
        <v>41</v>
      </c>
      <c r="K31" s="2" t="str">
        <f ca="1">MASTER_AR_REPORT!K85</f>
        <v>31-60 Days</v>
      </c>
      <c r="L31" s="2" t="str">
        <f ca="1">MASTER_AR_REPORT!L85</f>
        <v>Low-Medium</v>
      </c>
      <c r="M31" s="2" t="str">
        <f ca="1">MASTER_AR_REPORT!M85</f>
        <v>Medium</v>
      </c>
      <c r="N31" s="2" t="str">
        <f>MASTER_AR_REPORT!N85</f>
        <v>Pending</v>
      </c>
      <c r="O31" s="2">
        <f>MASTER_AR_REPORT!O85</f>
        <v>0</v>
      </c>
    </row>
    <row r="32" spans="1:15">
      <c r="A32" s="5">
        <v>28</v>
      </c>
      <c r="B32" s="5" t="str">
        <f>IF(MASTER_AR_REPORT!B86="","",MASTER_AR_REPORT!B86)</f>
        <v>Praveen</v>
      </c>
      <c r="C32" s="11">
        <f>MASTER_AR_REPORT!C86</f>
        <v>46010</v>
      </c>
      <c r="D32" s="5" t="str">
        <f>IF(MASTER_AR_REPORT!D86="","",MASTER_AR_REPORT!D86)</f>
        <v>Bounce Charges-204</v>
      </c>
      <c r="E32" s="5" t="str">
        <f>IF(MASTER_AR_REPORT!E86="","",MASTER_AR_REPORT!E86)</f>
        <v>KRANTI BOOK HOUSE</v>
      </c>
      <c r="F32" s="6">
        <f>MASTER_AR_REPORT!F86</f>
        <v>500</v>
      </c>
      <c r="G32" s="11">
        <f>MASTER_AR_REPORT!G86</f>
        <v>46035</v>
      </c>
      <c r="H32" s="6">
        <f>MASTER_AR_REPORT!H86</f>
        <v>0</v>
      </c>
      <c r="I32" s="6">
        <f>MASTER_AR_REPORT!I86</f>
        <v>500</v>
      </c>
      <c r="J32" s="5">
        <f ca="1">MASTER_AR_REPORT!J86</f>
        <v>129</v>
      </c>
      <c r="K32" s="5" t="str">
        <f ca="1">MASTER_AR_REPORT!K86</f>
        <v>90+ Days</v>
      </c>
      <c r="L32" s="5" t="str">
        <f ca="1">MASTER_AR_REPORT!L86</f>
        <v>HIGH RISK</v>
      </c>
      <c r="M32" s="5" t="str">
        <f ca="1">MASTER_AR_REPORT!M86</f>
        <v>Immediate Action</v>
      </c>
      <c r="N32" s="5" t="str">
        <f>MASTER_AR_REPORT!N86</f>
        <v>Pending</v>
      </c>
      <c r="O32" s="5">
        <f>MASTER_AR_REPORT!O86</f>
        <v>0</v>
      </c>
    </row>
    <row r="33" spans="1:15">
      <c r="A33" s="2">
        <v>29</v>
      </c>
      <c r="B33" s="2" t="str">
        <f>IF(MASTER_AR_REPORT!B87="","",MASTER_AR_REPORT!B87)</f>
        <v>Praveen</v>
      </c>
      <c r="C33" s="12">
        <f>MASTER_AR_REPORT!C87</f>
        <v>46098</v>
      </c>
      <c r="D33" s="2" t="str">
        <f>IF(MASTER_AR_REPORT!D87="","",MASTER_AR_REPORT!D87)</f>
        <v>C-SLG/2402/25-26</v>
      </c>
      <c r="E33" s="2" t="str">
        <f>IF(MASTER_AR_REPORT!E87="","",MASTER_AR_REPORT!E87)</f>
        <v>Life Stationery (Bnj Hills)</v>
      </c>
      <c r="F33" s="3">
        <f>MASTER_AR_REPORT!F87</f>
        <v>2440</v>
      </c>
      <c r="G33" s="12">
        <f>MASTER_AR_REPORT!G87</f>
        <v>46123</v>
      </c>
      <c r="H33" s="3">
        <f>MASTER_AR_REPORT!H87</f>
        <v>0</v>
      </c>
      <c r="I33" s="3">
        <f>MASTER_AR_REPORT!I87</f>
        <v>2440</v>
      </c>
      <c r="J33" s="2">
        <f ca="1">MASTER_AR_REPORT!J87</f>
        <v>41</v>
      </c>
      <c r="K33" s="2" t="str">
        <f ca="1">MASTER_AR_REPORT!K87</f>
        <v>31-60 Days</v>
      </c>
      <c r="L33" s="2" t="str">
        <f ca="1">MASTER_AR_REPORT!L87</f>
        <v>Low-Medium</v>
      </c>
      <c r="M33" s="2" t="str">
        <f ca="1">MASTER_AR_REPORT!M87</f>
        <v>Medium</v>
      </c>
      <c r="N33" s="2" t="str">
        <f>MASTER_AR_REPORT!N87</f>
        <v>Pending</v>
      </c>
      <c r="O33" s="2">
        <f>MASTER_AR_REPORT!O87</f>
        <v>0</v>
      </c>
    </row>
    <row r="34" spans="1:15">
      <c r="A34" s="5">
        <v>30</v>
      </c>
      <c r="B34" s="5" t="str">
        <f>IF(MASTER_AR_REPORT!B88="","",MASTER_AR_REPORT!B88)</f>
        <v>Praveen</v>
      </c>
      <c r="C34" s="11">
        <f>MASTER_AR_REPORT!C88</f>
        <v>46112</v>
      </c>
      <c r="D34" s="5" t="str">
        <f>IF(MASTER_AR_REPORT!D88="","",MASTER_AR_REPORT!D88)</f>
        <v>C-SLG/2494/25-26</v>
      </c>
      <c r="E34" s="5" t="str">
        <f>IF(MASTER_AR_REPORT!E88="","",MASTER_AR_REPORT!E88)</f>
        <v>Mahalaxmi  Enterprises</v>
      </c>
      <c r="F34" s="6">
        <f>MASTER_AR_REPORT!F88</f>
        <v>13321</v>
      </c>
      <c r="G34" s="11">
        <f>MASTER_AR_REPORT!G88</f>
        <v>46137</v>
      </c>
      <c r="H34" s="6">
        <f>MASTER_AR_REPORT!H88</f>
        <v>0</v>
      </c>
      <c r="I34" s="6">
        <f>MASTER_AR_REPORT!I88</f>
        <v>13321</v>
      </c>
      <c r="J34" s="5">
        <f ca="1">MASTER_AR_REPORT!J88</f>
        <v>27</v>
      </c>
      <c r="K34" s="5" t="str">
        <f ca="1">MASTER_AR_REPORT!K88</f>
        <v>0-30 Days</v>
      </c>
      <c r="L34" s="5" t="str">
        <f ca="1">MASTER_AR_REPORT!L88</f>
        <v>Low</v>
      </c>
      <c r="M34" s="5" t="str">
        <f ca="1">MASTER_AR_REPORT!M88</f>
        <v>Normal</v>
      </c>
      <c r="N34" s="5" t="str">
        <f>MASTER_AR_REPORT!N88</f>
        <v>Pending</v>
      </c>
      <c r="O34" s="5">
        <f>MASTER_AR_REPORT!O88</f>
        <v>0</v>
      </c>
    </row>
    <row r="35" spans="1:15">
      <c r="A35" s="2">
        <v>31</v>
      </c>
      <c r="B35" s="2" t="str">
        <f>IF(MASTER_AR_REPORT!B89="","",MASTER_AR_REPORT!B89)</f>
        <v>Praveen</v>
      </c>
      <c r="C35" s="12">
        <f>MASTER_AR_REPORT!C89</f>
        <v>46107</v>
      </c>
      <c r="D35" s="2" t="str">
        <f>IF(MASTER_AR_REPORT!D89="","",MASTER_AR_REPORT!D89)</f>
        <v>C-SLG/2440/25-26</v>
      </c>
      <c r="E35" s="2" t="str">
        <f>IF(MASTER_AR_REPORT!E89="","",MASTER_AR_REPORT!E89)</f>
        <v>MARUTHI ENTERPRISES</v>
      </c>
      <c r="F35" s="3">
        <f>MASTER_AR_REPORT!F89</f>
        <v>8855</v>
      </c>
      <c r="G35" s="12">
        <f>MASTER_AR_REPORT!G89</f>
        <v>46132</v>
      </c>
      <c r="H35" s="3">
        <f>MASTER_AR_REPORT!H89</f>
        <v>0</v>
      </c>
      <c r="I35" s="3">
        <f>MASTER_AR_REPORT!I89</f>
        <v>8855</v>
      </c>
      <c r="J35" s="2">
        <f ca="1">MASTER_AR_REPORT!J89</f>
        <v>32</v>
      </c>
      <c r="K35" s="2" t="str">
        <f ca="1">MASTER_AR_REPORT!K89</f>
        <v>31-60 Days</v>
      </c>
      <c r="L35" s="2" t="str">
        <f ca="1">MASTER_AR_REPORT!L89</f>
        <v>Low-Medium</v>
      </c>
      <c r="M35" s="2" t="str">
        <f ca="1">MASTER_AR_REPORT!M89</f>
        <v>Medium</v>
      </c>
      <c r="N35" s="2" t="str">
        <f>MASTER_AR_REPORT!N89</f>
        <v>Pending</v>
      </c>
      <c r="O35" s="2">
        <f>MASTER_AR_REPORT!O89</f>
        <v>0</v>
      </c>
    </row>
    <row r="36" spans="1:15">
      <c r="A36" s="5">
        <v>32</v>
      </c>
      <c r="B36" s="5" t="str">
        <f>IF(MASTER_AR_REPORT!B90="","",MASTER_AR_REPORT!B90)</f>
        <v>Praveen</v>
      </c>
      <c r="C36" s="11">
        <f>MASTER_AR_REPORT!C90</f>
        <v>46099</v>
      </c>
      <c r="D36" s="5" t="str">
        <f>IF(MASTER_AR_REPORT!D90="","",MASTER_AR_REPORT!D90)</f>
        <v>C-SLG/2409/25-26</v>
      </c>
      <c r="E36" s="5" t="str">
        <f>IF(MASTER_AR_REPORT!E90="","",MASTER_AR_REPORT!E90)</f>
        <v>MASTER SAAB STATIONARY</v>
      </c>
      <c r="F36" s="6">
        <f>MASTER_AR_REPORT!F90</f>
        <v>4079</v>
      </c>
      <c r="G36" s="11">
        <f>MASTER_AR_REPORT!G90</f>
        <v>46124</v>
      </c>
      <c r="H36" s="6">
        <f>MASTER_AR_REPORT!H90</f>
        <v>0</v>
      </c>
      <c r="I36" s="6">
        <f>MASTER_AR_REPORT!I90</f>
        <v>4079</v>
      </c>
      <c r="J36" s="5">
        <f ca="1">MASTER_AR_REPORT!J90</f>
        <v>40</v>
      </c>
      <c r="K36" s="5" t="str">
        <f ca="1">MASTER_AR_REPORT!K90</f>
        <v>31-60 Days</v>
      </c>
      <c r="L36" s="5" t="str">
        <f ca="1">MASTER_AR_REPORT!L90</f>
        <v>Low-Medium</v>
      </c>
      <c r="M36" s="5" t="str">
        <f ca="1">MASTER_AR_REPORT!M90</f>
        <v>Medium</v>
      </c>
      <c r="N36" s="5" t="str">
        <f>MASTER_AR_REPORT!N90</f>
        <v>Pending</v>
      </c>
      <c r="O36" s="5">
        <f>MASTER_AR_REPORT!O90</f>
        <v>0</v>
      </c>
    </row>
    <row r="37" spans="1:15">
      <c r="A37" s="2">
        <v>33</v>
      </c>
      <c r="B37" s="2" t="str">
        <f>IF(MASTER_AR_REPORT!B91="","",MASTER_AR_REPORT!B91)</f>
        <v>Praveen</v>
      </c>
      <c r="C37" s="12">
        <f>MASTER_AR_REPORT!C91</f>
        <v>45968</v>
      </c>
      <c r="D37" s="2" t="str">
        <f>IF(MASTER_AR_REPORT!D91="","",MASTER_AR_REPORT!D91)</f>
        <v>C-SLG/1619/25-26</v>
      </c>
      <c r="E37" s="2" t="str">
        <f>IF(MASTER_AR_REPORT!E91="","",MASTER_AR_REPORT!E91)</f>
        <v>Nagesh Stationery &amp; Xerox</v>
      </c>
      <c r="F37" s="3">
        <f>MASTER_AR_REPORT!F91</f>
        <v>1680</v>
      </c>
      <c r="G37" s="12">
        <f>MASTER_AR_REPORT!G91</f>
        <v>45993</v>
      </c>
      <c r="H37" s="3">
        <f>MASTER_AR_REPORT!H91</f>
        <v>0</v>
      </c>
      <c r="I37" s="3">
        <f>MASTER_AR_REPORT!I91</f>
        <v>1680</v>
      </c>
      <c r="J37" s="2">
        <f ca="1">MASTER_AR_REPORT!J91</f>
        <v>171</v>
      </c>
      <c r="K37" s="2" t="str">
        <f ca="1">MASTER_AR_REPORT!K91</f>
        <v>90+ Days</v>
      </c>
      <c r="L37" s="2" t="str">
        <f ca="1">MASTER_AR_REPORT!L91</f>
        <v>HIGH RISK</v>
      </c>
      <c r="M37" s="2" t="str">
        <f ca="1">MASTER_AR_REPORT!M91</f>
        <v>Immediate Action</v>
      </c>
      <c r="N37" s="2" t="str">
        <f>MASTER_AR_REPORT!N91</f>
        <v>Pending</v>
      </c>
      <c r="O37" s="2" t="str">
        <f>MASTER_AR_REPORT!O91</f>
        <v>Customer Out of Station</v>
      </c>
    </row>
    <row r="38" spans="1:15">
      <c r="A38" s="5">
        <v>34</v>
      </c>
      <c r="B38" s="5" t="str">
        <f>IF(MASTER_AR_REPORT!B92="","",MASTER_AR_REPORT!B92)</f>
        <v>Praveen</v>
      </c>
      <c r="C38" s="11">
        <f>MASTER_AR_REPORT!C92</f>
        <v>46097</v>
      </c>
      <c r="D38" s="5" t="str">
        <f>IF(MASTER_AR_REPORT!D92="","",MASTER_AR_REPORT!D92)</f>
        <v>C-SLG/2389/25-26</v>
      </c>
      <c r="E38" s="5" t="str">
        <f>IF(MASTER_AR_REPORT!E92="","",MASTER_AR_REPORT!E92)</f>
        <v>NavDurga Stationery</v>
      </c>
      <c r="F38" s="6">
        <f>MASTER_AR_REPORT!F92</f>
        <v>6289</v>
      </c>
      <c r="G38" s="11">
        <f>MASTER_AR_REPORT!G92</f>
        <v>46122</v>
      </c>
      <c r="H38" s="6">
        <f>MASTER_AR_REPORT!H92</f>
        <v>0</v>
      </c>
      <c r="I38" s="6">
        <f>MASTER_AR_REPORT!I92</f>
        <v>6289</v>
      </c>
      <c r="J38" s="5">
        <f ca="1">MASTER_AR_REPORT!J92</f>
        <v>42</v>
      </c>
      <c r="K38" s="5" t="str">
        <f ca="1">MASTER_AR_REPORT!K92</f>
        <v>31-60 Days</v>
      </c>
      <c r="L38" s="5" t="str">
        <f ca="1">MASTER_AR_REPORT!L92</f>
        <v>Low-Medium</v>
      </c>
      <c r="M38" s="5" t="str">
        <f ca="1">MASTER_AR_REPORT!M92</f>
        <v>Medium</v>
      </c>
      <c r="N38" s="5" t="str">
        <f>MASTER_AR_REPORT!N92</f>
        <v>Pending</v>
      </c>
      <c r="O38" s="5">
        <f>MASTER_AR_REPORT!O92</f>
        <v>0</v>
      </c>
    </row>
    <row r="39" spans="1:15">
      <c r="A39" s="2">
        <v>35</v>
      </c>
      <c r="B39" s="2" t="str">
        <f>IF(MASTER_AR_REPORT!B93="","",MASTER_AR_REPORT!B93)</f>
        <v>Praveen</v>
      </c>
      <c r="C39" s="12">
        <f>MASTER_AR_REPORT!C93</f>
        <v>46084</v>
      </c>
      <c r="D39" s="2" t="str">
        <f>IF(MASTER_AR_REPORT!D93="","",MASTER_AR_REPORT!D93)</f>
        <v>C-SLG/2311/25-26</v>
      </c>
      <c r="E39" s="2" t="str">
        <f>IF(MASTER_AR_REPORT!E93="","",MASTER_AR_REPORT!E93)</f>
        <v>New Vidya Book Point  (Alkapur)</v>
      </c>
      <c r="F39" s="3">
        <f>MASTER_AR_REPORT!F93</f>
        <v>9268</v>
      </c>
      <c r="G39" s="12">
        <f>MASTER_AR_REPORT!G93</f>
        <v>46109</v>
      </c>
      <c r="H39" s="3">
        <f>MASTER_AR_REPORT!H93</f>
        <v>0</v>
      </c>
      <c r="I39" s="3">
        <f>MASTER_AR_REPORT!I93</f>
        <v>9268</v>
      </c>
      <c r="J39" s="2">
        <f ca="1">MASTER_AR_REPORT!J93</f>
        <v>55</v>
      </c>
      <c r="K39" s="2" t="str">
        <f ca="1">MASTER_AR_REPORT!K93</f>
        <v>31-60 Days</v>
      </c>
      <c r="L39" s="2" t="str">
        <f ca="1">MASTER_AR_REPORT!L93</f>
        <v>Low-Medium</v>
      </c>
      <c r="M39" s="2" t="str">
        <f ca="1">MASTER_AR_REPORT!M93</f>
        <v>Medium</v>
      </c>
      <c r="N39" s="2" t="str">
        <f>MASTER_AR_REPORT!N93</f>
        <v>Pending</v>
      </c>
      <c r="O39" s="2">
        <f>MASTER_AR_REPORT!O93</f>
        <v>0</v>
      </c>
    </row>
    <row r="40" spans="1:15">
      <c r="A40" s="5">
        <v>36</v>
      </c>
      <c r="B40" s="5" t="str">
        <f>IF(MASTER_AR_REPORT!B94="","",MASTER_AR_REPORT!B94)</f>
        <v>Praveen</v>
      </c>
      <c r="C40" s="11">
        <f>MASTER_AR_REPORT!C94</f>
        <v>46111</v>
      </c>
      <c r="D40" s="5" t="str">
        <f>IF(MASTER_AR_REPORT!D94="","",MASTER_AR_REPORT!D94)</f>
        <v>C-SLG/2480/25-26</v>
      </c>
      <c r="E40" s="5" t="str">
        <f>IF(MASTER_AR_REPORT!E94="","",MASTER_AR_REPORT!E94)</f>
        <v>New Vidya Book Point  (Alkapur)</v>
      </c>
      <c r="F40" s="6">
        <f>MASTER_AR_REPORT!F94</f>
        <v>7960</v>
      </c>
      <c r="G40" s="11">
        <f>MASTER_AR_REPORT!G94</f>
        <v>46136</v>
      </c>
      <c r="H40" s="6">
        <f>MASTER_AR_REPORT!H94</f>
        <v>0</v>
      </c>
      <c r="I40" s="6">
        <f>MASTER_AR_REPORT!I94</f>
        <v>7960</v>
      </c>
      <c r="J40" s="5">
        <f ca="1">MASTER_AR_REPORT!J94</f>
        <v>28</v>
      </c>
      <c r="K40" s="5" t="str">
        <f ca="1">MASTER_AR_REPORT!K94</f>
        <v>0-30 Days</v>
      </c>
      <c r="L40" s="5" t="str">
        <f ca="1">MASTER_AR_REPORT!L94</f>
        <v>Low</v>
      </c>
      <c r="M40" s="5" t="str">
        <f ca="1">MASTER_AR_REPORT!M94</f>
        <v>Normal</v>
      </c>
      <c r="N40" s="5" t="str">
        <f>MASTER_AR_REPORT!N94</f>
        <v>Pending</v>
      </c>
      <c r="O40" s="5">
        <f>MASTER_AR_REPORT!O94</f>
        <v>0</v>
      </c>
    </row>
    <row r="41" spans="1:15">
      <c r="A41" s="2">
        <v>37</v>
      </c>
      <c r="B41" s="2" t="str">
        <f>IF(MASTER_AR_REPORT!B95="","",MASTER_AR_REPORT!B95)</f>
        <v>Praveen</v>
      </c>
      <c r="C41" s="12">
        <f>MASTER_AR_REPORT!C95</f>
        <v>46051</v>
      </c>
      <c r="D41" s="2" t="str">
        <f>IF(MASTER_AR_REPORT!D95="","",MASTER_AR_REPORT!D95)</f>
        <v>C-SLG/2142/25-26</v>
      </c>
      <c r="E41" s="2" t="str">
        <f>IF(MASTER_AR_REPORT!E95="","",MASTER_AR_REPORT!E95)</f>
        <v>Popular Book House</v>
      </c>
      <c r="F41" s="3">
        <f>MASTER_AR_REPORT!F95</f>
        <v>720</v>
      </c>
      <c r="G41" s="12">
        <f>MASTER_AR_REPORT!G95</f>
        <v>46076</v>
      </c>
      <c r="H41" s="3">
        <f>MASTER_AR_REPORT!H95</f>
        <v>0</v>
      </c>
      <c r="I41" s="3">
        <f>MASTER_AR_REPORT!I95</f>
        <v>720</v>
      </c>
      <c r="J41" s="2">
        <f ca="1">MASTER_AR_REPORT!J95</f>
        <v>88</v>
      </c>
      <c r="K41" s="2" t="str">
        <f ca="1">MASTER_AR_REPORT!K95</f>
        <v>61-90 Days</v>
      </c>
      <c r="L41" s="2" t="str">
        <f ca="1">MASTER_AR_REPORT!L95</f>
        <v>Medium</v>
      </c>
      <c r="M41" s="2" t="str">
        <f ca="1">MASTER_AR_REPORT!M95</f>
        <v>Urgent</v>
      </c>
      <c r="N41" s="2" t="str">
        <f>MASTER_AR_REPORT!N95</f>
        <v>Pending</v>
      </c>
      <c r="O41" s="2">
        <f>MASTER_AR_REPORT!O95</f>
        <v>0</v>
      </c>
    </row>
    <row r="42" spans="1:15">
      <c r="A42" s="5">
        <v>38</v>
      </c>
      <c r="B42" s="5" t="str">
        <f>IF(MASTER_AR_REPORT!B96="","",MASTER_AR_REPORT!B96)</f>
        <v>Praveen</v>
      </c>
      <c r="C42" s="11">
        <f>MASTER_AR_REPORT!C96</f>
        <v>46088</v>
      </c>
      <c r="D42" s="5" t="str">
        <f>IF(MASTER_AR_REPORT!D96="","",MASTER_AR_REPORT!D96)</f>
        <v>C-SLG/2348/25-26</v>
      </c>
      <c r="E42" s="5" t="str">
        <f>IF(MASTER_AR_REPORT!E96="","",MASTER_AR_REPORT!E96)</f>
        <v>Popular Book House</v>
      </c>
      <c r="F42" s="6">
        <f>MASTER_AR_REPORT!F96</f>
        <v>15106</v>
      </c>
      <c r="G42" s="11">
        <f>MASTER_AR_REPORT!G96</f>
        <v>46113</v>
      </c>
      <c r="H42" s="6">
        <f>MASTER_AR_REPORT!H96</f>
        <v>0</v>
      </c>
      <c r="I42" s="6">
        <f>MASTER_AR_REPORT!I96</f>
        <v>15106</v>
      </c>
      <c r="J42" s="5">
        <f ca="1">MASTER_AR_REPORT!J96</f>
        <v>51</v>
      </c>
      <c r="K42" s="5" t="str">
        <f ca="1">MASTER_AR_REPORT!K96</f>
        <v>31-60 Days</v>
      </c>
      <c r="L42" s="5" t="str">
        <f ca="1">MASTER_AR_REPORT!L96</f>
        <v>Low-Medium</v>
      </c>
      <c r="M42" s="5" t="str">
        <f ca="1">MASTER_AR_REPORT!M96</f>
        <v>Medium</v>
      </c>
      <c r="N42" s="5" t="str">
        <f>MASTER_AR_REPORT!N96</f>
        <v>Pending</v>
      </c>
      <c r="O42" s="5" t="str">
        <f>MASTER_AR_REPORT!O96</f>
        <v>Not Responding</v>
      </c>
    </row>
    <row r="43" spans="1:15">
      <c r="A43" s="2">
        <v>39</v>
      </c>
      <c r="B43" s="2" t="str">
        <f>IF(MASTER_AR_REPORT!B97="","",MASTER_AR_REPORT!B97)</f>
        <v>Praveen</v>
      </c>
      <c r="C43" s="12">
        <f>MASTER_AR_REPORT!C97</f>
        <v>45909</v>
      </c>
      <c r="D43" s="2" t="str">
        <f>IF(MASTER_AR_REPORT!D97="","",MASTER_AR_REPORT!D97)</f>
        <v>C-SLG/1122/25-26</v>
      </c>
      <c r="E43" s="2" t="str">
        <f>IF(MASTER_AR_REPORT!E97="","",MASTER_AR_REPORT!E97)</f>
        <v>RADIANT BOOK HOUSE</v>
      </c>
      <c r="F43" s="3">
        <f>MASTER_AR_REPORT!F97</f>
        <v>7800</v>
      </c>
      <c r="G43" s="12">
        <f>MASTER_AR_REPORT!G97</f>
        <v>45934</v>
      </c>
      <c r="H43" s="3">
        <f>MASTER_AR_REPORT!H97</f>
        <v>0</v>
      </c>
      <c r="I43" s="3">
        <f>MASTER_AR_REPORT!I97</f>
        <v>7800</v>
      </c>
      <c r="J43" s="2">
        <f ca="1">MASTER_AR_REPORT!J97</f>
        <v>230</v>
      </c>
      <c r="K43" s="2" t="str">
        <f ca="1">MASTER_AR_REPORT!K97</f>
        <v>90+ Days</v>
      </c>
      <c r="L43" s="2" t="str">
        <f ca="1">MASTER_AR_REPORT!L97</f>
        <v>HIGH RISK</v>
      </c>
      <c r="M43" s="2" t="str">
        <f ca="1">MASTER_AR_REPORT!M97</f>
        <v>Immediate Action</v>
      </c>
      <c r="N43" s="2" t="str">
        <f>MASTER_AR_REPORT!N97</f>
        <v>Pending</v>
      </c>
      <c r="O43" s="2" t="str">
        <f>MASTER_AR_REPORT!O97</f>
        <v>Not Responding</v>
      </c>
    </row>
    <row r="44" spans="1:15">
      <c r="A44" s="5">
        <v>40</v>
      </c>
      <c r="B44" s="5" t="str">
        <f>IF(MASTER_AR_REPORT!B98="","",MASTER_AR_REPORT!B98)</f>
        <v>Praveen</v>
      </c>
      <c r="C44" s="11">
        <f>MASTER_AR_REPORT!C98</f>
        <v>46065</v>
      </c>
      <c r="D44" s="5" t="str">
        <f>IF(MASTER_AR_REPORT!D98="","",MASTER_AR_REPORT!D98)</f>
        <v>C-SLG/2222/25-26</v>
      </c>
      <c r="E44" s="5" t="str">
        <f>IF(MASTER_AR_REPORT!E98="","",MASTER_AR_REPORT!E98)</f>
        <v>R.B.Novelty</v>
      </c>
      <c r="F44" s="6">
        <f>MASTER_AR_REPORT!F98</f>
        <v>31317</v>
      </c>
      <c r="G44" s="11">
        <f>MASTER_AR_REPORT!G98</f>
        <v>46090</v>
      </c>
      <c r="H44" s="6">
        <f>MASTER_AR_REPORT!H98</f>
        <v>0</v>
      </c>
      <c r="I44" s="6">
        <f>MASTER_AR_REPORT!I98</f>
        <v>31317</v>
      </c>
      <c r="J44" s="5">
        <f ca="1">MASTER_AR_REPORT!J98</f>
        <v>74</v>
      </c>
      <c r="K44" s="5" t="str">
        <f ca="1">MASTER_AR_REPORT!K98</f>
        <v>61-90 Days</v>
      </c>
      <c r="L44" s="5" t="str">
        <f ca="1">MASTER_AR_REPORT!L98</f>
        <v>Medium</v>
      </c>
      <c r="M44" s="5" t="str">
        <f ca="1">MASTER_AR_REPORT!M98</f>
        <v>Urgent</v>
      </c>
      <c r="N44" s="5" t="str">
        <f>MASTER_AR_REPORT!N98</f>
        <v>Pending</v>
      </c>
      <c r="O44" s="5" t="str">
        <f>MASTER_AR_REPORT!O98</f>
        <v>Price Difference Issue - Sir will Visit</v>
      </c>
    </row>
    <row r="45" spans="1:15">
      <c r="A45" s="2">
        <v>41</v>
      </c>
      <c r="B45" s="2" t="str">
        <f>IF(MASTER_AR_REPORT!B99="","",MASTER_AR_REPORT!B99)</f>
        <v>Praveen</v>
      </c>
      <c r="C45" s="12">
        <f>MASTER_AR_REPORT!C99</f>
        <v>45989</v>
      </c>
      <c r="D45" s="2" t="str">
        <f>IF(MASTER_AR_REPORT!D99="","",MASTER_AR_REPORT!D99)</f>
        <v>C-SLG/1791/25-26</v>
      </c>
      <c r="E45" s="2" t="str">
        <f>IF(MASTER_AR_REPORT!E99="","",MASTER_AR_REPORT!E99)</f>
        <v>Reliable Book Centre</v>
      </c>
      <c r="F45" s="3">
        <f>MASTER_AR_REPORT!F99</f>
        <v>9440</v>
      </c>
      <c r="G45" s="12">
        <f>MASTER_AR_REPORT!G99</f>
        <v>46014</v>
      </c>
      <c r="H45" s="3">
        <f>MASTER_AR_REPORT!H99</f>
        <v>0</v>
      </c>
      <c r="I45" s="3">
        <f>MASTER_AR_REPORT!I99</f>
        <v>9440</v>
      </c>
      <c r="J45" s="2">
        <f ca="1">MASTER_AR_REPORT!J99</f>
        <v>150</v>
      </c>
      <c r="K45" s="2" t="str">
        <f ca="1">MASTER_AR_REPORT!K99</f>
        <v>90+ Days</v>
      </c>
      <c r="L45" s="2" t="str">
        <f ca="1">MASTER_AR_REPORT!L99</f>
        <v>HIGH RISK</v>
      </c>
      <c r="M45" s="2" t="str">
        <f ca="1">MASTER_AR_REPORT!M99</f>
        <v>Immediate Action</v>
      </c>
      <c r="N45" s="2" t="str">
        <f>MASTER_AR_REPORT!N99</f>
        <v>Pending</v>
      </c>
      <c r="O45" s="2">
        <f>MASTER_AR_REPORT!O99</f>
        <v>0</v>
      </c>
    </row>
    <row r="46" spans="1:15">
      <c r="A46" s="5">
        <v>42</v>
      </c>
      <c r="B46" s="5" t="str">
        <f>IF(MASTER_AR_REPORT!B100="","",MASTER_AR_REPORT!B100)</f>
        <v>Praveen</v>
      </c>
      <c r="C46" s="11">
        <f>MASTER_AR_REPORT!C100</f>
        <v>46021</v>
      </c>
      <c r="D46" s="5" t="str">
        <f>IF(MASTER_AR_REPORT!D100="","",MASTER_AR_REPORT!D100)</f>
        <v>C-SLG/2005/25-26</v>
      </c>
      <c r="E46" s="5" t="str">
        <f>IF(MASTER_AR_REPORT!E100="","",MASTER_AR_REPORT!E100)</f>
        <v>Reliable Book Centre</v>
      </c>
      <c r="F46" s="6">
        <f>MASTER_AR_REPORT!F100</f>
        <v>643</v>
      </c>
      <c r="G46" s="11">
        <f>MASTER_AR_REPORT!G100</f>
        <v>46046</v>
      </c>
      <c r="H46" s="6">
        <f>MASTER_AR_REPORT!H100</f>
        <v>0</v>
      </c>
      <c r="I46" s="6">
        <f>MASTER_AR_REPORT!I100</f>
        <v>643</v>
      </c>
      <c r="J46" s="5">
        <f ca="1">MASTER_AR_REPORT!J100</f>
        <v>118</v>
      </c>
      <c r="K46" s="5" t="str">
        <f ca="1">MASTER_AR_REPORT!K100</f>
        <v>90+ Days</v>
      </c>
      <c r="L46" s="5" t="str">
        <f ca="1">MASTER_AR_REPORT!L100</f>
        <v>HIGH RISK</v>
      </c>
      <c r="M46" s="5" t="str">
        <f ca="1">MASTER_AR_REPORT!M100</f>
        <v>Immediate Action</v>
      </c>
      <c r="N46" s="5" t="str">
        <f>MASTER_AR_REPORT!N100</f>
        <v>Pending</v>
      </c>
      <c r="O46" s="5">
        <f>MASTER_AR_REPORT!O100</f>
        <v>0</v>
      </c>
    </row>
    <row r="47" spans="1:15">
      <c r="A47" s="2">
        <v>43</v>
      </c>
      <c r="B47" s="2" t="str">
        <f>IF(MASTER_AR_REPORT!B101="","",MASTER_AR_REPORT!B101)</f>
        <v>Praveen</v>
      </c>
      <c r="C47" s="12">
        <f>MASTER_AR_REPORT!C101</f>
        <v>46046</v>
      </c>
      <c r="D47" s="2" t="str">
        <f>IF(MASTER_AR_REPORT!D101="","",MASTER_AR_REPORT!D101)</f>
        <v>C-SLG/2102/25-26</v>
      </c>
      <c r="E47" s="2" t="str">
        <f>IF(MASTER_AR_REPORT!E101="","",MASTER_AR_REPORT!E101)</f>
        <v>RR HOSIPATALITY SERVICES</v>
      </c>
      <c r="F47" s="3">
        <f>MASTER_AR_REPORT!F101</f>
        <v>49017</v>
      </c>
      <c r="G47" s="12">
        <f>MASTER_AR_REPORT!G101</f>
        <v>46071</v>
      </c>
      <c r="H47" s="3">
        <f>MASTER_AR_REPORT!H101</f>
        <v>0</v>
      </c>
      <c r="I47" s="3">
        <f>MASTER_AR_REPORT!I101</f>
        <v>49017</v>
      </c>
      <c r="J47" s="2">
        <f ca="1">MASTER_AR_REPORT!J101</f>
        <v>93</v>
      </c>
      <c r="K47" s="2" t="str">
        <f ca="1">MASTER_AR_REPORT!K101</f>
        <v>90+ Days</v>
      </c>
      <c r="L47" s="2" t="str">
        <f ca="1">MASTER_AR_REPORT!L101</f>
        <v>HIGH RISK</v>
      </c>
      <c r="M47" s="2" t="str">
        <f ca="1">MASTER_AR_REPORT!M101</f>
        <v>Immediate Action</v>
      </c>
      <c r="N47" s="2" t="str">
        <f>MASTER_AR_REPORT!N101</f>
        <v>Pending</v>
      </c>
      <c r="O47" s="2" t="str">
        <f>MASTER_AR_REPORT!O101</f>
        <v>Stock Returned to Nujeed</v>
      </c>
    </row>
    <row r="48" spans="1:15">
      <c r="A48" s="5">
        <v>44</v>
      </c>
      <c r="B48" s="5" t="str">
        <f>IF(MASTER_AR_REPORT!B102="","",MASTER_AR_REPORT!B102)</f>
        <v>Praveen</v>
      </c>
      <c r="C48" s="11">
        <f>MASTER_AR_REPORT!C102</f>
        <v>46083</v>
      </c>
      <c r="D48" s="5" t="str">
        <f>IF(MASTER_AR_REPORT!D102="","",MASTER_AR_REPORT!D102)</f>
        <v>C-SLG/2298/25-26</v>
      </c>
      <c r="E48" s="5" t="str">
        <f>IF(MASTER_AR_REPORT!E102="","",MASTER_AR_REPORT!E102)</f>
        <v>Sai Vaishnavi Book Agency</v>
      </c>
      <c r="F48" s="6">
        <f>MASTER_AR_REPORT!F102</f>
        <v>14106</v>
      </c>
      <c r="G48" s="11">
        <f>MASTER_AR_REPORT!G102</f>
        <v>46108</v>
      </c>
      <c r="H48" s="6">
        <f>MASTER_AR_REPORT!H102</f>
        <v>0</v>
      </c>
      <c r="I48" s="6">
        <f>MASTER_AR_REPORT!I102</f>
        <v>14106</v>
      </c>
      <c r="J48" s="5">
        <f ca="1">MASTER_AR_REPORT!J102</f>
        <v>56</v>
      </c>
      <c r="K48" s="5" t="str">
        <f ca="1">MASTER_AR_REPORT!K102</f>
        <v>31-60 Days</v>
      </c>
      <c r="L48" s="5" t="str">
        <f ca="1">MASTER_AR_REPORT!L102</f>
        <v>Low-Medium</v>
      </c>
      <c r="M48" s="5" t="str">
        <f ca="1">MASTER_AR_REPORT!M102</f>
        <v>Medium</v>
      </c>
      <c r="N48" s="5" t="str">
        <f>MASTER_AR_REPORT!N102</f>
        <v>Pending</v>
      </c>
      <c r="O48" s="5">
        <f>MASTER_AR_REPORT!O102</f>
        <v>0</v>
      </c>
    </row>
    <row r="49" spans="1:15">
      <c r="A49" s="2">
        <v>45</v>
      </c>
      <c r="B49" s="2" t="str">
        <f>IF(MASTER_AR_REPORT!B103="","",MASTER_AR_REPORT!B103)</f>
        <v>Praveen</v>
      </c>
      <c r="C49" s="12">
        <f>MASTER_AR_REPORT!C103</f>
        <v>46076</v>
      </c>
      <c r="D49" s="2" t="str">
        <f>IF(MASTER_AR_REPORT!D103="","",MASTER_AR_REPORT!D103)</f>
        <v>C-SLG/2269/25-26</v>
      </c>
      <c r="E49" s="2" t="str">
        <f>IF(MASTER_AR_REPORT!E103="","",MASTER_AR_REPORT!E103)</f>
        <v>Shiva Book Stall</v>
      </c>
      <c r="F49" s="3">
        <f>MASTER_AR_REPORT!F103</f>
        <v>9399</v>
      </c>
      <c r="G49" s="12">
        <f>MASTER_AR_REPORT!G103</f>
        <v>46101</v>
      </c>
      <c r="H49" s="3">
        <f>MASTER_AR_REPORT!H103</f>
        <v>0</v>
      </c>
      <c r="I49" s="3">
        <f>MASTER_AR_REPORT!I103</f>
        <v>9399</v>
      </c>
      <c r="J49" s="2">
        <f ca="1">MASTER_AR_REPORT!J103</f>
        <v>63</v>
      </c>
      <c r="K49" s="2" t="str">
        <f ca="1">MASTER_AR_REPORT!K103</f>
        <v>61-90 Days</v>
      </c>
      <c r="L49" s="2" t="str">
        <f ca="1">MASTER_AR_REPORT!L103</f>
        <v>Medium</v>
      </c>
      <c r="M49" s="2" t="str">
        <f ca="1">MASTER_AR_REPORT!M103</f>
        <v>Urgent</v>
      </c>
      <c r="N49" s="2" t="str">
        <f>MASTER_AR_REPORT!N103</f>
        <v>Pending</v>
      </c>
      <c r="O49" s="2" t="str">
        <f>MASTER_AR_REPORT!O103</f>
        <v>Some Issue - Send DSO</v>
      </c>
    </row>
    <row r="50" spans="1:15">
      <c r="A50" s="5">
        <v>46</v>
      </c>
      <c r="B50" s="5" t="str">
        <f>IF(MASTER_AR_REPORT!B104="","",MASTER_AR_REPORT!B104)</f>
        <v>Praveen</v>
      </c>
      <c r="C50" s="11">
        <f>MASTER_AR_REPORT!C104</f>
        <v>46133</v>
      </c>
      <c r="D50" s="5" t="str">
        <f>IF(MASTER_AR_REPORT!D104="","",MASTER_AR_REPORT!D104)</f>
        <v>C-SLG/0061/26-27</v>
      </c>
      <c r="E50" s="5" t="str">
        <f>IF(MASTER_AR_REPORT!E104="","",MASTER_AR_REPORT!E104)</f>
        <v>SHRI SHARADA  BOOK DISTRIBUTERS</v>
      </c>
      <c r="F50" s="6">
        <f>MASTER_AR_REPORT!F104</f>
        <v>670</v>
      </c>
      <c r="G50" s="11">
        <f>MASTER_AR_REPORT!G104</f>
        <v>46158</v>
      </c>
      <c r="H50" s="6">
        <f>MASTER_AR_REPORT!H104</f>
        <v>0</v>
      </c>
      <c r="I50" s="6">
        <f>MASTER_AR_REPORT!I104</f>
        <v>670</v>
      </c>
      <c r="J50" s="5">
        <f ca="1">MASTER_AR_REPORT!J104</f>
        <v>6</v>
      </c>
      <c r="K50" s="5" t="str">
        <f ca="1">MASTER_AR_REPORT!K104</f>
        <v>0-30 Days</v>
      </c>
      <c r="L50" s="5" t="str">
        <f ca="1">MASTER_AR_REPORT!L104</f>
        <v>Low</v>
      </c>
      <c r="M50" s="5" t="str">
        <f ca="1">MASTER_AR_REPORT!M104</f>
        <v>Normal</v>
      </c>
      <c r="N50" s="5" t="str">
        <f>MASTER_AR_REPORT!N104</f>
        <v>Pending</v>
      </c>
      <c r="O50" s="5">
        <f>MASTER_AR_REPORT!O104</f>
        <v>0</v>
      </c>
    </row>
    <row r="51" spans="1:15">
      <c r="A51" s="2">
        <v>47</v>
      </c>
      <c r="B51" s="2" t="str">
        <f>IF(MASTER_AR_REPORT!B105="","",MASTER_AR_REPORT!B105)</f>
        <v>Praveen</v>
      </c>
      <c r="C51" s="12">
        <f>MASTER_AR_REPORT!C105</f>
        <v>46057</v>
      </c>
      <c r="D51" s="2" t="str">
        <f>IF(MASTER_AR_REPORT!D105="","",MASTER_AR_REPORT!D105)</f>
        <v>C-SLG/2179/25-26</v>
      </c>
      <c r="E51" s="2" t="str">
        <f>IF(MASTER_AR_REPORT!E105="","",MASTER_AR_REPORT!E105)</f>
        <v>SIDDHARTHA STATIONERY &amp; ELECRTRICAL</v>
      </c>
      <c r="F51" s="3">
        <f>MASTER_AR_REPORT!F105</f>
        <v>5370</v>
      </c>
      <c r="G51" s="12">
        <f>MASTER_AR_REPORT!G105</f>
        <v>46082</v>
      </c>
      <c r="H51" s="3">
        <f>MASTER_AR_REPORT!H105</f>
        <v>0</v>
      </c>
      <c r="I51" s="3">
        <f>MASTER_AR_REPORT!I105</f>
        <v>5370</v>
      </c>
      <c r="J51" s="2">
        <f ca="1">MASTER_AR_REPORT!J105</f>
        <v>82</v>
      </c>
      <c r="K51" s="2" t="str">
        <f ca="1">MASTER_AR_REPORT!K105</f>
        <v>61-90 Days</v>
      </c>
      <c r="L51" s="2" t="str">
        <f ca="1">MASTER_AR_REPORT!L105</f>
        <v>Medium</v>
      </c>
      <c r="M51" s="2" t="str">
        <f ca="1">MASTER_AR_REPORT!M105</f>
        <v>Urgent</v>
      </c>
      <c r="N51" s="2" t="str">
        <f>MASTER_AR_REPORT!N105</f>
        <v>Pending</v>
      </c>
      <c r="O51" s="2">
        <f>MASTER_AR_REPORT!O105</f>
        <v>0</v>
      </c>
    </row>
    <row r="52" spans="1:15">
      <c r="A52" s="5">
        <v>48</v>
      </c>
      <c r="B52" s="5" t="str">
        <f>IF(MASTER_AR_REPORT!B106="","",MASTER_AR_REPORT!B106)</f>
        <v>Praveen</v>
      </c>
      <c r="C52" s="11">
        <f>MASTER_AR_REPORT!C106</f>
        <v>45968</v>
      </c>
      <c r="D52" s="5" t="str">
        <f>IF(MASTER_AR_REPORT!D106="","",MASTER_AR_REPORT!D106)</f>
        <v>C-SLG/1620/25-26</v>
      </c>
      <c r="E52" s="5" t="str">
        <f>IF(MASTER_AR_REPORT!E106="","",MASTER_AR_REPORT!E106)</f>
        <v>SREE VENKATESHWARA PUBLISHERS</v>
      </c>
      <c r="F52" s="6">
        <f>MASTER_AR_REPORT!F106</f>
        <v>5248</v>
      </c>
      <c r="G52" s="11">
        <f>MASTER_AR_REPORT!G106</f>
        <v>45993</v>
      </c>
      <c r="H52" s="6">
        <f>MASTER_AR_REPORT!H106</f>
        <v>0</v>
      </c>
      <c r="I52" s="6">
        <f>MASTER_AR_REPORT!I106</f>
        <v>5248</v>
      </c>
      <c r="J52" s="5">
        <f ca="1">MASTER_AR_REPORT!J106</f>
        <v>171</v>
      </c>
      <c r="K52" s="5" t="str">
        <f ca="1">MASTER_AR_REPORT!K106</f>
        <v>90+ Days</v>
      </c>
      <c r="L52" s="5" t="str">
        <f ca="1">MASTER_AR_REPORT!L106</f>
        <v>HIGH RISK</v>
      </c>
      <c r="M52" s="5" t="str">
        <f ca="1">MASTER_AR_REPORT!M106</f>
        <v>Immediate Action</v>
      </c>
      <c r="N52" s="5" t="str">
        <f>MASTER_AR_REPORT!N106</f>
        <v>Pending</v>
      </c>
      <c r="O52" s="5" t="str">
        <f>MASTER_AR_REPORT!O106</f>
        <v>After 10d Collect Payment</v>
      </c>
    </row>
    <row r="53" spans="1:15">
      <c r="A53" s="2">
        <v>49</v>
      </c>
      <c r="B53" s="2" t="str">
        <f>IF(MASTER_AR_REPORT!B107="","",MASTER_AR_REPORT!B107)</f>
        <v>Praveen</v>
      </c>
      <c r="C53" s="12">
        <f>MASTER_AR_REPORT!C107</f>
        <v>45981</v>
      </c>
      <c r="D53" s="2" t="str">
        <f>IF(MASTER_AR_REPORT!D107="","",MASTER_AR_REPORT!D107)</f>
        <v>C-SLG/1718/25-26</v>
      </c>
      <c r="E53" s="2" t="str">
        <f>IF(MASTER_AR_REPORT!E107="","",MASTER_AR_REPORT!E107)</f>
        <v>SREE VENKATESHWARA PUBLISHERS</v>
      </c>
      <c r="F53" s="3">
        <f>MASTER_AR_REPORT!F107</f>
        <v>1170</v>
      </c>
      <c r="G53" s="12">
        <f>MASTER_AR_REPORT!G107</f>
        <v>46006</v>
      </c>
      <c r="H53" s="3">
        <f>MASTER_AR_REPORT!H107</f>
        <v>0</v>
      </c>
      <c r="I53" s="3">
        <f>MASTER_AR_REPORT!I107</f>
        <v>1170</v>
      </c>
      <c r="J53" s="2">
        <f ca="1">MASTER_AR_REPORT!J107</f>
        <v>158</v>
      </c>
      <c r="K53" s="2" t="str">
        <f ca="1">MASTER_AR_REPORT!K107</f>
        <v>90+ Days</v>
      </c>
      <c r="L53" s="2" t="str">
        <f ca="1">MASTER_AR_REPORT!L107</f>
        <v>HIGH RISK</v>
      </c>
      <c r="M53" s="2" t="str">
        <f ca="1">MASTER_AR_REPORT!M107</f>
        <v>Immediate Action</v>
      </c>
      <c r="N53" s="2" t="str">
        <f>MASTER_AR_REPORT!N107</f>
        <v>Pending</v>
      </c>
      <c r="O53" s="2" t="str">
        <f>MASTER_AR_REPORT!O107</f>
        <v>After 10d Collect Payment</v>
      </c>
    </row>
    <row r="54" spans="1:15">
      <c r="A54" s="5">
        <v>50</v>
      </c>
      <c r="B54" s="5" t="str">
        <f>IF(MASTER_AR_REPORT!B108="","",MASTER_AR_REPORT!B108)</f>
        <v>Praveen</v>
      </c>
      <c r="C54" s="11">
        <f>MASTER_AR_REPORT!C108</f>
        <v>45987</v>
      </c>
      <c r="D54" s="5" t="str">
        <f>IF(MASTER_AR_REPORT!D108="","",MASTER_AR_REPORT!D108)</f>
        <v>C-SLG/1773/25-26</v>
      </c>
      <c r="E54" s="5" t="str">
        <f>IF(MASTER_AR_REPORT!E108="","",MASTER_AR_REPORT!E108)</f>
        <v>SREE VENKATESHWARA PUBLISHERS</v>
      </c>
      <c r="F54" s="6">
        <f>MASTER_AR_REPORT!F108</f>
        <v>6342</v>
      </c>
      <c r="G54" s="11">
        <f>MASTER_AR_REPORT!G108</f>
        <v>46012</v>
      </c>
      <c r="H54" s="6">
        <f>MASTER_AR_REPORT!H108</f>
        <v>0</v>
      </c>
      <c r="I54" s="6">
        <f>MASTER_AR_REPORT!I108</f>
        <v>6342</v>
      </c>
      <c r="J54" s="5">
        <f ca="1">MASTER_AR_REPORT!J108</f>
        <v>152</v>
      </c>
      <c r="K54" s="5" t="str">
        <f ca="1">MASTER_AR_REPORT!K108</f>
        <v>90+ Days</v>
      </c>
      <c r="L54" s="5" t="str">
        <f ca="1">MASTER_AR_REPORT!L108</f>
        <v>HIGH RISK</v>
      </c>
      <c r="M54" s="5" t="str">
        <f ca="1">MASTER_AR_REPORT!M108</f>
        <v>Immediate Action</v>
      </c>
      <c r="N54" s="5" t="str">
        <f>MASTER_AR_REPORT!N108</f>
        <v>Pending</v>
      </c>
      <c r="O54" s="5" t="str">
        <f>MASTER_AR_REPORT!O108</f>
        <v>After 10d Collect Payment</v>
      </c>
    </row>
    <row r="55" spans="1:15">
      <c r="A55" s="2">
        <v>51</v>
      </c>
      <c r="B55" s="2" t="str">
        <f>IF(MASTER_AR_REPORT!B109="","",MASTER_AR_REPORT!B109)</f>
        <v>Praveen</v>
      </c>
      <c r="C55" s="12">
        <f>MASTER_AR_REPORT!C109</f>
        <v>46049</v>
      </c>
      <c r="D55" s="2" t="str">
        <f>IF(MASTER_AR_REPORT!D109="","",MASTER_AR_REPORT!D109)</f>
        <v>C-SLG/2108/25-26</v>
      </c>
      <c r="E55" s="2" t="str">
        <f>IF(MASTER_AR_REPORT!E109="","",MASTER_AR_REPORT!E109)</f>
        <v>SREE VENKATESHWARA PUBLISHERS</v>
      </c>
      <c r="F55" s="3">
        <f>MASTER_AR_REPORT!F109</f>
        <v>47824</v>
      </c>
      <c r="G55" s="12">
        <f>MASTER_AR_REPORT!G109</f>
        <v>46074</v>
      </c>
      <c r="H55" s="3">
        <f>MASTER_AR_REPORT!H109</f>
        <v>0</v>
      </c>
      <c r="I55" s="3">
        <f>MASTER_AR_REPORT!I109</f>
        <v>47824</v>
      </c>
      <c r="J55" s="2">
        <f ca="1">MASTER_AR_REPORT!J109</f>
        <v>90</v>
      </c>
      <c r="K55" s="2" t="str">
        <f ca="1">MASTER_AR_REPORT!K109</f>
        <v>61-90 Days</v>
      </c>
      <c r="L55" s="2" t="str">
        <f ca="1">MASTER_AR_REPORT!L109</f>
        <v>Medium</v>
      </c>
      <c r="M55" s="2" t="str">
        <f ca="1">MASTER_AR_REPORT!M109</f>
        <v>Urgent</v>
      </c>
      <c r="N55" s="2" t="str">
        <f>MASTER_AR_REPORT!N109</f>
        <v>Pending</v>
      </c>
      <c r="O55" s="2" t="str">
        <f>MASTER_AR_REPORT!O109</f>
        <v>After 10d Collect Payment</v>
      </c>
    </row>
    <row r="56" spans="1:15">
      <c r="A56" s="5">
        <v>52</v>
      </c>
      <c r="B56" s="5" t="str">
        <f>IF(MASTER_AR_REPORT!B110="","",MASTER_AR_REPORT!B110)</f>
        <v>Praveen</v>
      </c>
      <c r="C56" s="11">
        <f>MASTER_AR_REPORT!C110</f>
        <v>46052</v>
      </c>
      <c r="D56" s="5" t="str">
        <f>IF(MASTER_AR_REPORT!D110="","",MASTER_AR_REPORT!D110)</f>
        <v>C-SLG/2148/25-26</v>
      </c>
      <c r="E56" s="5" t="str">
        <f>IF(MASTER_AR_REPORT!E110="","",MASTER_AR_REPORT!E110)</f>
        <v>SRI RAKHI BOOK CENTER</v>
      </c>
      <c r="F56" s="6">
        <f>MASTER_AR_REPORT!F110</f>
        <v>25760</v>
      </c>
      <c r="G56" s="11">
        <f>MASTER_AR_REPORT!G110</f>
        <v>46077</v>
      </c>
      <c r="H56" s="6">
        <f>MASTER_AR_REPORT!H110</f>
        <v>0</v>
      </c>
      <c r="I56" s="6">
        <f>MASTER_AR_REPORT!I110</f>
        <v>25760</v>
      </c>
      <c r="J56" s="5">
        <f ca="1">MASTER_AR_REPORT!J110</f>
        <v>87</v>
      </c>
      <c r="K56" s="5" t="str">
        <f ca="1">MASTER_AR_REPORT!K110</f>
        <v>61-90 Days</v>
      </c>
      <c r="L56" s="5" t="str">
        <f ca="1">MASTER_AR_REPORT!L110</f>
        <v>Medium</v>
      </c>
      <c r="M56" s="5" t="str">
        <f ca="1">MASTER_AR_REPORT!M110</f>
        <v>Urgent</v>
      </c>
      <c r="N56" s="5" t="str">
        <f>MASTER_AR_REPORT!N110</f>
        <v>Pending</v>
      </c>
      <c r="O56" s="5">
        <f>MASTER_AR_REPORT!O110</f>
        <v>0</v>
      </c>
    </row>
    <row r="57" spans="1:15">
      <c r="A57" s="2">
        <v>53</v>
      </c>
      <c r="B57" s="2" t="str">
        <f>IF(MASTER_AR_REPORT!B111="","",MASTER_AR_REPORT!B111)</f>
        <v>Praveen</v>
      </c>
      <c r="C57" s="12">
        <f>MASTER_AR_REPORT!C111</f>
        <v>46007</v>
      </c>
      <c r="D57" s="2" t="str">
        <f>IF(MASTER_AR_REPORT!D111="","",MASTER_AR_REPORT!D111)</f>
        <v>C-SLG/1902/25-26</v>
      </c>
      <c r="E57" s="2" t="str">
        <f>IF(MASTER_AR_REPORT!E111="","",MASTER_AR_REPORT!E111)</f>
        <v>Sri Shyam Enterprises</v>
      </c>
      <c r="F57" s="3">
        <f>MASTER_AR_REPORT!F111</f>
        <v>100</v>
      </c>
      <c r="G57" s="12">
        <f>MASTER_AR_REPORT!G111</f>
        <v>46032</v>
      </c>
      <c r="H57" s="3">
        <f>MASTER_AR_REPORT!H111</f>
        <v>0</v>
      </c>
      <c r="I57" s="3">
        <f>MASTER_AR_REPORT!I111</f>
        <v>100</v>
      </c>
      <c r="J57" s="2">
        <f ca="1">MASTER_AR_REPORT!J111</f>
        <v>132</v>
      </c>
      <c r="K57" s="2" t="str">
        <f ca="1">MASTER_AR_REPORT!K111</f>
        <v>90+ Days</v>
      </c>
      <c r="L57" s="2" t="str">
        <f ca="1">MASTER_AR_REPORT!L111</f>
        <v>HIGH RISK</v>
      </c>
      <c r="M57" s="2" t="str">
        <f ca="1">MASTER_AR_REPORT!M111</f>
        <v>Immediate Action</v>
      </c>
      <c r="N57" s="2" t="str">
        <f>MASTER_AR_REPORT!N111</f>
        <v>Pending</v>
      </c>
      <c r="O57" s="2">
        <f>MASTER_AR_REPORT!O111</f>
        <v>0</v>
      </c>
    </row>
    <row r="58" spans="1:15">
      <c r="A58" s="5">
        <v>54</v>
      </c>
      <c r="B58" s="5" t="str">
        <f>IF(MASTER_AR_REPORT!B112="","",MASTER_AR_REPORT!B112)</f>
        <v>Praveen</v>
      </c>
      <c r="C58" s="11">
        <f>MASTER_AR_REPORT!C112</f>
        <v>46129</v>
      </c>
      <c r="D58" s="5" t="str">
        <f>IF(MASTER_AR_REPORT!D112="","",MASTER_AR_REPORT!D112)</f>
        <v>C-SLG/0050/26-27</v>
      </c>
      <c r="E58" s="5" t="str">
        <f>IF(MASTER_AR_REPORT!E112="","",MASTER_AR_REPORT!E112)</f>
        <v>SRI VENKTESHWARA BOOK HOUSE</v>
      </c>
      <c r="F58" s="6">
        <f>MASTER_AR_REPORT!F112</f>
        <v>5517</v>
      </c>
      <c r="G58" s="11">
        <f>MASTER_AR_REPORT!G112</f>
        <v>46154</v>
      </c>
      <c r="H58" s="6">
        <f>MASTER_AR_REPORT!H112</f>
        <v>0</v>
      </c>
      <c r="I58" s="6">
        <f>MASTER_AR_REPORT!I112</f>
        <v>5517</v>
      </c>
      <c r="J58" s="5">
        <f ca="1">MASTER_AR_REPORT!J112</f>
        <v>10</v>
      </c>
      <c r="K58" s="5" t="str">
        <f ca="1">MASTER_AR_REPORT!K112</f>
        <v>0-30 Days</v>
      </c>
      <c r="L58" s="5" t="str">
        <f ca="1">MASTER_AR_REPORT!L112</f>
        <v>Low</v>
      </c>
      <c r="M58" s="5" t="str">
        <f ca="1">MASTER_AR_REPORT!M112</f>
        <v>Normal</v>
      </c>
      <c r="N58" s="5" t="str">
        <f>MASTER_AR_REPORT!N112</f>
        <v>Pending</v>
      </c>
      <c r="O58" s="5">
        <f>MASTER_AR_REPORT!O112</f>
        <v>0</v>
      </c>
    </row>
    <row r="59" spans="1:15">
      <c r="A59" s="2">
        <v>55</v>
      </c>
      <c r="B59" s="2" t="str">
        <f>IF(MASTER_AR_REPORT!B113="","",MASTER_AR_REPORT!B113)</f>
        <v>Praveen</v>
      </c>
      <c r="C59" s="12">
        <f>MASTER_AR_REPORT!C113</f>
        <v>46105</v>
      </c>
      <c r="D59" s="2" t="str">
        <f>IF(MASTER_AR_REPORT!D113="","",MASTER_AR_REPORT!D113)</f>
        <v>C-SLG/2425/25-26</v>
      </c>
      <c r="E59" s="2" t="str">
        <f>IF(MASTER_AR_REPORT!E113="","",MASTER_AR_REPORT!E113)</f>
        <v>SRI VIDYA SARASWATI COLLECTION</v>
      </c>
      <c r="F59" s="3">
        <f>MASTER_AR_REPORT!F113</f>
        <v>12031</v>
      </c>
      <c r="G59" s="12">
        <f>MASTER_AR_REPORT!G113</f>
        <v>46130</v>
      </c>
      <c r="H59" s="3">
        <f>MASTER_AR_REPORT!H113</f>
        <v>0</v>
      </c>
      <c r="I59" s="3">
        <f>MASTER_AR_REPORT!I113</f>
        <v>12031</v>
      </c>
      <c r="J59" s="2">
        <f ca="1">MASTER_AR_REPORT!J113</f>
        <v>34</v>
      </c>
      <c r="K59" s="2" t="str">
        <f ca="1">MASTER_AR_REPORT!K113</f>
        <v>31-60 Days</v>
      </c>
      <c r="L59" s="2" t="str">
        <f ca="1">MASTER_AR_REPORT!L113</f>
        <v>Low-Medium</v>
      </c>
      <c r="M59" s="2" t="str">
        <f ca="1">MASTER_AR_REPORT!M113</f>
        <v>Medium</v>
      </c>
      <c r="N59" s="2" t="str">
        <f>MASTER_AR_REPORT!N113</f>
        <v>Pending</v>
      </c>
      <c r="O59" s="2" t="str">
        <f>MASTER_AR_REPORT!O113</f>
        <v xml:space="preserve">Not Called </v>
      </c>
    </row>
    <row r="60" spans="1:15">
      <c r="A60" s="5">
        <v>56</v>
      </c>
      <c r="B60" s="5" t="str">
        <f>IF(MASTER_AR_REPORT!B114="","",MASTER_AR_REPORT!B114)</f>
        <v>Praveen</v>
      </c>
      <c r="C60" s="11">
        <f>MASTER_AR_REPORT!C114</f>
        <v>46122</v>
      </c>
      <c r="D60" s="5" t="str">
        <f>IF(MASTER_AR_REPORT!D114="","",MASTER_AR_REPORT!D114)</f>
        <v>C-SLG/0027/26-27</v>
      </c>
      <c r="E60" s="5" t="str">
        <f>IF(MASTER_AR_REPORT!E114="","",MASTER_AR_REPORT!E114)</f>
        <v>SRI VIDYA SARASWATI COLLECTION</v>
      </c>
      <c r="F60" s="6">
        <f>MASTER_AR_REPORT!F114</f>
        <v>6100</v>
      </c>
      <c r="G60" s="11">
        <f>MASTER_AR_REPORT!G114</f>
        <v>46147</v>
      </c>
      <c r="H60" s="6">
        <f>MASTER_AR_REPORT!H114</f>
        <v>0</v>
      </c>
      <c r="I60" s="6">
        <f>MASTER_AR_REPORT!I114</f>
        <v>6100</v>
      </c>
      <c r="J60" s="5">
        <f ca="1">MASTER_AR_REPORT!J114</f>
        <v>17</v>
      </c>
      <c r="K60" s="5" t="str">
        <f ca="1">MASTER_AR_REPORT!K114</f>
        <v>0-30 Days</v>
      </c>
      <c r="L60" s="5" t="str">
        <f ca="1">MASTER_AR_REPORT!L114</f>
        <v>Low</v>
      </c>
      <c r="M60" s="5" t="str">
        <f ca="1">MASTER_AR_REPORT!M114</f>
        <v>Normal</v>
      </c>
      <c r="N60" s="5" t="str">
        <f>MASTER_AR_REPORT!N114</f>
        <v>Pending</v>
      </c>
      <c r="O60" s="5" t="str">
        <f>MASTER_AR_REPORT!O114</f>
        <v xml:space="preserve">Not Called </v>
      </c>
    </row>
    <row r="61" spans="1:15">
      <c r="A61" s="2">
        <v>57</v>
      </c>
      <c r="B61" s="2" t="str">
        <f>IF(MASTER_AR_REPORT!B115="","",MASTER_AR_REPORT!B115)</f>
        <v>Praveen</v>
      </c>
      <c r="C61" s="12">
        <f>MASTER_AR_REPORT!C115</f>
        <v>46137</v>
      </c>
      <c r="D61" s="2" t="str">
        <f>IF(MASTER_AR_REPORT!D115="","",MASTER_AR_REPORT!D115)</f>
        <v>C-SLG/0070/26-27</v>
      </c>
      <c r="E61" s="2" t="str">
        <f>IF(MASTER_AR_REPORT!E115="","",MASTER_AR_REPORT!E115)</f>
        <v>SRI VIDYA SARASWATI COLLECTION</v>
      </c>
      <c r="F61" s="3">
        <f>MASTER_AR_REPORT!F115</f>
        <v>3812</v>
      </c>
      <c r="G61" s="12">
        <f>MASTER_AR_REPORT!G115</f>
        <v>46162</v>
      </c>
      <c r="H61" s="3">
        <f>MASTER_AR_REPORT!H115</f>
        <v>0</v>
      </c>
      <c r="I61" s="3">
        <f>MASTER_AR_REPORT!I115</f>
        <v>3812</v>
      </c>
      <c r="J61" s="2">
        <f ca="1">MASTER_AR_REPORT!J115</f>
        <v>2</v>
      </c>
      <c r="K61" s="2" t="str">
        <f ca="1">MASTER_AR_REPORT!K115</f>
        <v>0-30 Days</v>
      </c>
      <c r="L61" s="2" t="str">
        <f ca="1">MASTER_AR_REPORT!L115</f>
        <v>Low</v>
      </c>
      <c r="M61" s="2" t="str">
        <f ca="1">MASTER_AR_REPORT!M115</f>
        <v>Normal</v>
      </c>
      <c r="N61" s="2" t="str">
        <f>MASTER_AR_REPORT!N115</f>
        <v>Pending</v>
      </c>
      <c r="O61" s="2">
        <f>MASTER_AR_REPORT!O115</f>
        <v>0</v>
      </c>
    </row>
    <row r="62" spans="1:15">
      <c r="A62" s="5">
        <v>58</v>
      </c>
      <c r="B62" s="5" t="str">
        <f>IF(MASTER_AR_REPORT!B116="","",MASTER_AR_REPORT!B116)</f>
        <v>Praveen</v>
      </c>
      <c r="C62" s="11">
        <f>MASTER_AR_REPORT!C116</f>
        <v>46059</v>
      </c>
      <c r="D62" s="5" t="str">
        <f>IF(MASTER_AR_REPORT!D116="","",MASTER_AR_REPORT!D116)</f>
        <v>C-SLG/2197/25-26</v>
      </c>
      <c r="E62" s="5" t="str">
        <f>IF(MASTER_AR_REPORT!E116="","",MASTER_AR_REPORT!E116)</f>
        <v>Stationey Xerox</v>
      </c>
      <c r="F62" s="6">
        <f>MASTER_AR_REPORT!F116</f>
        <v>19279</v>
      </c>
      <c r="G62" s="11">
        <f>MASTER_AR_REPORT!G116</f>
        <v>46084</v>
      </c>
      <c r="H62" s="6">
        <f>MASTER_AR_REPORT!H116</f>
        <v>0</v>
      </c>
      <c r="I62" s="6">
        <f>MASTER_AR_REPORT!I116</f>
        <v>19279</v>
      </c>
      <c r="J62" s="5">
        <f ca="1">MASTER_AR_REPORT!J116</f>
        <v>80</v>
      </c>
      <c r="K62" s="5" t="str">
        <f ca="1">MASTER_AR_REPORT!K116</f>
        <v>61-90 Days</v>
      </c>
      <c r="L62" s="5" t="str">
        <f ca="1">MASTER_AR_REPORT!L116</f>
        <v>Medium</v>
      </c>
      <c r="M62" s="5" t="str">
        <f ca="1">MASTER_AR_REPORT!M116</f>
        <v>Urgent</v>
      </c>
      <c r="N62" s="5" t="str">
        <f>MASTER_AR_REPORT!N116</f>
        <v>Pending</v>
      </c>
      <c r="O62" s="5">
        <f>MASTER_AR_REPORT!O116</f>
        <v>0</v>
      </c>
    </row>
    <row r="63" spans="1:15">
      <c r="A63" s="2">
        <v>59</v>
      </c>
      <c r="B63" s="2" t="str">
        <f>IF(MASTER_AR_REPORT!B117="","",MASTER_AR_REPORT!B117)</f>
        <v>Praveen</v>
      </c>
      <c r="C63" s="12">
        <f>MASTER_AR_REPORT!C117</f>
        <v>46105</v>
      </c>
      <c r="D63" s="2" t="str">
        <f>IF(MASTER_AR_REPORT!D117="","",MASTER_AR_REPORT!D117)</f>
        <v>C-SLG/2430/25-26</v>
      </c>
      <c r="E63" s="2" t="str">
        <f>IF(MASTER_AR_REPORT!E117="","",MASTER_AR_REPORT!E117)</f>
        <v>THE DECCAN PEN STORE</v>
      </c>
      <c r="F63" s="3">
        <f>MASTER_AR_REPORT!F117</f>
        <v>3988</v>
      </c>
      <c r="G63" s="12">
        <f>MASTER_AR_REPORT!G117</f>
        <v>46130</v>
      </c>
      <c r="H63" s="3">
        <f>MASTER_AR_REPORT!H117</f>
        <v>0</v>
      </c>
      <c r="I63" s="3">
        <f>MASTER_AR_REPORT!I117</f>
        <v>3988</v>
      </c>
      <c r="J63" s="2">
        <f ca="1">MASTER_AR_REPORT!J117</f>
        <v>34</v>
      </c>
      <c r="K63" s="2" t="str">
        <f ca="1">MASTER_AR_REPORT!K117</f>
        <v>31-60 Days</v>
      </c>
      <c r="L63" s="2" t="str">
        <f ca="1">MASTER_AR_REPORT!L117</f>
        <v>Low-Medium</v>
      </c>
      <c r="M63" s="2" t="str">
        <f ca="1">MASTER_AR_REPORT!M117</f>
        <v>Medium</v>
      </c>
      <c r="N63" s="2" t="str">
        <f>MASTER_AR_REPORT!N117</f>
        <v>Pending</v>
      </c>
      <c r="O63" s="2">
        <f>MASTER_AR_REPORT!O117</f>
        <v>0</v>
      </c>
    </row>
    <row r="64" spans="1:15">
      <c r="A64" s="5">
        <v>60</v>
      </c>
      <c r="B64" s="5" t="str">
        <f>IF(MASTER_AR_REPORT!B118="","",MASTER_AR_REPORT!B118)</f>
        <v>Praveen</v>
      </c>
      <c r="C64" s="11">
        <f>MASTER_AR_REPORT!C118</f>
        <v>46121</v>
      </c>
      <c r="D64" s="5" t="str">
        <f>IF(MASTER_AR_REPORT!D118="","",MASTER_AR_REPORT!D118)</f>
        <v>C-SLG/002/26-27</v>
      </c>
      <c r="E64" s="5" t="str">
        <f>IF(MASTER_AR_REPORT!E118="","",MASTER_AR_REPORT!E118)</f>
        <v>THE DECCAN PEN STORE</v>
      </c>
      <c r="F64" s="6">
        <f>MASTER_AR_REPORT!F118</f>
        <v>2021</v>
      </c>
      <c r="G64" s="11">
        <f>MASTER_AR_REPORT!G118</f>
        <v>46146</v>
      </c>
      <c r="H64" s="6">
        <f>MASTER_AR_REPORT!H118</f>
        <v>0</v>
      </c>
      <c r="I64" s="6">
        <f>MASTER_AR_REPORT!I118</f>
        <v>2021</v>
      </c>
      <c r="J64" s="5">
        <f ca="1">MASTER_AR_REPORT!J118</f>
        <v>18</v>
      </c>
      <c r="K64" s="5" t="str">
        <f ca="1">MASTER_AR_REPORT!K118</f>
        <v>0-30 Days</v>
      </c>
      <c r="L64" s="5" t="str">
        <f ca="1">MASTER_AR_REPORT!L118</f>
        <v>Low</v>
      </c>
      <c r="M64" s="5" t="str">
        <f ca="1">MASTER_AR_REPORT!M118</f>
        <v>Normal</v>
      </c>
      <c r="N64" s="5" t="str">
        <f>MASTER_AR_REPORT!N118</f>
        <v>Pending</v>
      </c>
      <c r="O64" s="5">
        <f>MASTER_AR_REPORT!O118</f>
        <v>0</v>
      </c>
    </row>
    <row r="65" spans="1:15">
      <c r="A65" s="2">
        <v>61</v>
      </c>
      <c r="B65" s="2" t="str">
        <f>IF(MASTER_AR_REPORT!B119="","",MASTER_AR_REPORT!B119)</f>
        <v>Praveen</v>
      </c>
      <c r="C65" s="12">
        <f>MASTER_AR_REPORT!C119</f>
        <v>46107</v>
      </c>
      <c r="D65" s="2" t="str">
        <f>IF(MASTER_AR_REPORT!D119="","",MASTER_AR_REPORT!D119)</f>
        <v>C-SLG/2445/25-26</v>
      </c>
      <c r="E65" s="2" t="str">
        <f>IF(MASTER_AR_REPORT!E119="","",MASTER_AR_REPORT!E119)</f>
        <v>TRIBHUVAN BOOKS &amp; STATIONERY</v>
      </c>
      <c r="F65" s="3">
        <f>MASTER_AR_REPORT!F119</f>
        <v>28248</v>
      </c>
      <c r="G65" s="12">
        <f>MASTER_AR_REPORT!G119</f>
        <v>46132</v>
      </c>
      <c r="H65" s="3">
        <f>MASTER_AR_REPORT!H119</f>
        <v>0</v>
      </c>
      <c r="I65" s="3">
        <f>MASTER_AR_REPORT!I119</f>
        <v>28248</v>
      </c>
      <c r="J65" s="2">
        <f ca="1">MASTER_AR_REPORT!J119</f>
        <v>32</v>
      </c>
      <c r="K65" s="2" t="str">
        <f ca="1">MASTER_AR_REPORT!K119</f>
        <v>31-60 Days</v>
      </c>
      <c r="L65" s="2" t="str">
        <f ca="1">MASTER_AR_REPORT!L119</f>
        <v>Low-Medium</v>
      </c>
      <c r="M65" s="2" t="str">
        <f ca="1">MASTER_AR_REPORT!M119</f>
        <v>Medium</v>
      </c>
      <c r="N65" s="2" t="str">
        <f>MASTER_AR_REPORT!N119</f>
        <v>Pending</v>
      </c>
      <c r="O65" s="2">
        <f>MASTER_AR_REPORT!O119</f>
        <v>0</v>
      </c>
    </row>
    <row r="66" spans="1:15">
      <c r="A66" s="5">
        <v>62</v>
      </c>
      <c r="B66" s="5" t="str">
        <f>IF(MASTER_AR_REPORT!B120="","",MASTER_AR_REPORT!B120)</f>
        <v>Praveen</v>
      </c>
      <c r="C66" s="11">
        <f>MASTER_AR_REPORT!C120</f>
        <v>46130</v>
      </c>
      <c r="D66" s="5" t="str">
        <f>IF(MASTER_AR_REPORT!D120="","",MASTER_AR_REPORT!D120)</f>
        <v>C-SLG/0055/26-27</v>
      </c>
      <c r="E66" s="5" t="str">
        <f>IF(MASTER_AR_REPORT!E120="","",MASTER_AR_REPORT!E120)</f>
        <v>T.V Gupta</v>
      </c>
      <c r="F66" s="6">
        <f>MASTER_AR_REPORT!F120</f>
        <v>3176</v>
      </c>
      <c r="G66" s="11">
        <f>MASTER_AR_REPORT!G120</f>
        <v>46155</v>
      </c>
      <c r="H66" s="6">
        <f>MASTER_AR_REPORT!H120</f>
        <v>0</v>
      </c>
      <c r="I66" s="6">
        <f>MASTER_AR_REPORT!I120</f>
        <v>3176</v>
      </c>
      <c r="J66" s="5">
        <f ca="1">MASTER_AR_REPORT!J120</f>
        <v>9</v>
      </c>
      <c r="K66" s="5" t="str">
        <f ca="1">MASTER_AR_REPORT!K120</f>
        <v>0-30 Days</v>
      </c>
      <c r="L66" s="5" t="str">
        <f ca="1">MASTER_AR_REPORT!L120</f>
        <v>Low</v>
      </c>
      <c r="M66" s="5" t="str">
        <f ca="1">MASTER_AR_REPORT!M120</f>
        <v>Normal</v>
      </c>
      <c r="N66" s="5" t="str">
        <f>MASTER_AR_REPORT!N120</f>
        <v>Pending</v>
      </c>
      <c r="O66" s="5">
        <f>MASTER_AR_REPORT!O120</f>
        <v>0</v>
      </c>
    </row>
    <row r="67" spans="1:15">
      <c r="A67" s="2">
        <v>63</v>
      </c>
      <c r="B67" s="2" t="str">
        <f>IF(MASTER_AR_REPORT!B121="","",MASTER_AR_REPORT!B121)</f>
        <v>Praveen</v>
      </c>
      <c r="C67" s="12">
        <f>MASTER_AR_REPORT!C121</f>
        <v>46134</v>
      </c>
      <c r="D67" s="2" t="str">
        <f>IF(MASTER_AR_REPORT!D121="","",MASTER_AR_REPORT!D121)</f>
        <v>C-SLG/0063/26-27</v>
      </c>
      <c r="E67" s="2" t="str">
        <f>IF(MASTER_AR_REPORT!E121="","",MASTER_AR_REPORT!E121)</f>
        <v>United Paper &amp; Stationery</v>
      </c>
      <c r="F67" s="3">
        <f>MASTER_AR_REPORT!F121</f>
        <v>458</v>
      </c>
      <c r="G67" s="12">
        <f>MASTER_AR_REPORT!G121</f>
        <v>46159</v>
      </c>
      <c r="H67" s="3">
        <f>MASTER_AR_REPORT!H121</f>
        <v>0</v>
      </c>
      <c r="I67" s="3">
        <f>MASTER_AR_REPORT!I121</f>
        <v>458</v>
      </c>
      <c r="J67" s="2">
        <f ca="1">MASTER_AR_REPORT!J121</f>
        <v>5</v>
      </c>
      <c r="K67" s="2" t="str">
        <f ca="1">MASTER_AR_REPORT!K121</f>
        <v>0-30 Days</v>
      </c>
      <c r="L67" s="2" t="str">
        <f ca="1">MASTER_AR_REPORT!L121</f>
        <v>Low</v>
      </c>
      <c r="M67" s="2" t="str">
        <f ca="1">MASTER_AR_REPORT!M121</f>
        <v>Normal</v>
      </c>
      <c r="N67" s="2" t="str">
        <f>MASTER_AR_REPORT!N121</f>
        <v>Pending</v>
      </c>
      <c r="O67" s="2">
        <f>MASTER_AR_REPORT!O121</f>
        <v>0</v>
      </c>
    </row>
    <row r="68" spans="1:15">
      <c r="A68" s="5">
        <v>64</v>
      </c>
      <c r="B68" s="5" t="str">
        <f>IF(MASTER_AR_REPORT!B122="","",MASTER_AR_REPORT!B122)</f>
        <v>Praveen</v>
      </c>
      <c r="C68" s="11">
        <f>MASTER_AR_REPORT!C122</f>
        <v>45965</v>
      </c>
      <c r="D68" s="5" t="str">
        <f>IF(MASTER_AR_REPORT!D122="","",MASTER_AR_REPORT!D122)</f>
        <v>C-SLG/1597/25-26</v>
      </c>
      <c r="E68" s="5" t="str">
        <f>IF(MASTER_AR_REPORT!E122="","",MASTER_AR_REPORT!E122)</f>
        <v>Universal Book Shop</v>
      </c>
      <c r="F68" s="6">
        <f>MASTER_AR_REPORT!F122</f>
        <v>9357</v>
      </c>
      <c r="G68" s="11">
        <f>MASTER_AR_REPORT!G122</f>
        <v>45990</v>
      </c>
      <c r="H68" s="6">
        <f>MASTER_AR_REPORT!H122</f>
        <v>0</v>
      </c>
      <c r="I68" s="6">
        <f>MASTER_AR_REPORT!I122</f>
        <v>9357</v>
      </c>
      <c r="J68" s="5">
        <f ca="1">MASTER_AR_REPORT!J122</f>
        <v>174</v>
      </c>
      <c r="K68" s="5" t="str">
        <f ca="1">MASTER_AR_REPORT!K122</f>
        <v>90+ Days</v>
      </c>
      <c r="L68" s="5" t="str">
        <f ca="1">MASTER_AR_REPORT!L122</f>
        <v>HIGH RISK</v>
      </c>
      <c r="M68" s="5" t="str">
        <f ca="1">MASTER_AR_REPORT!M122</f>
        <v>Immediate Action</v>
      </c>
      <c r="N68" s="5" t="str">
        <f>MASTER_AR_REPORT!N122</f>
        <v>Pending</v>
      </c>
      <c r="O68" s="5" t="str">
        <f>MASTER_AR_REPORT!O122</f>
        <v>He will Pay in 2 days</v>
      </c>
    </row>
    <row r="69" spans="1:15">
      <c r="A69" s="2">
        <v>65</v>
      </c>
      <c r="B69" s="2" t="str">
        <f>IF(MASTER_AR_REPORT!B123="","",MASTER_AR_REPORT!B123)</f>
        <v>Praveen</v>
      </c>
      <c r="C69" s="12">
        <f>MASTER_AR_REPORT!C123</f>
        <v>46021</v>
      </c>
      <c r="D69" s="2" t="str">
        <f>IF(MASTER_AR_REPORT!D123="","",MASTER_AR_REPORT!D123)</f>
        <v>C-SLG/2013/25-26</v>
      </c>
      <c r="E69" s="2" t="str">
        <f>IF(MASTER_AR_REPORT!E123="","",MASTER_AR_REPORT!E123)</f>
        <v>Universal Book Shop</v>
      </c>
      <c r="F69" s="3">
        <f>MASTER_AR_REPORT!F123</f>
        <v>643</v>
      </c>
      <c r="G69" s="12">
        <f>MASTER_AR_REPORT!G123</f>
        <v>46046</v>
      </c>
      <c r="H69" s="3">
        <f>MASTER_AR_REPORT!H123</f>
        <v>0</v>
      </c>
      <c r="I69" s="3">
        <f>MASTER_AR_REPORT!I123</f>
        <v>643</v>
      </c>
      <c r="J69" s="2">
        <f ca="1">MASTER_AR_REPORT!J123</f>
        <v>118</v>
      </c>
      <c r="K69" s="2" t="str">
        <f ca="1">MASTER_AR_REPORT!K123</f>
        <v>90+ Days</v>
      </c>
      <c r="L69" s="2" t="str">
        <f ca="1">MASTER_AR_REPORT!L123</f>
        <v>HIGH RISK</v>
      </c>
      <c r="M69" s="2" t="str">
        <f ca="1">MASTER_AR_REPORT!M123</f>
        <v>Immediate Action</v>
      </c>
      <c r="N69" s="2" t="str">
        <f>MASTER_AR_REPORT!N123</f>
        <v>Pending</v>
      </c>
      <c r="O69" s="2">
        <f>MASTER_AR_REPORT!O123</f>
        <v>0</v>
      </c>
    </row>
    <row r="70" spans="1:15">
      <c r="A70" s="5">
        <v>66</v>
      </c>
      <c r="B70" s="5" t="str">
        <f>IF(MASTER_AR_REPORT!B124="","",MASTER_AR_REPORT!B124)</f>
        <v>Praveen</v>
      </c>
      <c r="C70" s="11">
        <f>MASTER_AR_REPORT!C124</f>
        <v>46099</v>
      </c>
      <c r="D70" s="5" t="str">
        <f>IF(MASTER_AR_REPORT!D124="","",MASTER_AR_REPORT!D124)</f>
        <v>C-SLG/2408/25-26</v>
      </c>
      <c r="E70" s="5" t="str">
        <f>IF(MASTER_AR_REPORT!E124="","",MASTER_AR_REPORT!E124)</f>
        <v>Vidya Book Poin't</v>
      </c>
      <c r="F70" s="6">
        <f>MASTER_AR_REPORT!F124</f>
        <v>12623</v>
      </c>
      <c r="G70" s="11">
        <f>MASTER_AR_REPORT!G124</f>
        <v>46124</v>
      </c>
      <c r="H70" s="6">
        <f>MASTER_AR_REPORT!H124</f>
        <v>0</v>
      </c>
      <c r="I70" s="6">
        <f>MASTER_AR_REPORT!I124</f>
        <v>12623</v>
      </c>
      <c r="J70" s="5">
        <f ca="1">MASTER_AR_REPORT!J124</f>
        <v>40</v>
      </c>
      <c r="K70" s="5" t="str">
        <f ca="1">MASTER_AR_REPORT!K124</f>
        <v>31-60 Days</v>
      </c>
      <c r="L70" s="5" t="str">
        <f ca="1">MASTER_AR_REPORT!L124</f>
        <v>Low-Medium</v>
      </c>
      <c r="M70" s="5" t="str">
        <f ca="1">MASTER_AR_REPORT!M124</f>
        <v>Medium</v>
      </c>
      <c r="N70" s="5" t="str">
        <f>MASTER_AR_REPORT!N124</f>
        <v>Pending</v>
      </c>
      <c r="O70" s="5">
        <f>MASTER_AR_REPORT!O124</f>
        <v>0</v>
      </c>
    </row>
    <row r="71" spans="1:15">
      <c r="A71" s="2">
        <v>67</v>
      </c>
      <c r="B71" s="2" t="str">
        <f>IF(MASTER_AR_REPORT!B125="","",MASTER_AR_REPORT!B125)</f>
        <v>Praveen</v>
      </c>
      <c r="C71" s="12">
        <f>MASTER_AR_REPORT!C125</f>
        <v>46059</v>
      </c>
      <c r="D71" s="2" t="str">
        <f>IF(MASTER_AR_REPORT!D125="","",MASTER_AR_REPORT!D125)</f>
        <v>C-SLG/2187/25-26</v>
      </c>
      <c r="E71" s="2" t="str">
        <f>IF(MASTER_AR_REPORT!E125="","",MASTER_AR_REPORT!E125)</f>
        <v>Vidya Book Point(Vijaynagar Colony)</v>
      </c>
      <c r="F71" s="3">
        <f>MASTER_AR_REPORT!F125</f>
        <v>9634</v>
      </c>
      <c r="G71" s="12">
        <f>MASTER_AR_REPORT!G125</f>
        <v>46084</v>
      </c>
      <c r="H71" s="3">
        <f>MASTER_AR_REPORT!H125</f>
        <v>0</v>
      </c>
      <c r="I71" s="3">
        <f>MASTER_AR_REPORT!I125</f>
        <v>9634</v>
      </c>
      <c r="J71" s="2">
        <f ca="1">MASTER_AR_REPORT!J125</f>
        <v>80</v>
      </c>
      <c r="K71" s="2" t="str">
        <f ca="1">MASTER_AR_REPORT!K125</f>
        <v>61-90 Days</v>
      </c>
      <c r="L71" s="2" t="str">
        <f ca="1">MASTER_AR_REPORT!L125</f>
        <v>Medium</v>
      </c>
      <c r="M71" s="2" t="str">
        <f ca="1">MASTER_AR_REPORT!M125</f>
        <v>Urgent</v>
      </c>
      <c r="N71" s="2" t="str">
        <f>MASTER_AR_REPORT!N125</f>
        <v>Pending</v>
      </c>
      <c r="O71" s="2">
        <f>MASTER_AR_REPORT!O125</f>
        <v>0</v>
      </c>
    </row>
    <row r="72" spans="1:15">
      <c r="A72" s="5">
        <v>68</v>
      </c>
      <c r="B72" s="5" t="str">
        <f>IF(MASTER_AR_REPORT!B126="","",MASTER_AR_REPORT!B126)</f>
        <v>Praveen</v>
      </c>
      <c r="C72" s="11">
        <f>MASTER_AR_REPORT!C126</f>
        <v>46088</v>
      </c>
      <c r="D72" s="5" t="str">
        <f>IF(MASTER_AR_REPORT!D126="","",MASTER_AR_REPORT!D126)</f>
        <v>C-SLG/2345/25-26</v>
      </c>
      <c r="E72" s="5" t="str">
        <f>IF(MASTER_AR_REPORT!E126="","",MASTER_AR_REPORT!E126)</f>
        <v>Vidya Book Point(Vijaynagar Colony)</v>
      </c>
      <c r="F72" s="6">
        <f>MASTER_AR_REPORT!F126</f>
        <v>4466</v>
      </c>
      <c r="G72" s="11">
        <f>MASTER_AR_REPORT!G126</f>
        <v>46113</v>
      </c>
      <c r="H72" s="6">
        <f>MASTER_AR_REPORT!H126</f>
        <v>0</v>
      </c>
      <c r="I72" s="6">
        <f>MASTER_AR_REPORT!I126</f>
        <v>4466</v>
      </c>
      <c r="J72" s="5">
        <f ca="1">MASTER_AR_REPORT!J126</f>
        <v>51</v>
      </c>
      <c r="K72" s="5" t="str">
        <f ca="1">MASTER_AR_REPORT!K126</f>
        <v>31-60 Days</v>
      </c>
      <c r="L72" s="5" t="str">
        <f ca="1">MASTER_AR_REPORT!L126</f>
        <v>Low-Medium</v>
      </c>
      <c r="M72" s="5" t="str">
        <f ca="1">MASTER_AR_REPORT!M126</f>
        <v>Medium</v>
      </c>
      <c r="N72" s="5" t="str">
        <f>MASTER_AR_REPORT!N126</f>
        <v>Pending</v>
      </c>
      <c r="O72" s="5">
        <f>MASTER_AR_REPORT!O126</f>
        <v>0</v>
      </c>
    </row>
    <row r="73" spans="1:15">
      <c r="A73" s="2">
        <v>69</v>
      </c>
      <c r="B73" s="2" t="str">
        <f>IF(MASTER_AR_REPORT!B127="","",MASTER_AR_REPORT!B127)</f>
        <v>Praveen</v>
      </c>
      <c r="C73" s="12">
        <f>MASTER_AR_REPORT!C127</f>
        <v>46084</v>
      </c>
      <c r="D73" s="2" t="str">
        <f>IF(MASTER_AR_REPORT!D127="","",MASTER_AR_REPORT!D127)</f>
        <v>C-SLG/2313/25-26</v>
      </c>
      <c r="E73" s="2" t="str">
        <f>IF(MASTER_AR_REPORT!E127="","",MASTER_AR_REPORT!E127)</f>
        <v>VIDYA COLLECTION</v>
      </c>
      <c r="F73" s="3">
        <f>MASTER_AR_REPORT!F127</f>
        <v>6372</v>
      </c>
      <c r="G73" s="12">
        <f>MASTER_AR_REPORT!G127</f>
        <v>46109</v>
      </c>
      <c r="H73" s="3">
        <f>MASTER_AR_REPORT!H127</f>
        <v>0</v>
      </c>
      <c r="I73" s="3">
        <f>MASTER_AR_REPORT!I127</f>
        <v>6372</v>
      </c>
      <c r="J73" s="2">
        <f ca="1">MASTER_AR_REPORT!J127</f>
        <v>55</v>
      </c>
      <c r="K73" s="2" t="str">
        <f ca="1">MASTER_AR_REPORT!K127</f>
        <v>31-60 Days</v>
      </c>
      <c r="L73" s="2" t="str">
        <f ca="1">MASTER_AR_REPORT!L127</f>
        <v>Low-Medium</v>
      </c>
      <c r="M73" s="2" t="str">
        <f ca="1">MASTER_AR_REPORT!M127</f>
        <v>Medium</v>
      </c>
      <c r="N73" s="2" t="str">
        <f>MASTER_AR_REPORT!N127</f>
        <v>Pending</v>
      </c>
      <c r="O73" s="2">
        <f>MASTER_AR_REPORT!O127</f>
        <v>0</v>
      </c>
    </row>
    <row r="74" spans="1:15">
      <c r="A74" s="5">
        <v>70</v>
      </c>
      <c r="B74" s="5" t="str">
        <f>IF(MASTER_AR_REPORT!B128="","",MASTER_AR_REPORT!B128)</f>
        <v>Praveen</v>
      </c>
      <c r="C74" s="11">
        <f>MASTER_AR_REPORT!C128</f>
        <v>46070</v>
      </c>
      <c r="D74" s="5" t="str">
        <f>IF(MASTER_AR_REPORT!D128="","",MASTER_AR_REPORT!D128)</f>
        <v>C-SLG/2246/25-26</v>
      </c>
      <c r="E74" s="5" t="str">
        <f>IF(MASTER_AR_REPORT!E128="","",MASTER_AR_REPORT!E128)</f>
        <v>Vidya Collection (New)</v>
      </c>
      <c r="F74" s="6">
        <f>MASTER_AR_REPORT!F128</f>
        <v>9276</v>
      </c>
      <c r="G74" s="11">
        <f>MASTER_AR_REPORT!G128</f>
        <v>46095</v>
      </c>
      <c r="H74" s="6">
        <f>MASTER_AR_REPORT!H128</f>
        <v>0</v>
      </c>
      <c r="I74" s="6">
        <f>MASTER_AR_REPORT!I128</f>
        <v>9276</v>
      </c>
      <c r="J74" s="5">
        <f ca="1">MASTER_AR_REPORT!J128</f>
        <v>69</v>
      </c>
      <c r="K74" s="5" t="str">
        <f ca="1">MASTER_AR_REPORT!K128</f>
        <v>61-90 Days</v>
      </c>
      <c r="L74" s="5" t="str">
        <f ca="1">MASTER_AR_REPORT!L128</f>
        <v>Medium</v>
      </c>
      <c r="M74" s="5" t="str">
        <f ca="1">MASTER_AR_REPORT!M128</f>
        <v>Urgent</v>
      </c>
      <c r="N74" s="5" t="str">
        <f>MASTER_AR_REPORT!N128</f>
        <v>Pending</v>
      </c>
      <c r="O74" s="5">
        <f>MASTER_AR_REPORT!O128</f>
        <v>0</v>
      </c>
    </row>
    <row r="75" spans="1:15">
      <c r="A75" s="2">
        <v>71</v>
      </c>
      <c r="B75" s="2" t="str">
        <f>IF(MASTER_AR_REPORT!B129="","",MASTER_AR_REPORT!B129)</f>
        <v>Praveen</v>
      </c>
      <c r="C75" s="12">
        <f>MASTER_AR_REPORT!C129</f>
        <v>46071</v>
      </c>
      <c r="D75" s="2" t="str">
        <f>IF(MASTER_AR_REPORT!D129="","",MASTER_AR_REPORT!D129)</f>
        <v>C-SLG/2254/25-26</v>
      </c>
      <c r="E75" s="2" t="str">
        <f>IF(MASTER_AR_REPORT!E129="","",MASTER_AR_REPORT!E129)</f>
        <v>Vidya Collection (New)</v>
      </c>
      <c r="F75" s="3">
        <f>MASTER_AR_REPORT!F129</f>
        <v>1274</v>
      </c>
      <c r="G75" s="12">
        <f>MASTER_AR_REPORT!G129</f>
        <v>46096</v>
      </c>
      <c r="H75" s="3">
        <f>MASTER_AR_REPORT!H129</f>
        <v>0</v>
      </c>
      <c r="I75" s="3">
        <f>MASTER_AR_REPORT!I129</f>
        <v>1274</v>
      </c>
      <c r="J75" s="2">
        <f ca="1">MASTER_AR_REPORT!J129</f>
        <v>68</v>
      </c>
      <c r="K75" s="2" t="str">
        <f ca="1">MASTER_AR_REPORT!K129</f>
        <v>61-90 Days</v>
      </c>
      <c r="L75" s="2" t="str">
        <f ca="1">MASTER_AR_REPORT!L129</f>
        <v>Medium</v>
      </c>
      <c r="M75" s="2" t="str">
        <f ca="1">MASTER_AR_REPORT!M129</f>
        <v>Urgent</v>
      </c>
      <c r="N75" s="2" t="str">
        <f>MASTER_AR_REPORT!N129</f>
        <v>Pending</v>
      </c>
      <c r="O75" s="2">
        <f>MASTER_AR_REPORT!O129</f>
        <v>0</v>
      </c>
    </row>
    <row r="76" spans="1:15">
      <c r="A76" s="5">
        <v>72</v>
      </c>
      <c r="B76" s="5" t="str">
        <f>IF(MASTER_AR_REPORT!B130="","",MASTER_AR_REPORT!B130)</f>
        <v>Praveen</v>
      </c>
      <c r="C76" s="11">
        <f>MASTER_AR_REPORT!C130</f>
        <v>46084</v>
      </c>
      <c r="D76" s="5" t="str">
        <f>IF(MASTER_AR_REPORT!D130="","",MASTER_AR_REPORT!D130)</f>
        <v>C-SLG/2312/25-26</v>
      </c>
      <c r="E76" s="5" t="str">
        <f>IF(MASTER_AR_REPORT!E130="","",MASTER_AR_REPORT!E130)</f>
        <v>Vidya Collection (New)</v>
      </c>
      <c r="F76" s="6">
        <f>MASTER_AR_REPORT!F130</f>
        <v>6712</v>
      </c>
      <c r="G76" s="11">
        <f>MASTER_AR_REPORT!G130</f>
        <v>46109</v>
      </c>
      <c r="H76" s="6">
        <f>MASTER_AR_REPORT!H130</f>
        <v>0</v>
      </c>
      <c r="I76" s="6">
        <f>MASTER_AR_REPORT!I130</f>
        <v>6712</v>
      </c>
      <c r="J76" s="5">
        <f ca="1">MASTER_AR_REPORT!J130</f>
        <v>55</v>
      </c>
      <c r="K76" s="5" t="str">
        <f ca="1">MASTER_AR_REPORT!K130</f>
        <v>31-60 Days</v>
      </c>
      <c r="L76" s="5" t="str">
        <f ca="1">MASTER_AR_REPORT!L130</f>
        <v>Low-Medium</v>
      </c>
      <c r="M76" s="5" t="str">
        <f ca="1">MASTER_AR_REPORT!M130</f>
        <v>Medium</v>
      </c>
      <c r="N76" s="5" t="str">
        <f>MASTER_AR_REPORT!N130</f>
        <v>Pending</v>
      </c>
      <c r="O76" s="5">
        <f>MASTER_AR_REPORT!O130</f>
        <v>0</v>
      </c>
    </row>
    <row r="77" spans="1:15">
      <c r="A77" s="2">
        <v>73</v>
      </c>
      <c r="B77" s="2" t="str">
        <f>IF(MASTER_AR_REPORT!B131="","",MASTER_AR_REPORT!B131)</f>
        <v>Praveen</v>
      </c>
      <c r="C77" s="12">
        <f>MASTER_AR_REPORT!C131</f>
        <v>46010</v>
      </c>
      <c r="D77" s="2" t="str">
        <f>IF(MASTER_AR_REPORT!D131="","",MASTER_AR_REPORT!D131)</f>
        <v>Bounce Charges-204</v>
      </c>
      <c r="E77" s="2" t="str">
        <f>IF(MASTER_AR_REPORT!E131="","",MASTER_AR_REPORT!E131)</f>
        <v>VIJAYALAKSHMI ENTERPRISES</v>
      </c>
      <c r="F77" s="3">
        <f>MASTER_AR_REPORT!F131</f>
        <v>500</v>
      </c>
      <c r="G77" s="12">
        <f>MASTER_AR_REPORT!G131</f>
        <v>46010</v>
      </c>
      <c r="H77" s="3">
        <f>MASTER_AR_REPORT!H131</f>
        <v>0</v>
      </c>
      <c r="I77" s="3">
        <f>MASTER_AR_REPORT!I131</f>
        <v>500</v>
      </c>
      <c r="J77" s="2">
        <f ca="1">MASTER_AR_REPORT!J131</f>
        <v>154</v>
      </c>
      <c r="K77" s="2" t="str">
        <f ca="1">MASTER_AR_REPORT!K131</f>
        <v>90+ Days</v>
      </c>
      <c r="L77" s="2" t="str">
        <f ca="1">MASTER_AR_REPORT!L131</f>
        <v>HIGH RISK</v>
      </c>
      <c r="M77" s="2" t="str">
        <f ca="1">MASTER_AR_REPORT!M131</f>
        <v>Immediate Action</v>
      </c>
      <c r="N77" s="2" t="str">
        <f>MASTER_AR_REPORT!N131</f>
        <v>Pending</v>
      </c>
      <c r="O77" s="2">
        <f>MASTER_AR_REPORT!O131</f>
        <v>0</v>
      </c>
    </row>
    <row r="78" spans="1:15">
      <c r="A78" s="5">
        <v>74</v>
      </c>
      <c r="B78" s="5" t="str">
        <f>IF(MASTER_AR_REPORT!B132="","",MASTER_AR_REPORT!B132)</f>
        <v>Praveen</v>
      </c>
      <c r="C78" s="11">
        <f>MASTER_AR_REPORT!C132</f>
        <v>46098</v>
      </c>
      <c r="D78" s="5" t="str">
        <f>IF(MASTER_AR_REPORT!D132="","",MASTER_AR_REPORT!D132)</f>
        <v>C-SLG/2397/25-26</v>
      </c>
      <c r="E78" s="5" t="str">
        <f>IF(MASTER_AR_REPORT!E132="","",MASTER_AR_REPORT!E132)</f>
        <v>WITTYSHOP INDIA</v>
      </c>
      <c r="F78" s="6">
        <f>MASTER_AR_REPORT!F132</f>
        <v>15868</v>
      </c>
      <c r="G78" s="11">
        <f>MASTER_AR_REPORT!G132</f>
        <v>46123</v>
      </c>
      <c r="H78" s="6">
        <f>MASTER_AR_REPORT!H132</f>
        <v>0</v>
      </c>
      <c r="I78" s="6">
        <f>MASTER_AR_REPORT!I132</f>
        <v>15868</v>
      </c>
      <c r="J78" s="5">
        <f ca="1">MASTER_AR_REPORT!J132</f>
        <v>41</v>
      </c>
      <c r="K78" s="5" t="str">
        <f ca="1">MASTER_AR_REPORT!K132</f>
        <v>31-60 Days</v>
      </c>
      <c r="L78" s="5" t="str">
        <f ca="1">MASTER_AR_REPORT!L132</f>
        <v>Low-Medium</v>
      </c>
      <c r="M78" s="5" t="str">
        <f ca="1">MASTER_AR_REPORT!M132</f>
        <v>Medium</v>
      </c>
      <c r="N78" s="5" t="str">
        <f>MASTER_AR_REPORT!N132</f>
        <v>Pending</v>
      </c>
      <c r="O78" s="5">
        <f>MASTER_AR_REPORT!O132</f>
        <v>0</v>
      </c>
    </row>
    <row r="79" spans="1:15">
      <c r="A79" s="2">
        <v>75</v>
      </c>
      <c r="B79" s="2" t="str">
        <f>IF(MASTER_AR_REPORT!B133="","",MASTER_AR_REPORT!B133)</f>
        <v>Praveen</v>
      </c>
      <c r="C79" s="12">
        <f>MASTER_AR_REPORT!C133</f>
        <v>46002</v>
      </c>
      <c r="D79" s="2" t="str">
        <f>IF(MASTER_AR_REPORT!D133="","",MASTER_AR_REPORT!D133)</f>
        <v>C-SLG/1879/25-26</v>
      </c>
      <c r="E79" s="2" t="str">
        <f>IF(MASTER_AR_REPORT!E133="","",MASTER_AR_REPORT!E133)</f>
        <v>YADA LAXMAIAH BOOK SELLERS &amp; STATIONERY</v>
      </c>
      <c r="F79" s="3">
        <f>MASTER_AR_REPORT!F133</f>
        <v>5197</v>
      </c>
      <c r="G79" s="12">
        <f>MASTER_AR_REPORT!G133</f>
        <v>46027</v>
      </c>
      <c r="H79" s="3">
        <f>MASTER_AR_REPORT!H133</f>
        <v>0</v>
      </c>
      <c r="I79" s="3">
        <f>MASTER_AR_REPORT!I133</f>
        <v>5197</v>
      </c>
      <c r="J79" s="2">
        <f ca="1">MASTER_AR_REPORT!J133</f>
        <v>137</v>
      </c>
      <c r="K79" s="2" t="str">
        <f ca="1">MASTER_AR_REPORT!K133</f>
        <v>90+ Days</v>
      </c>
      <c r="L79" s="2" t="str">
        <f ca="1">MASTER_AR_REPORT!L133</f>
        <v>HIGH RISK</v>
      </c>
      <c r="M79" s="2" t="str">
        <f ca="1">MASTER_AR_REPORT!M133</f>
        <v>Immediate Action</v>
      </c>
      <c r="N79" s="2" t="str">
        <f>MASTER_AR_REPORT!N133</f>
        <v>Pending</v>
      </c>
      <c r="O79" s="2">
        <f>MASTER_AR_REPORT!O133</f>
        <v>0</v>
      </c>
    </row>
    <row r="80" spans="1:15">
      <c r="A80" s="13"/>
      <c r="B80" s="13"/>
      <c r="C80" s="13"/>
      <c r="D80" s="13"/>
      <c r="E80" s="8" t="s">
        <v>17</v>
      </c>
      <c r="F80" s="9">
        <f>SUM(F5:F79)</f>
        <v>644027</v>
      </c>
      <c r="G80" s="13"/>
      <c r="H80" s="9">
        <f>SUM(H5:H79)</f>
        <v>0</v>
      </c>
      <c r="I80" s="9">
        <f>SUM(I5:I79)</f>
        <v>644027</v>
      </c>
      <c r="J80" s="13"/>
      <c r="K80" s="13"/>
      <c r="L80" s="13"/>
      <c r="M80" s="13"/>
      <c r="N80" s="13"/>
      <c r="O80" s="13"/>
    </row>
  </sheetData>
  <autoFilter ref="A4:O79" xr:uid="{00000000-0009-0000-0000-000004000000}"/>
  <mergeCells count="2">
    <mergeCell ref="A1:O1"/>
    <mergeCell ref="A2:O2"/>
  </mergeCells>
  <conditionalFormatting sqref="A5:O79">
    <cfRule type="expression" dxfId="11" priority="1">
      <formula>AND($J5&gt;=90,$I5&gt;0)</formula>
    </cfRule>
    <cfRule type="expression" dxfId="10" priority="2">
      <formula>AND($J5&gt;=61,$J5&lt;90,$I5&gt;0)</formula>
    </cfRule>
    <cfRule type="expression" dxfId="9" priority="3">
      <formula>AND($J5&gt;=31,$J5&lt;61,$I5&gt;0)</formula>
    </cfRule>
    <cfRule type="expression" dxfId="8" priority="4">
      <formula>AND($J5&gt;=1,$J5&lt;31,$I5&gt;0)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6"/>
  <sheetViews>
    <sheetView topLeftCell="C1" workbookViewId="0">
      <pane ySplit="4" topLeftCell="A55" activePane="bottomLeft" state="frozen"/>
      <selection pane="bottomLeft" activeCell="F76" sqref="F76"/>
    </sheetView>
  </sheetViews>
  <sheetFormatPr defaultRowHeight="14.4"/>
  <cols>
    <col min="1" max="1" width="6" customWidth="1"/>
    <col min="2" max="3" width="14" customWidth="1"/>
    <col min="4" max="4" width="20" customWidth="1"/>
    <col min="5" max="5" width="28" customWidth="1"/>
    <col min="6" max="8" width="14" customWidth="1"/>
    <col min="9" max="9" width="16" customWidth="1"/>
    <col min="10" max="10" width="14" customWidth="1"/>
    <col min="11" max="11" width="16" customWidth="1"/>
    <col min="12" max="12" width="14" customWidth="1"/>
    <col min="13" max="13" width="18" customWidth="1"/>
    <col min="14" max="14" width="12" customWidth="1"/>
    <col min="15" max="15" width="23.109375" bestFit="1" customWidth="1"/>
  </cols>
  <sheetData>
    <row r="1" spans="1:15" ht="36" customHeight="1">
      <c r="A1" s="115" t="s">
        <v>487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15" ht="22.2" customHeight="1">
      <c r="A2" s="117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6" customHeight="1"/>
    <row r="4" spans="1:15" ht="30" customHeight="1">
      <c r="A4" s="108" t="s">
        <v>2</v>
      </c>
      <c r="B4" s="108" t="s">
        <v>3</v>
      </c>
      <c r="C4" s="108" t="s">
        <v>4</v>
      </c>
      <c r="D4" s="108" t="s">
        <v>5</v>
      </c>
      <c r="E4" s="108" t="s">
        <v>6</v>
      </c>
      <c r="F4" s="108" t="s">
        <v>7</v>
      </c>
      <c r="G4" s="108" t="s">
        <v>8</v>
      </c>
      <c r="H4" s="108" t="s">
        <v>9</v>
      </c>
      <c r="I4" s="108" t="s">
        <v>10</v>
      </c>
      <c r="J4" s="108" t="s">
        <v>11</v>
      </c>
      <c r="K4" s="108" t="s">
        <v>12</v>
      </c>
      <c r="L4" s="108" t="s">
        <v>13</v>
      </c>
      <c r="M4" s="108" t="s">
        <v>14</v>
      </c>
      <c r="N4" s="108" t="s">
        <v>15</v>
      </c>
      <c r="O4" s="108" t="s">
        <v>16</v>
      </c>
    </row>
    <row r="5" spans="1:15">
      <c r="A5" s="2">
        <v>1</v>
      </c>
      <c r="B5" s="2" t="str">
        <f>IF(MASTER_AR_REPORT!B134="","",MASTER_AR_REPORT!B134)</f>
        <v>Mujahid</v>
      </c>
      <c r="C5" s="12">
        <f>MASTER_AR_REPORT!C134</f>
        <v>45083</v>
      </c>
      <c r="D5" s="2" t="str">
        <f>IF(MASTER_AR_REPORT!D134="","",MASTER_AR_REPORT!D134)</f>
        <v>Bounce Charges-429</v>
      </c>
      <c r="E5" s="2" t="str">
        <f>IF(MASTER_AR_REPORT!E134="","",MASTER_AR_REPORT!E134)</f>
        <v>BAGARIA AGENCIES</v>
      </c>
      <c r="F5" s="3">
        <f>MASTER_AR_REPORT!F134</f>
        <v>500</v>
      </c>
      <c r="G5" s="12">
        <f>MASTER_AR_REPORT!G134</f>
        <v>45083</v>
      </c>
      <c r="H5" s="3">
        <f>MASTER_AR_REPORT!H134</f>
        <v>0</v>
      </c>
      <c r="I5" s="3">
        <f>MASTER_AR_REPORT!I134</f>
        <v>500</v>
      </c>
      <c r="J5" s="2">
        <f ca="1">MASTER_AR_REPORT!J134</f>
        <v>1081</v>
      </c>
      <c r="K5" s="2" t="str">
        <f ca="1">MASTER_AR_REPORT!K134</f>
        <v>90+ Days</v>
      </c>
      <c r="L5" s="2" t="str">
        <f ca="1">MASTER_AR_REPORT!L134</f>
        <v>HIGH RISK</v>
      </c>
      <c r="M5" s="2" t="str">
        <f ca="1">MASTER_AR_REPORT!M134</f>
        <v>Immediate Action</v>
      </c>
      <c r="N5" s="2" t="str">
        <f>MASTER_AR_REPORT!N134</f>
        <v>Pending</v>
      </c>
      <c r="O5" s="2" t="str">
        <f>MASTER_AR_REPORT!O134</f>
        <v>Old Issue</v>
      </c>
    </row>
    <row r="6" spans="1:15">
      <c r="A6" s="5">
        <v>2</v>
      </c>
      <c r="B6" s="5" t="str">
        <f>IF(MASTER_AR_REPORT!B135="","",MASTER_AR_REPORT!B135)</f>
        <v>Mujahid</v>
      </c>
      <c r="C6" s="11">
        <f>MASTER_AR_REPORT!C135</f>
        <v>46087</v>
      </c>
      <c r="D6" s="5" t="str">
        <f>IF(MASTER_AR_REPORT!D135="","",MASTER_AR_REPORT!D135)</f>
        <v>C-SLG/2322/25-26</v>
      </c>
      <c r="E6" s="5" t="str">
        <f>IF(MASTER_AR_REPORT!E135="","",MASTER_AR_REPORT!E135)</f>
        <v>BAGARIA AGENCIES</v>
      </c>
      <c r="F6" s="6">
        <f>MASTER_AR_REPORT!F135</f>
        <v>1427</v>
      </c>
      <c r="G6" s="11">
        <f>MASTER_AR_REPORT!G135</f>
        <v>46112</v>
      </c>
      <c r="H6" s="6">
        <f>MASTER_AR_REPORT!H135</f>
        <v>0</v>
      </c>
      <c r="I6" s="6">
        <f>MASTER_AR_REPORT!I135</f>
        <v>1427</v>
      </c>
      <c r="J6" s="5">
        <f ca="1">MASTER_AR_REPORT!J135</f>
        <v>52</v>
      </c>
      <c r="K6" s="5" t="str">
        <f ca="1">MASTER_AR_REPORT!K135</f>
        <v>31-60 Days</v>
      </c>
      <c r="L6" s="5" t="str">
        <f ca="1">MASTER_AR_REPORT!L135</f>
        <v>Low-Medium</v>
      </c>
      <c r="M6" s="5" t="str">
        <f ca="1">MASTER_AR_REPORT!M135</f>
        <v>Medium</v>
      </c>
      <c r="N6" s="5" t="str">
        <f>MASTER_AR_REPORT!N135</f>
        <v>Pending</v>
      </c>
      <c r="O6" s="5" t="str">
        <f>MASTER_AR_REPORT!O135</f>
        <v>Sample Piece</v>
      </c>
    </row>
    <row r="7" spans="1:15">
      <c r="A7" s="2">
        <v>3</v>
      </c>
      <c r="B7" s="2" t="str">
        <f>IF(MASTER_AR_REPORT!B136="","",MASTER_AR_REPORT!B136)</f>
        <v>Mujahid</v>
      </c>
      <c r="C7" s="12">
        <f>MASTER_AR_REPORT!C136</f>
        <v>45870</v>
      </c>
      <c r="D7" s="2" t="str">
        <f>IF(MASTER_AR_REPORT!D136="","",MASTER_AR_REPORT!D136)</f>
        <v>Bounce Charges-803</v>
      </c>
      <c r="E7" s="2" t="str">
        <f>IF(MASTER_AR_REPORT!E136="","",MASTER_AR_REPORT!E136)</f>
        <v>BALAJI ENTERPRISES</v>
      </c>
      <c r="F7" s="3">
        <f>MASTER_AR_REPORT!F136</f>
        <v>400</v>
      </c>
      <c r="G7" s="12">
        <f>MASTER_AR_REPORT!G136</f>
        <v>45895</v>
      </c>
      <c r="H7" s="3">
        <f>MASTER_AR_REPORT!H136</f>
        <v>0</v>
      </c>
      <c r="I7" s="3">
        <f>MASTER_AR_REPORT!I136</f>
        <v>400</v>
      </c>
      <c r="J7" s="2">
        <f ca="1">MASTER_AR_REPORT!J136</f>
        <v>269</v>
      </c>
      <c r="K7" s="2" t="str">
        <f ca="1">MASTER_AR_REPORT!K136</f>
        <v>90+ Days</v>
      </c>
      <c r="L7" s="2" t="str">
        <f ca="1">MASTER_AR_REPORT!L136</f>
        <v>HIGH RISK</v>
      </c>
      <c r="M7" s="2" t="str">
        <f ca="1">MASTER_AR_REPORT!M136</f>
        <v>Immediate Action</v>
      </c>
      <c r="N7" s="2" t="str">
        <f>MASTER_AR_REPORT!N136</f>
        <v>Pending</v>
      </c>
      <c r="O7" s="2" t="str">
        <f>MASTER_AR_REPORT!O136</f>
        <v>Customer Paid</v>
      </c>
    </row>
    <row r="8" spans="1:15">
      <c r="A8" s="5">
        <v>4</v>
      </c>
      <c r="B8" s="5" t="str">
        <f>IF(MASTER_AR_REPORT!B137="","",MASTER_AR_REPORT!B137)</f>
        <v>Mujahid</v>
      </c>
      <c r="C8" s="11">
        <f>MASTER_AR_REPORT!C137</f>
        <v>46119</v>
      </c>
      <c r="D8" s="5" t="str">
        <f>IF(MASTER_AR_REPORT!D137="","",MASTER_AR_REPORT!D137)</f>
        <v>Bounce Charges-168</v>
      </c>
      <c r="E8" s="5" t="str">
        <f>IF(MASTER_AR_REPORT!E137="","",MASTER_AR_REPORT!E137)</f>
        <v>BALAJI ENTERPRISES</v>
      </c>
      <c r="F8" s="6">
        <f>MASTER_AR_REPORT!F137</f>
        <v>500</v>
      </c>
      <c r="G8" s="11">
        <f>MASTER_AR_REPORT!G137</f>
        <v>46144</v>
      </c>
      <c r="H8" s="6">
        <f>MASTER_AR_REPORT!H137</f>
        <v>0</v>
      </c>
      <c r="I8" s="6">
        <f>MASTER_AR_REPORT!I137</f>
        <v>500</v>
      </c>
      <c r="J8" s="5">
        <f ca="1">MASTER_AR_REPORT!J137</f>
        <v>20</v>
      </c>
      <c r="K8" s="5" t="str">
        <f ca="1">MASTER_AR_REPORT!K137</f>
        <v>0-30 Days</v>
      </c>
      <c r="L8" s="5" t="str">
        <f ca="1">MASTER_AR_REPORT!L137</f>
        <v>Low</v>
      </c>
      <c r="M8" s="5" t="str">
        <f ca="1">MASTER_AR_REPORT!M137</f>
        <v>Normal</v>
      </c>
      <c r="N8" s="5" t="str">
        <f>MASTER_AR_REPORT!N137</f>
        <v>Pending</v>
      </c>
      <c r="O8" s="5" t="str">
        <f>MASTER_AR_REPORT!O137</f>
        <v>Customer Paid</v>
      </c>
    </row>
    <row r="9" spans="1:15">
      <c r="A9" s="2">
        <v>5</v>
      </c>
      <c r="B9" s="2" t="str">
        <f>IF(MASTER_AR_REPORT!B138="","",MASTER_AR_REPORT!B138)</f>
        <v>Mujahid</v>
      </c>
      <c r="C9" s="12">
        <f>MASTER_AR_REPORT!C138</f>
        <v>46156</v>
      </c>
      <c r="D9" s="2" t="str">
        <f>IF(MASTER_AR_REPORT!D138="","",MASTER_AR_REPORT!D138)</f>
        <v>C-SLG/0127/26-27</v>
      </c>
      <c r="E9" s="2" t="str">
        <f>IF(MASTER_AR_REPORT!E138="","",MASTER_AR_REPORT!E138)</f>
        <v>BALAJI ENTERPRISES</v>
      </c>
      <c r="F9" s="3">
        <f>MASTER_AR_REPORT!F138</f>
        <v>28600</v>
      </c>
      <c r="G9" s="12">
        <f>MASTER_AR_REPORT!G138</f>
        <v>46181</v>
      </c>
      <c r="H9" s="3">
        <f>MASTER_AR_REPORT!H138</f>
        <v>0</v>
      </c>
      <c r="I9" s="3">
        <f>MASTER_AR_REPORT!I138</f>
        <v>28600</v>
      </c>
      <c r="J9" s="2">
        <f ca="1">MASTER_AR_REPORT!J138</f>
        <v>0</v>
      </c>
      <c r="K9" s="2" t="str">
        <f ca="1">MASTER_AR_REPORT!K138</f>
        <v>0-30 Days</v>
      </c>
      <c r="L9" s="2" t="str">
        <f ca="1">MASTER_AR_REPORT!L138</f>
        <v>Low</v>
      </c>
      <c r="M9" s="2" t="str">
        <f ca="1">MASTER_AR_REPORT!M138</f>
        <v>Normal</v>
      </c>
      <c r="N9" s="2" t="str">
        <f>MASTER_AR_REPORT!N138</f>
        <v>Pending</v>
      </c>
      <c r="O9" s="2">
        <f>MASTER_AR_REPORT!O138</f>
        <v>0</v>
      </c>
    </row>
    <row r="10" spans="1:15">
      <c r="A10" s="5">
        <v>6</v>
      </c>
      <c r="B10" s="5" t="str">
        <f>IF(MASTER_AR_REPORT!B139="","",MASTER_AR_REPORT!B139)</f>
        <v>Mujahid</v>
      </c>
      <c r="C10" s="11">
        <f>MASTER_AR_REPORT!C139</f>
        <v>46107</v>
      </c>
      <c r="D10" s="5" t="str">
        <f>IF(MASTER_AR_REPORT!D139="","",MASTER_AR_REPORT!D139)</f>
        <v>C-SLG/2438/25-26</v>
      </c>
      <c r="E10" s="5" t="str">
        <f>IF(MASTER_AR_REPORT!E139="","",MASTER_AR_REPORT!E139)</f>
        <v>BANNU ENTERPRISES</v>
      </c>
      <c r="F10" s="6">
        <f>MASTER_AR_REPORT!F139</f>
        <v>67462</v>
      </c>
      <c r="G10" s="11">
        <f>MASTER_AR_REPORT!G139</f>
        <v>46107</v>
      </c>
      <c r="H10" s="6">
        <f>MASTER_AR_REPORT!H139</f>
        <v>0</v>
      </c>
      <c r="I10" s="6">
        <f>MASTER_AR_REPORT!I139</f>
        <v>67462</v>
      </c>
      <c r="J10" s="5">
        <f ca="1">MASTER_AR_REPORT!J139</f>
        <v>57</v>
      </c>
      <c r="K10" s="5" t="str">
        <f ca="1">MASTER_AR_REPORT!K139</f>
        <v>31-60 Days</v>
      </c>
      <c r="L10" s="5" t="str">
        <f ca="1">MASTER_AR_REPORT!L139</f>
        <v>Low-Medium</v>
      </c>
      <c r="M10" s="5" t="str">
        <f ca="1">MASTER_AR_REPORT!M139</f>
        <v>Medium</v>
      </c>
      <c r="N10" s="5" t="str">
        <f>MASTER_AR_REPORT!N139</f>
        <v>Pending</v>
      </c>
      <c r="O10" s="5" t="str">
        <f>MASTER_AR_REPORT!O139</f>
        <v>DSO will Collect</v>
      </c>
    </row>
    <row r="11" spans="1:15">
      <c r="A11" s="2">
        <v>7</v>
      </c>
      <c r="B11" s="2" t="str">
        <f>IF(MASTER_AR_REPORT!B140="","",MASTER_AR_REPORT!B140)</f>
        <v>Mujahid</v>
      </c>
      <c r="C11" s="12">
        <f>MASTER_AR_REPORT!C140</f>
        <v>46087</v>
      </c>
      <c r="D11" s="2" t="str">
        <f>IF(MASTER_AR_REPORT!D140="","",MASTER_AR_REPORT!D140)</f>
        <v>Bounce Charges-2567</v>
      </c>
      <c r="E11" s="2" t="str">
        <f>IF(MASTER_AR_REPORT!E140="","",MASTER_AR_REPORT!E140)</f>
        <v>DHANLAKSHMI ENTERPRISES</v>
      </c>
      <c r="F11" s="3">
        <f>MASTER_AR_REPORT!F140</f>
        <v>500</v>
      </c>
      <c r="G11" s="12">
        <f>MASTER_AR_REPORT!G140</f>
        <v>46112</v>
      </c>
      <c r="H11" s="3">
        <f>MASTER_AR_REPORT!H140</f>
        <v>0</v>
      </c>
      <c r="I11" s="3">
        <f>MASTER_AR_REPORT!I140</f>
        <v>500</v>
      </c>
      <c r="J11" s="2">
        <f ca="1">MASTER_AR_REPORT!J140</f>
        <v>52</v>
      </c>
      <c r="K11" s="2" t="str">
        <f ca="1">MASTER_AR_REPORT!K140</f>
        <v>31-60 Days</v>
      </c>
      <c r="L11" s="2" t="str">
        <f ca="1">MASTER_AR_REPORT!L140</f>
        <v>Low-Medium</v>
      </c>
      <c r="M11" s="2" t="str">
        <f ca="1">MASTER_AR_REPORT!M140</f>
        <v>Medium</v>
      </c>
      <c r="N11" s="2" t="str">
        <f>MASTER_AR_REPORT!N140</f>
        <v>Pending</v>
      </c>
      <c r="O11" s="2" t="str">
        <f>MASTER_AR_REPORT!O140</f>
        <v>Number Busy</v>
      </c>
    </row>
    <row r="12" spans="1:15">
      <c r="A12" s="5">
        <v>8</v>
      </c>
      <c r="B12" s="5" t="str">
        <f>IF(MASTER_AR_REPORT!B141="","",MASTER_AR_REPORT!B141)</f>
        <v>Mujahid</v>
      </c>
      <c r="C12" s="11">
        <f>MASTER_AR_REPORT!C141</f>
        <v>46008</v>
      </c>
      <c r="D12" s="5" t="str">
        <f>IF(MASTER_AR_REPORT!D141="","",MASTER_AR_REPORT!D141)</f>
        <v>C-SLG/1915/25-26</v>
      </c>
      <c r="E12" s="5" t="str">
        <f>IF(MASTER_AR_REPORT!E141="","",MASTER_AR_REPORT!E141)</f>
        <v>Dynamic Computer &amp; Stationery</v>
      </c>
      <c r="F12" s="6">
        <f>MASTER_AR_REPORT!F141</f>
        <v>101670</v>
      </c>
      <c r="G12" s="11">
        <f>MASTER_AR_REPORT!G141</f>
        <v>46033</v>
      </c>
      <c r="H12" s="6">
        <f>MASTER_AR_REPORT!H141</f>
        <v>0</v>
      </c>
      <c r="I12" s="6">
        <f>MASTER_AR_REPORT!I141</f>
        <v>101670</v>
      </c>
      <c r="J12" s="5">
        <f ca="1">MASTER_AR_REPORT!J141</f>
        <v>131</v>
      </c>
      <c r="K12" s="5" t="str">
        <f ca="1">MASTER_AR_REPORT!K141</f>
        <v>90+ Days</v>
      </c>
      <c r="L12" s="5" t="str">
        <f ca="1">MASTER_AR_REPORT!L141</f>
        <v>HIGH RISK</v>
      </c>
      <c r="M12" s="5" t="str">
        <f ca="1">MASTER_AR_REPORT!M141</f>
        <v>Immediate Action</v>
      </c>
      <c r="N12" s="5" t="str">
        <f>MASTER_AR_REPORT!N141</f>
        <v>Pending</v>
      </c>
      <c r="O12" s="5" t="str">
        <f>MASTER_AR_REPORT!O141</f>
        <v>DSO will Collect</v>
      </c>
    </row>
    <row r="13" spans="1:15">
      <c r="A13" s="2">
        <v>9</v>
      </c>
      <c r="B13" s="2" t="str">
        <f>IF(MASTER_AR_REPORT!B142="","",MASTER_AR_REPORT!B142)</f>
        <v>Mujahid</v>
      </c>
      <c r="C13" s="12">
        <f>MASTER_AR_REPORT!C142</f>
        <v>46009</v>
      </c>
      <c r="D13" s="2" t="str">
        <f>IF(MASTER_AR_REPORT!D142="","",MASTER_AR_REPORT!D142)</f>
        <v>C-SLG/1933/25-26</v>
      </c>
      <c r="E13" s="2" t="str">
        <f>IF(MASTER_AR_REPORT!E142="","",MASTER_AR_REPORT!E142)</f>
        <v>Dynamic Computer &amp; Stationery</v>
      </c>
      <c r="F13" s="3">
        <f>MASTER_AR_REPORT!F142</f>
        <v>45784</v>
      </c>
      <c r="G13" s="12">
        <f>MASTER_AR_REPORT!G142</f>
        <v>46034</v>
      </c>
      <c r="H13" s="3">
        <f>MASTER_AR_REPORT!H142</f>
        <v>0</v>
      </c>
      <c r="I13" s="3">
        <f>MASTER_AR_REPORT!I142</f>
        <v>45784</v>
      </c>
      <c r="J13" s="2">
        <f ca="1">MASTER_AR_REPORT!J142</f>
        <v>130</v>
      </c>
      <c r="K13" s="2" t="str">
        <f ca="1">MASTER_AR_REPORT!K142</f>
        <v>90+ Days</v>
      </c>
      <c r="L13" s="2" t="str">
        <f ca="1">MASTER_AR_REPORT!L142</f>
        <v>HIGH RISK</v>
      </c>
      <c r="M13" s="2" t="str">
        <f ca="1">MASTER_AR_REPORT!M142</f>
        <v>Immediate Action</v>
      </c>
      <c r="N13" s="2" t="str">
        <f>MASTER_AR_REPORT!N142</f>
        <v>Pending</v>
      </c>
      <c r="O13" s="2" t="str">
        <f>MASTER_AR_REPORT!O142</f>
        <v>DSO will Collect</v>
      </c>
    </row>
    <row r="14" spans="1:15">
      <c r="A14" s="5">
        <v>10</v>
      </c>
      <c r="B14" s="5" t="str">
        <f>IF(MASTER_AR_REPORT!B143="","",MASTER_AR_REPORT!B143)</f>
        <v>Mujahid</v>
      </c>
      <c r="C14" s="11">
        <f>MASTER_AR_REPORT!C143</f>
        <v>46011</v>
      </c>
      <c r="D14" s="5" t="str">
        <f>IF(MASTER_AR_REPORT!D143="","",MASTER_AR_REPORT!D143)</f>
        <v>C-SLG/1938/25-26</v>
      </c>
      <c r="E14" s="5" t="str">
        <f>IF(MASTER_AR_REPORT!E143="","",MASTER_AR_REPORT!E143)</f>
        <v>Dynamic Computer &amp; Stationery</v>
      </c>
      <c r="F14" s="6">
        <f>MASTER_AR_REPORT!F143</f>
        <v>217599</v>
      </c>
      <c r="G14" s="11">
        <f>MASTER_AR_REPORT!G143</f>
        <v>46036</v>
      </c>
      <c r="H14" s="6">
        <f>MASTER_AR_REPORT!H143</f>
        <v>0</v>
      </c>
      <c r="I14" s="6">
        <f>MASTER_AR_REPORT!I143</f>
        <v>217599</v>
      </c>
      <c r="J14" s="5">
        <f ca="1">MASTER_AR_REPORT!J143</f>
        <v>128</v>
      </c>
      <c r="K14" s="5" t="str">
        <f ca="1">MASTER_AR_REPORT!K143</f>
        <v>90+ Days</v>
      </c>
      <c r="L14" s="5" t="str">
        <f ca="1">MASTER_AR_REPORT!L143</f>
        <v>HIGH RISK</v>
      </c>
      <c r="M14" s="5" t="str">
        <f ca="1">MASTER_AR_REPORT!M143</f>
        <v>Immediate Action</v>
      </c>
      <c r="N14" s="5" t="str">
        <f>MASTER_AR_REPORT!N143</f>
        <v>Pending</v>
      </c>
      <c r="O14" s="5" t="str">
        <f>MASTER_AR_REPORT!O143</f>
        <v>DSO will Collect</v>
      </c>
    </row>
    <row r="15" spans="1:15">
      <c r="A15" s="2">
        <v>11</v>
      </c>
      <c r="B15" s="2" t="str">
        <f>IF(MASTER_AR_REPORT!B144="","",MASTER_AR_REPORT!B144)</f>
        <v>Mujahid</v>
      </c>
      <c r="C15" s="12">
        <f>MASTER_AR_REPORT!C144</f>
        <v>46094</v>
      </c>
      <c r="D15" s="2" t="str">
        <f>IF(MASTER_AR_REPORT!D144="","",MASTER_AR_REPORT!D144)</f>
        <v>C-SLG/2380/25-26</v>
      </c>
      <c r="E15" s="2" t="str">
        <f>IF(MASTER_AR_REPORT!E144="","",MASTER_AR_REPORT!E144)</f>
        <v>Dynamic Computer &amp; Stationery</v>
      </c>
      <c r="F15" s="3">
        <f>MASTER_AR_REPORT!F144</f>
        <v>134125</v>
      </c>
      <c r="G15" s="12">
        <f>MASTER_AR_REPORT!G144</f>
        <v>46119</v>
      </c>
      <c r="H15" s="3">
        <f>MASTER_AR_REPORT!H144</f>
        <v>0</v>
      </c>
      <c r="I15" s="3">
        <f>MASTER_AR_REPORT!I144</f>
        <v>134125</v>
      </c>
      <c r="J15" s="2">
        <f ca="1">MASTER_AR_REPORT!J144</f>
        <v>45</v>
      </c>
      <c r="K15" s="2" t="str">
        <f ca="1">MASTER_AR_REPORT!K144</f>
        <v>31-60 Days</v>
      </c>
      <c r="L15" s="2" t="str">
        <f ca="1">MASTER_AR_REPORT!L144</f>
        <v>Low-Medium</v>
      </c>
      <c r="M15" s="2" t="str">
        <f ca="1">MASTER_AR_REPORT!M144</f>
        <v>Medium</v>
      </c>
      <c r="N15" s="2" t="str">
        <f>MASTER_AR_REPORT!N144</f>
        <v>Pending</v>
      </c>
      <c r="O15" s="2" t="str">
        <f>MASTER_AR_REPORT!O144</f>
        <v>DSO will Collect</v>
      </c>
    </row>
    <row r="16" spans="1:15">
      <c r="A16" s="5">
        <v>12</v>
      </c>
      <c r="B16" s="5" t="str">
        <f>IF(MASTER_AR_REPORT!B145="","",MASTER_AR_REPORT!B145)</f>
        <v>Mujahid</v>
      </c>
      <c r="C16" s="11">
        <f>MASTER_AR_REPORT!C145</f>
        <v>46108</v>
      </c>
      <c r="D16" s="5" t="str">
        <f>IF(MASTER_AR_REPORT!D145="","",MASTER_AR_REPORT!D145)</f>
        <v>C-SLG/2461/25-26</v>
      </c>
      <c r="E16" s="5" t="str">
        <f>IF(MASTER_AR_REPORT!E145="","",MASTER_AR_REPORT!E145)</f>
        <v>Dynamic Computer &amp; Stationery</v>
      </c>
      <c r="F16" s="6">
        <f>MASTER_AR_REPORT!F145</f>
        <v>97809</v>
      </c>
      <c r="G16" s="11">
        <f>MASTER_AR_REPORT!G145</f>
        <v>46133</v>
      </c>
      <c r="H16" s="6">
        <f>MASTER_AR_REPORT!H145</f>
        <v>0</v>
      </c>
      <c r="I16" s="6">
        <f>MASTER_AR_REPORT!I145</f>
        <v>97809</v>
      </c>
      <c r="J16" s="5">
        <f ca="1">MASTER_AR_REPORT!J145</f>
        <v>31</v>
      </c>
      <c r="K16" s="5" t="str">
        <f ca="1">MASTER_AR_REPORT!K145</f>
        <v>31-60 Days</v>
      </c>
      <c r="L16" s="5" t="str">
        <f ca="1">MASTER_AR_REPORT!L145</f>
        <v>Low-Medium</v>
      </c>
      <c r="M16" s="5" t="str">
        <f ca="1">MASTER_AR_REPORT!M145</f>
        <v>Medium</v>
      </c>
      <c r="N16" s="5" t="str">
        <f>MASTER_AR_REPORT!N145</f>
        <v>Pending</v>
      </c>
      <c r="O16" s="5" t="str">
        <f>MASTER_AR_REPORT!O145</f>
        <v>DSO will Collect</v>
      </c>
    </row>
    <row r="17" spans="1:15">
      <c r="A17" s="2">
        <v>13</v>
      </c>
      <c r="B17" s="2" t="str">
        <f>IF(MASTER_AR_REPORT!B146="","",MASTER_AR_REPORT!B146)</f>
        <v>Mujahid</v>
      </c>
      <c r="C17" s="12">
        <f>MASTER_AR_REPORT!C146</f>
        <v>46127</v>
      </c>
      <c r="D17" s="2" t="str">
        <f>IF(MASTER_AR_REPORT!D146="","",MASTER_AR_REPORT!D146)</f>
        <v>C-SLG/0042/26-27</v>
      </c>
      <c r="E17" s="2" t="str">
        <f>IF(MASTER_AR_REPORT!E146="","",MASTER_AR_REPORT!E146)</f>
        <v>Dynamic Computer &amp; Stationery</v>
      </c>
      <c r="F17" s="3">
        <f>MASTER_AR_REPORT!F146</f>
        <v>47335</v>
      </c>
      <c r="G17" s="12">
        <f>MASTER_AR_REPORT!G146</f>
        <v>46152</v>
      </c>
      <c r="H17" s="3">
        <f>MASTER_AR_REPORT!H146</f>
        <v>0</v>
      </c>
      <c r="I17" s="3">
        <f>MASTER_AR_REPORT!I146</f>
        <v>47335</v>
      </c>
      <c r="J17" s="2">
        <f ca="1">MASTER_AR_REPORT!J146</f>
        <v>12</v>
      </c>
      <c r="K17" s="2" t="str">
        <f ca="1">MASTER_AR_REPORT!K146</f>
        <v>0-30 Days</v>
      </c>
      <c r="L17" s="2" t="str">
        <f ca="1">MASTER_AR_REPORT!L146</f>
        <v>Low</v>
      </c>
      <c r="M17" s="2" t="str">
        <f ca="1">MASTER_AR_REPORT!M146</f>
        <v>Normal</v>
      </c>
      <c r="N17" s="2" t="str">
        <f>MASTER_AR_REPORT!N146</f>
        <v>Pending</v>
      </c>
      <c r="O17" s="2" t="str">
        <f>MASTER_AR_REPORT!O146</f>
        <v>DSO will Collect</v>
      </c>
    </row>
    <row r="18" spans="1:15">
      <c r="A18" s="5">
        <v>14</v>
      </c>
      <c r="B18" s="5" t="str">
        <f>IF(MASTER_AR_REPORT!B147="","",MASTER_AR_REPORT!B147)</f>
        <v>Mujahid</v>
      </c>
      <c r="C18" s="11">
        <f>MASTER_AR_REPORT!C147</f>
        <v>46156</v>
      </c>
      <c r="D18" s="5" t="str">
        <f>IF(MASTER_AR_REPORT!D147="","",MASTER_AR_REPORT!D147)</f>
        <v>C-SLG/0121/26-27</v>
      </c>
      <c r="E18" s="5" t="str">
        <f>IF(MASTER_AR_REPORT!E147="","",MASTER_AR_REPORT!E147)</f>
        <v>Dynamic Computer &amp; Stationery</v>
      </c>
      <c r="F18" s="6">
        <f>MASTER_AR_REPORT!F147</f>
        <v>112417</v>
      </c>
      <c r="G18" s="11">
        <f>MASTER_AR_REPORT!G147</f>
        <v>46181</v>
      </c>
      <c r="H18" s="6">
        <f>MASTER_AR_REPORT!H147</f>
        <v>0</v>
      </c>
      <c r="I18" s="6">
        <f>MASTER_AR_REPORT!I147</f>
        <v>112417</v>
      </c>
      <c r="J18" s="5">
        <f ca="1">MASTER_AR_REPORT!J147</f>
        <v>0</v>
      </c>
      <c r="K18" s="5" t="str">
        <f ca="1">MASTER_AR_REPORT!K147</f>
        <v>0-30 Days</v>
      </c>
      <c r="L18" s="5" t="str">
        <f ca="1">MASTER_AR_REPORT!L147</f>
        <v>Low</v>
      </c>
      <c r="M18" s="5" t="str">
        <f ca="1">MASTER_AR_REPORT!M147</f>
        <v>Normal</v>
      </c>
      <c r="N18" s="5" t="str">
        <f>MASTER_AR_REPORT!N147</f>
        <v>Pending</v>
      </c>
      <c r="O18" s="5">
        <f>MASTER_AR_REPORT!O147</f>
        <v>0</v>
      </c>
    </row>
    <row r="19" spans="1:15">
      <c r="A19" s="2">
        <v>15</v>
      </c>
      <c r="B19" s="2" t="str">
        <f>IF(MASTER_AR_REPORT!B148="","",MASTER_AR_REPORT!B148)</f>
        <v>Mujahid</v>
      </c>
      <c r="C19" s="12">
        <f>MASTER_AR_REPORT!C148</f>
        <v>46156</v>
      </c>
      <c r="D19" s="2" t="str">
        <f>IF(MASTER_AR_REPORT!D148="","",MASTER_AR_REPORT!D148)</f>
        <v>C-SLG/0134/26-27</v>
      </c>
      <c r="E19" s="2" t="str">
        <f>IF(MASTER_AR_REPORT!E148="","",MASTER_AR_REPORT!E148)</f>
        <v>Dynamic Computer &amp; Stationery</v>
      </c>
      <c r="F19" s="3">
        <f>MASTER_AR_REPORT!F148</f>
        <v>3614</v>
      </c>
      <c r="G19" s="12">
        <f>MASTER_AR_REPORT!G148</f>
        <v>46181</v>
      </c>
      <c r="H19" s="3">
        <f>MASTER_AR_REPORT!H148</f>
        <v>0</v>
      </c>
      <c r="I19" s="3">
        <f>MASTER_AR_REPORT!I148</f>
        <v>3614</v>
      </c>
      <c r="J19" s="2">
        <f ca="1">MASTER_AR_REPORT!J148</f>
        <v>0</v>
      </c>
      <c r="K19" s="2" t="str">
        <f ca="1">MASTER_AR_REPORT!K148</f>
        <v>0-30 Days</v>
      </c>
      <c r="L19" s="2" t="str">
        <f ca="1">MASTER_AR_REPORT!L148</f>
        <v>Low</v>
      </c>
      <c r="M19" s="2" t="str">
        <f ca="1">MASTER_AR_REPORT!M148</f>
        <v>Normal</v>
      </c>
      <c r="N19" s="2" t="str">
        <f>MASTER_AR_REPORT!N148</f>
        <v>Pending</v>
      </c>
      <c r="O19" s="2">
        <f>MASTER_AR_REPORT!O148</f>
        <v>0</v>
      </c>
    </row>
    <row r="20" spans="1:15">
      <c r="A20" s="5">
        <v>16</v>
      </c>
      <c r="B20" s="5" t="str">
        <f>IF(MASTER_AR_REPORT!B149="","",MASTER_AR_REPORT!B149)</f>
        <v>Mujahid</v>
      </c>
      <c r="C20" s="11">
        <f>MASTER_AR_REPORT!C149</f>
        <v>45988</v>
      </c>
      <c r="D20" s="5" t="str">
        <f>IF(MASTER_AR_REPORT!D149="","",MASTER_AR_REPORT!D149)</f>
        <v>C-SLG/1781/25-26</v>
      </c>
      <c r="E20" s="5" t="str">
        <f>IF(MASTER_AR_REPORT!E149="","",MASTER_AR_REPORT!E149)</f>
        <v>K D M MARKETING</v>
      </c>
      <c r="F20" s="6">
        <f>MASTER_AR_REPORT!F149</f>
        <v>107348</v>
      </c>
      <c r="G20" s="11">
        <f>MASTER_AR_REPORT!G149</f>
        <v>46013</v>
      </c>
      <c r="H20" s="6">
        <f>MASTER_AR_REPORT!H149</f>
        <v>0</v>
      </c>
      <c r="I20" s="6">
        <f>MASTER_AR_REPORT!I149</f>
        <v>107348</v>
      </c>
      <c r="J20" s="5">
        <f ca="1">MASTER_AR_REPORT!J149</f>
        <v>151</v>
      </c>
      <c r="K20" s="5" t="str">
        <f ca="1">MASTER_AR_REPORT!K149</f>
        <v>90+ Days</v>
      </c>
      <c r="L20" s="5" t="str">
        <f ca="1">MASTER_AR_REPORT!L149</f>
        <v>HIGH RISK</v>
      </c>
      <c r="M20" s="5" t="str">
        <f ca="1">MASTER_AR_REPORT!M149</f>
        <v>Immediate Action</v>
      </c>
      <c r="N20" s="5" t="str">
        <f>MASTER_AR_REPORT!N149</f>
        <v>Pending</v>
      </c>
      <c r="O20" s="5" t="str">
        <f>MASTER_AR_REPORT!O149</f>
        <v>Number Busy</v>
      </c>
    </row>
    <row r="21" spans="1:15">
      <c r="A21" s="2">
        <v>17</v>
      </c>
      <c r="B21" s="2" t="str">
        <f>IF(MASTER_AR_REPORT!B150="","",MASTER_AR_REPORT!B150)</f>
        <v>Mujahid</v>
      </c>
      <c r="C21" s="12">
        <f>MASTER_AR_REPORT!C150</f>
        <v>46123</v>
      </c>
      <c r="D21" s="2" t="str">
        <f>IF(MASTER_AR_REPORT!D150="","",MASTER_AR_REPORT!D150)</f>
        <v>C-SLG/0030/26-27</v>
      </c>
      <c r="E21" s="2" t="str">
        <f>IF(MASTER_AR_REPORT!E150="","",MASTER_AR_REPORT!E150)</f>
        <v>K D M MARKETING</v>
      </c>
      <c r="F21" s="3">
        <f>MASTER_AR_REPORT!F150</f>
        <v>94833</v>
      </c>
      <c r="G21" s="12">
        <f>MASTER_AR_REPORT!G150</f>
        <v>46148</v>
      </c>
      <c r="H21" s="3">
        <f>MASTER_AR_REPORT!H150</f>
        <v>0</v>
      </c>
      <c r="I21" s="3">
        <f>MASTER_AR_REPORT!I150</f>
        <v>94833</v>
      </c>
      <c r="J21" s="2">
        <f ca="1">MASTER_AR_REPORT!J150</f>
        <v>16</v>
      </c>
      <c r="K21" s="2" t="str">
        <f ca="1">MASTER_AR_REPORT!K150</f>
        <v>0-30 Days</v>
      </c>
      <c r="L21" s="2" t="str">
        <f ca="1">MASTER_AR_REPORT!L150</f>
        <v>Low</v>
      </c>
      <c r="M21" s="2" t="str">
        <f ca="1">MASTER_AR_REPORT!M150</f>
        <v>Normal</v>
      </c>
      <c r="N21" s="2" t="str">
        <f>MASTER_AR_REPORT!N150</f>
        <v>Pending</v>
      </c>
      <c r="O21" s="2" t="str">
        <f>MASTER_AR_REPORT!O150</f>
        <v>Number Busy</v>
      </c>
    </row>
    <row r="22" spans="1:15">
      <c r="A22" s="5">
        <v>18</v>
      </c>
      <c r="B22" s="5" t="str">
        <f>IF(MASTER_AR_REPORT!B151="","",MASTER_AR_REPORT!B151)</f>
        <v>Mujahid</v>
      </c>
      <c r="C22" s="11">
        <f>MASTER_AR_REPORT!C151</f>
        <v>46112</v>
      </c>
      <c r="D22" s="5" t="str">
        <f>IF(MASTER_AR_REPORT!D151="","",MASTER_AR_REPORT!D151)</f>
        <v>C-SLG/2490/25-26</v>
      </c>
      <c r="E22" s="5" t="str">
        <f>IF(MASTER_AR_REPORT!E151="","",MASTER_AR_REPORT!E151)</f>
        <v>Mahadev Stationers</v>
      </c>
      <c r="F22" s="6">
        <f>MASTER_AR_REPORT!F151</f>
        <v>146950</v>
      </c>
      <c r="G22" s="11">
        <f>MASTER_AR_REPORT!G151</f>
        <v>46137</v>
      </c>
      <c r="H22" s="6">
        <f>MASTER_AR_REPORT!H151</f>
        <v>146950</v>
      </c>
      <c r="I22" s="6">
        <f>MASTER_AR_REPORT!I151</f>
        <v>0</v>
      </c>
      <c r="J22" s="5">
        <f ca="1">MASTER_AR_REPORT!J151</f>
        <v>27</v>
      </c>
      <c r="K22" s="5" t="str">
        <f>MASTER_AR_REPORT!K151</f>
        <v>Current</v>
      </c>
      <c r="L22" s="5" t="str">
        <f>MASTER_AR_REPORT!L151</f>
        <v>-</v>
      </c>
      <c r="M22" s="5" t="str">
        <f>MASTER_AR_REPORT!M151</f>
        <v>-</v>
      </c>
      <c r="N22" s="5" t="str">
        <f>MASTER_AR_REPORT!N151</f>
        <v>Pending</v>
      </c>
      <c r="O22" s="5" t="str">
        <f>MASTER_AR_REPORT!O151</f>
        <v>Paid Cheque - Full Amt</v>
      </c>
    </row>
    <row r="23" spans="1:15">
      <c r="A23" s="2">
        <v>19</v>
      </c>
      <c r="B23" s="2" t="str">
        <f>IF(MASTER_AR_REPORT!B152="","",MASTER_AR_REPORT!B152)</f>
        <v>Mujahid</v>
      </c>
      <c r="C23" s="12">
        <f>MASTER_AR_REPORT!C152</f>
        <v>46133</v>
      </c>
      <c r="D23" s="2" t="str">
        <f>IF(MASTER_AR_REPORT!D152="","",MASTER_AR_REPORT!D152)</f>
        <v>C-SLG/0057/26-27</v>
      </c>
      <c r="E23" s="2" t="str">
        <f>IF(MASTER_AR_REPORT!E152="","",MASTER_AR_REPORT!E152)</f>
        <v>Nandi Arts Stationery</v>
      </c>
      <c r="F23" s="3">
        <f>MASTER_AR_REPORT!F152</f>
        <v>120696</v>
      </c>
      <c r="G23" s="12">
        <f>MASTER_AR_REPORT!G152</f>
        <v>46158</v>
      </c>
      <c r="H23" s="3">
        <f>MASTER_AR_REPORT!H152</f>
        <v>0</v>
      </c>
      <c r="I23" s="3">
        <f>MASTER_AR_REPORT!I152</f>
        <v>120696</v>
      </c>
      <c r="J23" s="2">
        <f ca="1">MASTER_AR_REPORT!J152</f>
        <v>6</v>
      </c>
      <c r="K23" s="2" t="str">
        <f ca="1">MASTER_AR_REPORT!K152</f>
        <v>0-30 Days</v>
      </c>
      <c r="L23" s="2" t="str">
        <f ca="1">MASTER_AR_REPORT!L152</f>
        <v>Low</v>
      </c>
      <c r="M23" s="2" t="str">
        <f ca="1">MASTER_AR_REPORT!M152</f>
        <v>Normal</v>
      </c>
      <c r="N23" s="2" t="str">
        <f>MASTER_AR_REPORT!N152</f>
        <v>Pending</v>
      </c>
      <c r="O23" s="2">
        <f>MASTER_AR_REPORT!O152</f>
        <v>0</v>
      </c>
    </row>
    <row r="24" spans="1:15">
      <c r="A24" s="5">
        <v>20</v>
      </c>
      <c r="B24" s="5" t="str">
        <f>IF(MASTER_AR_REPORT!B153="","",MASTER_AR_REPORT!B153)</f>
        <v>Mujahid</v>
      </c>
      <c r="C24" s="11">
        <f>MASTER_AR_REPORT!C153</f>
        <v>46139</v>
      </c>
      <c r="D24" s="5" t="str">
        <f>IF(MASTER_AR_REPORT!D153="","",MASTER_AR_REPORT!D153)</f>
        <v>C-SLG/0072/26-27</v>
      </c>
      <c r="E24" s="5" t="str">
        <f>IF(MASTER_AR_REPORT!E153="","",MASTER_AR_REPORT!E153)</f>
        <v>Nandi Arts Stationery</v>
      </c>
      <c r="F24" s="6">
        <f>MASTER_AR_REPORT!F153</f>
        <v>25410</v>
      </c>
      <c r="G24" s="11">
        <f>MASTER_AR_REPORT!G153</f>
        <v>46164</v>
      </c>
      <c r="H24" s="6">
        <f>MASTER_AR_REPORT!H153</f>
        <v>0</v>
      </c>
      <c r="I24" s="6">
        <f>MASTER_AR_REPORT!I153</f>
        <v>25410</v>
      </c>
      <c r="J24" s="5">
        <f ca="1">MASTER_AR_REPORT!J153</f>
        <v>0</v>
      </c>
      <c r="K24" s="5" t="str">
        <f ca="1">MASTER_AR_REPORT!K153</f>
        <v>0-30 Days</v>
      </c>
      <c r="L24" s="5" t="str">
        <f ca="1">MASTER_AR_REPORT!L153</f>
        <v>Low</v>
      </c>
      <c r="M24" s="5" t="str">
        <f ca="1">MASTER_AR_REPORT!M153</f>
        <v>Normal</v>
      </c>
      <c r="N24" s="5" t="str">
        <f>MASTER_AR_REPORT!N153</f>
        <v>Pending</v>
      </c>
      <c r="O24" s="5">
        <f>MASTER_AR_REPORT!O153</f>
        <v>0</v>
      </c>
    </row>
    <row r="25" spans="1:15">
      <c r="A25" s="2">
        <v>21</v>
      </c>
      <c r="B25" s="2" t="str">
        <f>IF(MASTER_AR_REPORT!B154="","",MASTER_AR_REPORT!B154)</f>
        <v>Mujahid</v>
      </c>
      <c r="C25" s="12">
        <f>MASTER_AR_REPORT!C154</f>
        <v>46104</v>
      </c>
      <c r="D25" s="2" t="str">
        <f>IF(MASTER_AR_REPORT!D154="","",MASTER_AR_REPORT!D154)</f>
        <v>C-SLG/2418/25-26</v>
      </c>
      <c r="E25" s="2" t="str">
        <f>IF(MASTER_AR_REPORT!E154="","",MASTER_AR_REPORT!E154)</f>
        <v>Narender Stationary</v>
      </c>
      <c r="F25" s="3">
        <f>MASTER_AR_REPORT!F154</f>
        <v>1329</v>
      </c>
      <c r="G25" s="12">
        <f>MASTER_AR_REPORT!G154</f>
        <v>46129</v>
      </c>
      <c r="H25" s="3">
        <f>MASTER_AR_REPORT!H154</f>
        <v>0</v>
      </c>
      <c r="I25" s="3">
        <f>MASTER_AR_REPORT!I154</f>
        <v>1329</v>
      </c>
      <c r="J25" s="2">
        <f ca="1">MASTER_AR_REPORT!J154</f>
        <v>35</v>
      </c>
      <c r="K25" s="2" t="str">
        <f ca="1">MASTER_AR_REPORT!K154</f>
        <v>31-60 Days</v>
      </c>
      <c r="L25" s="2" t="str">
        <f ca="1">MASTER_AR_REPORT!L154</f>
        <v>Low-Medium</v>
      </c>
      <c r="M25" s="2" t="str">
        <f ca="1">MASTER_AR_REPORT!M154</f>
        <v>Medium</v>
      </c>
      <c r="N25" s="2" t="str">
        <f>MASTER_AR_REPORT!N154</f>
        <v>Pending</v>
      </c>
      <c r="O25" s="2">
        <f>MASTER_AR_REPORT!O154</f>
        <v>0</v>
      </c>
    </row>
    <row r="26" spans="1:15">
      <c r="A26" s="5">
        <v>22</v>
      </c>
      <c r="B26" s="5" t="str">
        <f>IF(MASTER_AR_REPORT!B155="","",MASTER_AR_REPORT!B155)</f>
        <v>Mujahid</v>
      </c>
      <c r="C26" s="11">
        <f>MASTER_AR_REPORT!C155</f>
        <v>46136</v>
      </c>
      <c r="D26" s="5" t="str">
        <f>IF(MASTER_AR_REPORT!D155="","",MASTER_AR_REPORT!D155)</f>
        <v>C-SLG/0068/26-27</v>
      </c>
      <c r="E26" s="5" t="str">
        <f>IF(MASTER_AR_REPORT!E155="","",MASTER_AR_REPORT!E155)</f>
        <v>N. PRIYA STATIONARY</v>
      </c>
      <c r="F26" s="6">
        <f>MASTER_AR_REPORT!F155</f>
        <v>135197</v>
      </c>
      <c r="G26" s="11">
        <f>MASTER_AR_REPORT!G155</f>
        <v>46161</v>
      </c>
      <c r="H26" s="6">
        <f>MASTER_AR_REPORT!H155</f>
        <v>0</v>
      </c>
      <c r="I26" s="6">
        <f>MASTER_AR_REPORT!I155</f>
        <v>135197</v>
      </c>
      <c r="J26" s="5">
        <f ca="1">MASTER_AR_REPORT!J155</f>
        <v>3</v>
      </c>
      <c r="K26" s="5" t="str">
        <f ca="1">MASTER_AR_REPORT!K155</f>
        <v>0-30 Days</v>
      </c>
      <c r="L26" s="5" t="str">
        <f ca="1">MASTER_AR_REPORT!L155</f>
        <v>Low</v>
      </c>
      <c r="M26" s="5" t="str">
        <f ca="1">MASTER_AR_REPORT!M155</f>
        <v>Normal</v>
      </c>
      <c r="N26" s="5" t="str">
        <f>MASTER_AR_REPORT!N155</f>
        <v>Pending</v>
      </c>
      <c r="O26" s="5">
        <f>MASTER_AR_REPORT!O155</f>
        <v>0</v>
      </c>
    </row>
    <row r="27" spans="1:15">
      <c r="A27" s="2">
        <v>23</v>
      </c>
      <c r="B27" s="2" t="str">
        <f>IF(MASTER_AR_REPORT!B156="","",MASTER_AR_REPORT!B156)</f>
        <v>Mujahid</v>
      </c>
      <c r="C27" s="12">
        <f>MASTER_AR_REPORT!C156</f>
        <v>46104</v>
      </c>
      <c r="D27" s="2" t="str">
        <f>IF(MASTER_AR_REPORT!D156="","",MASTER_AR_REPORT!D156)</f>
        <v>C-SLG/2417/25-26</v>
      </c>
      <c r="E27" s="2" t="str">
        <f>IF(MASTER_AR_REPORT!E156="","",MASTER_AR_REPORT!E156)</f>
        <v>PAVAN STATIONERY MART</v>
      </c>
      <c r="F27" s="3">
        <f>MASTER_AR_REPORT!F156</f>
        <v>1329</v>
      </c>
      <c r="G27" s="12">
        <f>MASTER_AR_REPORT!G156</f>
        <v>46129</v>
      </c>
      <c r="H27" s="3">
        <f>MASTER_AR_REPORT!H156</f>
        <v>0</v>
      </c>
      <c r="I27" s="3">
        <f>MASTER_AR_REPORT!I156</f>
        <v>1329</v>
      </c>
      <c r="J27" s="2">
        <f ca="1">MASTER_AR_REPORT!J156</f>
        <v>35</v>
      </c>
      <c r="K27" s="2" t="str">
        <f ca="1">MASTER_AR_REPORT!K156</f>
        <v>31-60 Days</v>
      </c>
      <c r="L27" s="2" t="str">
        <f ca="1">MASTER_AR_REPORT!L156</f>
        <v>Low-Medium</v>
      </c>
      <c r="M27" s="2" t="str">
        <f ca="1">MASTER_AR_REPORT!M156</f>
        <v>Medium</v>
      </c>
      <c r="N27" s="2" t="str">
        <f>MASTER_AR_REPORT!N156</f>
        <v>Pending</v>
      </c>
      <c r="O27" s="2">
        <f>MASTER_AR_REPORT!O156</f>
        <v>0</v>
      </c>
    </row>
    <row r="28" spans="1:15">
      <c r="A28" s="5">
        <v>24</v>
      </c>
      <c r="B28" s="5" t="str">
        <f>IF(MASTER_AR_REPORT!B157="","",MASTER_AR_REPORT!B157)</f>
        <v>Mujahid</v>
      </c>
      <c r="C28" s="11">
        <f>MASTER_AR_REPORT!C157</f>
        <v>46087</v>
      </c>
      <c r="D28" s="5" t="str">
        <f>IF(MASTER_AR_REPORT!D157="","",MASTER_AR_REPORT!D157)</f>
        <v>C-SLG/2325/25-26</v>
      </c>
      <c r="E28" s="5" t="str">
        <f>IF(MASTER_AR_REPORT!E157="","",MASTER_AR_REPORT!E157)</f>
        <v>RAHUL STATIONERS</v>
      </c>
      <c r="F28" s="6">
        <f>MASTER_AR_REPORT!F157</f>
        <v>1427</v>
      </c>
      <c r="G28" s="11">
        <f>MASTER_AR_REPORT!G157</f>
        <v>46112</v>
      </c>
      <c r="H28" s="6">
        <f>MASTER_AR_REPORT!H157</f>
        <v>0</v>
      </c>
      <c r="I28" s="6">
        <f>MASTER_AR_REPORT!I157</f>
        <v>1427</v>
      </c>
      <c r="J28" s="5">
        <f ca="1">MASTER_AR_REPORT!J157</f>
        <v>52</v>
      </c>
      <c r="K28" s="5" t="str">
        <f ca="1">MASTER_AR_REPORT!K157</f>
        <v>31-60 Days</v>
      </c>
      <c r="L28" s="5" t="str">
        <f ca="1">MASTER_AR_REPORT!L157</f>
        <v>Low-Medium</v>
      </c>
      <c r="M28" s="5" t="str">
        <f ca="1">MASTER_AR_REPORT!M157</f>
        <v>Medium</v>
      </c>
      <c r="N28" s="5" t="str">
        <f>MASTER_AR_REPORT!N157</f>
        <v>Pending</v>
      </c>
      <c r="O28" s="5">
        <f>MASTER_AR_REPORT!O157</f>
        <v>0</v>
      </c>
    </row>
    <row r="29" spans="1:15">
      <c r="A29" s="2">
        <v>25</v>
      </c>
      <c r="B29" s="2" t="str">
        <f>IF(MASTER_AR_REPORT!B158="","",MASTER_AR_REPORT!B158)</f>
        <v>Mujahid</v>
      </c>
      <c r="C29" s="12">
        <f>MASTER_AR_REPORT!C158</f>
        <v>46098</v>
      </c>
      <c r="D29" s="2" t="str">
        <f>IF(MASTER_AR_REPORT!D158="","",MASTER_AR_REPORT!D158)</f>
        <v>C-SLG/2395/25-26</v>
      </c>
      <c r="E29" s="2" t="str">
        <f>IF(MASTER_AR_REPORT!E158="","",MASTER_AR_REPORT!E158)</f>
        <v>RAJKAMAL AGENCIES</v>
      </c>
      <c r="F29" s="3">
        <f>MASTER_AR_REPORT!F158</f>
        <v>75814</v>
      </c>
      <c r="G29" s="12">
        <f>MASTER_AR_REPORT!G158</f>
        <v>46123</v>
      </c>
      <c r="H29" s="3">
        <f>MASTER_AR_REPORT!H158</f>
        <v>0</v>
      </c>
      <c r="I29" s="3">
        <f>MASTER_AR_REPORT!I158</f>
        <v>75814</v>
      </c>
      <c r="J29" s="2">
        <f ca="1">MASTER_AR_REPORT!J158</f>
        <v>41</v>
      </c>
      <c r="K29" s="2" t="str">
        <f ca="1">MASTER_AR_REPORT!K158</f>
        <v>31-60 Days</v>
      </c>
      <c r="L29" s="2" t="str">
        <f ca="1">MASTER_AR_REPORT!L158</f>
        <v>Low-Medium</v>
      </c>
      <c r="M29" s="2" t="str">
        <f ca="1">MASTER_AR_REPORT!M158</f>
        <v>Medium</v>
      </c>
      <c r="N29" s="2" t="str">
        <f>MASTER_AR_REPORT!N158</f>
        <v>Pending</v>
      </c>
      <c r="O29" s="2">
        <f>MASTER_AR_REPORT!O158</f>
        <v>0</v>
      </c>
    </row>
    <row r="30" spans="1:15">
      <c r="A30" s="5">
        <v>26</v>
      </c>
      <c r="B30" s="5" t="str">
        <f>IF(MASTER_AR_REPORT!B159="","",MASTER_AR_REPORT!B159)</f>
        <v>Mujahid</v>
      </c>
      <c r="C30" s="11">
        <f>MASTER_AR_REPORT!C159</f>
        <v>46112</v>
      </c>
      <c r="D30" s="5" t="str">
        <f>IF(MASTER_AR_REPORT!D159="","",MASTER_AR_REPORT!D159)</f>
        <v>Bounce Charges-2661</v>
      </c>
      <c r="E30" s="5" t="str">
        <f>IF(MASTER_AR_REPORT!E159="","",MASTER_AR_REPORT!E159)</f>
        <v>RAJKAMAL AGENCIES</v>
      </c>
      <c r="F30" s="6">
        <f>MASTER_AR_REPORT!F159</f>
        <v>500</v>
      </c>
      <c r="G30" s="11">
        <f>MASTER_AR_REPORT!G159</f>
        <v>46137</v>
      </c>
      <c r="H30" s="6">
        <f>MASTER_AR_REPORT!H159</f>
        <v>0</v>
      </c>
      <c r="I30" s="6">
        <f>MASTER_AR_REPORT!I159</f>
        <v>500</v>
      </c>
      <c r="J30" s="5">
        <f ca="1">MASTER_AR_REPORT!J159</f>
        <v>27</v>
      </c>
      <c r="K30" s="5" t="str">
        <f ca="1">MASTER_AR_REPORT!K159</f>
        <v>0-30 Days</v>
      </c>
      <c r="L30" s="5" t="str">
        <f ca="1">MASTER_AR_REPORT!L159</f>
        <v>Low</v>
      </c>
      <c r="M30" s="5" t="str">
        <f ca="1">MASTER_AR_REPORT!M159</f>
        <v>Normal</v>
      </c>
      <c r="N30" s="5" t="str">
        <f>MASTER_AR_REPORT!N159</f>
        <v>Pending</v>
      </c>
      <c r="O30" s="5">
        <f>MASTER_AR_REPORT!O159</f>
        <v>0</v>
      </c>
    </row>
    <row r="31" spans="1:15">
      <c r="A31" s="2">
        <v>27</v>
      </c>
      <c r="B31" s="2" t="str">
        <f>IF(MASTER_AR_REPORT!B160="","",MASTER_AR_REPORT!B160)</f>
        <v>Mujahid</v>
      </c>
      <c r="C31" s="12">
        <f>MASTER_AR_REPORT!C160</f>
        <v>46151</v>
      </c>
      <c r="D31" s="2" t="str">
        <f>IF(MASTER_AR_REPORT!D160="","",MASTER_AR_REPORT!D160)</f>
        <v>C-SLG/0107/26-27</v>
      </c>
      <c r="E31" s="2" t="str">
        <f>IF(MASTER_AR_REPORT!E160="","",MASTER_AR_REPORT!E160)</f>
        <v>RAJKAMAL AGENCIES</v>
      </c>
      <c r="F31" s="3">
        <f>MASTER_AR_REPORT!F160</f>
        <v>57397</v>
      </c>
      <c r="G31" s="12">
        <f>MASTER_AR_REPORT!G160</f>
        <v>46176</v>
      </c>
      <c r="H31" s="3">
        <f>MASTER_AR_REPORT!H160</f>
        <v>0</v>
      </c>
      <c r="I31" s="3">
        <f>MASTER_AR_REPORT!I160</f>
        <v>57397</v>
      </c>
      <c r="J31" s="2">
        <f ca="1">MASTER_AR_REPORT!J160</f>
        <v>0</v>
      </c>
      <c r="K31" s="2" t="str">
        <f ca="1">MASTER_AR_REPORT!K160</f>
        <v>0-30 Days</v>
      </c>
      <c r="L31" s="2" t="str">
        <f ca="1">MASTER_AR_REPORT!L160</f>
        <v>Low</v>
      </c>
      <c r="M31" s="2" t="str">
        <f ca="1">MASTER_AR_REPORT!M160</f>
        <v>Normal</v>
      </c>
      <c r="N31" s="2" t="str">
        <f>MASTER_AR_REPORT!N160</f>
        <v>Pending</v>
      </c>
      <c r="O31" s="2">
        <f>MASTER_AR_REPORT!O160</f>
        <v>0</v>
      </c>
    </row>
    <row r="32" spans="1:15">
      <c r="A32" s="5">
        <v>28</v>
      </c>
      <c r="B32" s="5" t="str">
        <f>IF(MASTER_AR_REPORT!B161="","",MASTER_AR_REPORT!B161)</f>
        <v>Mujahid</v>
      </c>
      <c r="C32" s="11">
        <f>MASTER_AR_REPORT!C161</f>
        <v>46121</v>
      </c>
      <c r="D32" s="5" t="str">
        <f>IF(MASTER_AR_REPORT!D161="","",MASTER_AR_REPORT!D161)</f>
        <v>Bounce Charges-170</v>
      </c>
      <c r="E32" s="5" t="str">
        <f>IF(MASTER_AR_REPORT!E161="","",MASTER_AR_REPORT!E161)</f>
        <v>Rajkamal Paper Product</v>
      </c>
      <c r="F32" s="6">
        <f>MASTER_AR_REPORT!F161</f>
        <v>500</v>
      </c>
      <c r="G32" s="11">
        <f>MASTER_AR_REPORT!G161</f>
        <v>46146</v>
      </c>
      <c r="H32" s="6">
        <f>MASTER_AR_REPORT!H161</f>
        <v>0</v>
      </c>
      <c r="I32" s="6">
        <f>MASTER_AR_REPORT!I161</f>
        <v>500</v>
      </c>
      <c r="J32" s="5">
        <f ca="1">MASTER_AR_REPORT!J161</f>
        <v>18</v>
      </c>
      <c r="K32" s="5" t="str">
        <f ca="1">MASTER_AR_REPORT!K161</f>
        <v>0-30 Days</v>
      </c>
      <c r="L32" s="5" t="str">
        <f ca="1">MASTER_AR_REPORT!L161</f>
        <v>Low</v>
      </c>
      <c r="M32" s="5" t="str">
        <f ca="1">MASTER_AR_REPORT!M161</f>
        <v>Normal</v>
      </c>
      <c r="N32" s="5" t="str">
        <f>MASTER_AR_REPORT!N161</f>
        <v>Pending</v>
      </c>
      <c r="O32" s="5">
        <f>MASTER_AR_REPORT!O161</f>
        <v>0</v>
      </c>
    </row>
    <row r="33" spans="1:15">
      <c r="A33" s="2">
        <v>29</v>
      </c>
      <c r="B33" s="2" t="str">
        <f>IF(MASTER_AR_REPORT!B162="","",MASTER_AR_REPORT!B162)</f>
        <v>Mujahid</v>
      </c>
      <c r="C33" s="12">
        <f>MASTER_AR_REPORT!C162</f>
        <v>46125</v>
      </c>
      <c r="D33" s="2" t="str">
        <f>IF(MASTER_AR_REPORT!D162="","",MASTER_AR_REPORT!D162)</f>
        <v>Bounce Charges-172</v>
      </c>
      <c r="E33" s="2" t="str">
        <f>IF(MASTER_AR_REPORT!E162="","",MASTER_AR_REPORT!E162)</f>
        <v>Rajkamal Paper Product</v>
      </c>
      <c r="F33" s="3">
        <f>MASTER_AR_REPORT!F162</f>
        <v>500</v>
      </c>
      <c r="G33" s="12">
        <f>MASTER_AR_REPORT!G162</f>
        <v>46150</v>
      </c>
      <c r="H33" s="3">
        <f>MASTER_AR_REPORT!H162</f>
        <v>0</v>
      </c>
      <c r="I33" s="3">
        <f>MASTER_AR_REPORT!I162</f>
        <v>500</v>
      </c>
      <c r="J33" s="2">
        <f ca="1">MASTER_AR_REPORT!J162</f>
        <v>14</v>
      </c>
      <c r="K33" s="2" t="str">
        <f ca="1">MASTER_AR_REPORT!K162</f>
        <v>0-30 Days</v>
      </c>
      <c r="L33" s="2" t="str">
        <f ca="1">MASTER_AR_REPORT!L162</f>
        <v>Low</v>
      </c>
      <c r="M33" s="2" t="str">
        <f ca="1">MASTER_AR_REPORT!M162</f>
        <v>Normal</v>
      </c>
      <c r="N33" s="2" t="str">
        <f>MASTER_AR_REPORT!N162</f>
        <v>Pending</v>
      </c>
      <c r="O33" s="2">
        <f>MASTER_AR_REPORT!O162</f>
        <v>0</v>
      </c>
    </row>
    <row r="34" spans="1:15">
      <c r="A34" s="5">
        <v>30</v>
      </c>
      <c r="B34" s="5" t="str">
        <f>IF(MASTER_AR_REPORT!B163="","",MASTER_AR_REPORT!B163)</f>
        <v>Mujahid</v>
      </c>
      <c r="C34" s="11">
        <f>MASTER_AR_REPORT!C163</f>
        <v>46130</v>
      </c>
      <c r="D34" s="5" t="str">
        <f>IF(MASTER_AR_REPORT!D163="","",MASTER_AR_REPORT!D163)</f>
        <v>C-SLG/0052/26-27</v>
      </c>
      <c r="E34" s="5" t="str">
        <f>IF(MASTER_AR_REPORT!E163="","",MASTER_AR_REPORT!E163)</f>
        <v>Rajkamal Paper Product</v>
      </c>
      <c r="F34" s="6">
        <f>MASTER_AR_REPORT!F163</f>
        <v>39730</v>
      </c>
      <c r="G34" s="11">
        <f>MASTER_AR_REPORT!G163</f>
        <v>46155</v>
      </c>
      <c r="H34" s="6">
        <f>MASTER_AR_REPORT!H163</f>
        <v>0</v>
      </c>
      <c r="I34" s="6">
        <f>MASTER_AR_REPORT!I163</f>
        <v>39730</v>
      </c>
      <c r="J34" s="5">
        <f ca="1">MASTER_AR_REPORT!J163</f>
        <v>9</v>
      </c>
      <c r="K34" s="5" t="str">
        <f ca="1">MASTER_AR_REPORT!K163</f>
        <v>0-30 Days</v>
      </c>
      <c r="L34" s="5" t="str">
        <f ca="1">MASTER_AR_REPORT!L163</f>
        <v>Low</v>
      </c>
      <c r="M34" s="5" t="str">
        <f ca="1">MASTER_AR_REPORT!M163</f>
        <v>Normal</v>
      </c>
      <c r="N34" s="5" t="str">
        <f>MASTER_AR_REPORT!N163</f>
        <v>Pending</v>
      </c>
      <c r="O34" s="5">
        <f>MASTER_AR_REPORT!O163</f>
        <v>0</v>
      </c>
    </row>
    <row r="35" spans="1:15">
      <c r="A35" s="2">
        <v>31</v>
      </c>
      <c r="B35" s="2" t="str">
        <f>IF(MASTER_AR_REPORT!B164="","",MASTER_AR_REPORT!B164)</f>
        <v>Mujahid</v>
      </c>
      <c r="C35" s="12">
        <f>MASTER_AR_REPORT!C164</f>
        <v>46015</v>
      </c>
      <c r="D35" s="2" t="str">
        <f>IF(MASTER_AR_REPORT!D164="","",MASTER_AR_REPORT!D164)</f>
        <v>Chq Bounce-2101</v>
      </c>
      <c r="E35" s="2" t="str">
        <f>IF(MASTER_AR_REPORT!E164="","",MASTER_AR_REPORT!E164)</f>
        <v>RAJLAXMI STATIONERY</v>
      </c>
      <c r="F35" s="3">
        <f>MASTER_AR_REPORT!F164</f>
        <v>15000</v>
      </c>
      <c r="G35" s="12">
        <f>MASTER_AR_REPORT!G164</f>
        <v>46040</v>
      </c>
      <c r="H35" s="3">
        <f>MASTER_AR_REPORT!H164</f>
        <v>0</v>
      </c>
      <c r="I35" s="3">
        <f>MASTER_AR_REPORT!I164</f>
        <v>15000</v>
      </c>
      <c r="J35" s="2">
        <f ca="1">MASTER_AR_REPORT!J164</f>
        <v>124</v>
      </c>
      <c r="K35" s="2" t="str">
        <f ca="1">MASTER_AR_REPORT!K164</f>
        <v>90+ Days</v>
      </c>
      <c r="L35" s="2" t="str">
        <f ca="1">MASTER_AR_REPORT!L164</f>
        <v>HIGH RISK</v>
      </c>
      <c r="M35" s="2" t="str">
        <f ca="1">MASTER_AR_REPORT!M164</f>
        <v>Immediate Action</v>
      </c>
      <c r="N35" s="2" t="str">
        <f>MASTER_AR_REPORT!N164</f>
        <v>Pending</v>
      </c>
      <c r="O35" s="2">
        <f>MASTER_AR_REPORT!O164</f>
        <v>0</v>
      </c>
    </row>
    <row r="36" spans="1:15">
      <c r="A36" s="5">
        <v>32</v>
      </c>
      <c r="B36" s="5" t="str">
        <f>IF(MASTER_AR_REPORT!B165="","",MASTER_AR_REPORT!B165)</f>
        <v>Mujahid</v>
      </c>
      <c r="C36" s="11">
        <f>MASTER_AR_REPORT!C165</f>
        <v>46042</v>
      </c>
      <c r="D36" s="5" t="str">
        <f>IF(MASTER_AR_REPORT!D165="","",MASTER_AR_REPORT!D165)</f>
        <v>Bounce Charges-2290</v>
      </c>
      <c r="E36" s="5" t="str">
        <f>IF(MASTER_AR_REPORT!E165="","",MASTER_AR_REPORT!E165)</f>
        <v>RAJLAXMI STATIONERY</v>
      </c>
      <c r="F36" s="6">
        <f>MASTER_AR_REPORT!F165</f>
        <v>400</v>
      </c>
      <c r="G36" s="11">
        <f>MASTER_AR_REPORT!G165</f>
        <v>46067</v>
      </c>
      <c r="H36" s="6">
        <f>MASTER_AR_REPORT!H165</f>
        <v>0</v>
      </c>
      <c r="I36" s="6">
        <f>MASTER_AR_REPORT!I165</f>
        <v>400</v>
      </c>
      <c r="J36" s="5">
        <f ca="1">MASTER_AR_REPORT!J165</f>
        <v>97</v>
      </c>
      <c r="K36" s="5" t="str">
        <f ca="1">MASTER_AR_REPORT!K165</f>
        <v>90+ Days</v>
      </c>
      <c r="L36" s="5" t="str">
        <f ca="1">MASTER_AR_REPORT!L165</f>
        <v>HIGH RISK</v>
      </c>
      <c r="M36" s="5" t="str">
        <f ca="1">MASTER_AR_REPORT!M165</f>
        <v>Immediate Action</v>
      </c>
      <c r="N36" s="5" t="str">
        <f>MASTER_AR_REPORT!N165</f>
        <v>Pending</v>
      </c>
      <c r="O36" s="5">
        <f>MASTER_AR_REPORT!O165</f>
        <v>0</v>
      </c>
    </row>
    <row r="37" spans="1:15">
      <c r="A37" s="2">
        <v>33</v>
      </c>
      <c r="B37" s="2" t="str">
        <f>IF(MASTER_AR_REPORT!B166="","",MASTER_AR_REPORT!B166)</f>
        <v>Mujahid</v>
      </c>
      <c r="C37" s="12">
        <f>MASTER_AR_REPORT!C166</f>
        <v>46084</v>
      </c>
      <c r="D37" s="2" t="str">
        <f>IF(MASTER_AR_REPORT!D166="","",MASTER_AR_REPORT!D166)</f>
        <v>C-SLG/2306/25-26</v>
      </c>
      <c r="E37" s="2" t="str">
        <f>IF(MASTER_AR_REPORT!E166="","",MASTER_AR_REPORT!E166)</f>
        <v>RAJ MARKETING</v>
      </c>
      <c r="F37" s="3">
        <f>MASTER_AR_REPORT!F166</f>
        <v>26307</v>
      </c>
      <c r="G37" s="12">
        <f>MASTER_AR_REPORT!G166</f>
        <v>46109</v>
      </c>
      <c r="H37" s="3">
        <f>MASTER_AR_REPORT!H166</f>
        <v>0</v>
      </c>
      <c r="I37" s="3">
        <f>MASTER_AR_REPORT!I166</f>
        <v>26307</v>
      </c>
      <c r="J37" s="2">
        <f ca="1">MASTER_AR_REPORT!J166</f>
        <v>55</v>
      </c>
      <c r="K37" s="2" t="str">
        <f ca="1">MASTER_AR_REPORT!K166</f>
        <v>31-60 Days</v>
      </c>
      <c r="L37" s="2" t="str">
        <f ca="1">MASTER_AR_REPORT!L166</f>
        <v>Low-Medium</v>
      </c>
      <c r="M37" s="2" t="str">
        <f ca="1">MASTER_AR_REPORT!M166</f>
        <v>Medium</v>
      </c>
      <c r="N37" s="2" t="str">
        <f>MASTER_AR_REPORT!N166</f>
        <v>Pending</v>
      </c>
      <c r="O37" s="2" t="str">
        <f>MASTER_AR_REPORT!O166</f>
        <v>Credit Note</v>
      </c>
    </row>
    <row r="38" spans="1:15">
      <c r="A38" s="5">
        <v>34</v>
      </c>
      <c r="B38" s="5" t="str">
        <f>IF(MASTER_AR_REPORT!B167="","",MASTER_AR_REPORT!B167)</f>
        <v>Mujahid</v>
      </c>
      <c r="C38" s="11">
        <f>MASTER_AR_REPORT!C167</f>
        <v>46109</v>
      </c>
      <c r="D38" s="5" t="str">
        <f>IF(MASTER_AR_REPORT!D167="","",MASTER_AR_REPORT!D167)</f>
        <v>C-SLG/2468/25-26</v>
      </c>
      <c r="E38" s="5" t="str">
        <f>IF(MASTER_AR_REPORT!E167="","",MASTER_AR_REPORT!E167)</f>
        <v>RAJ MARKETING</v>
      </c>
      <c r="F38" s="6">
        <f>MASTER_AR_REPORT!F167</f>
        <v>20526</v>
      </c>
      <c r="G38" s="11">
        <f>MASTER_AR_REPORT!G167</f>
        <v>46134</v>
      </c>
      <c r="H38" s="6">
        <f>MASTER_AR_REPORT!H167</f>
        <v>20526</v>
      </c>
      <c r="I38" s="6">
        <f>MASTER_AR_REPORT!I167</f>
        <v>0</v>
      </c>
      <c r="J38" s="5">
        <f ca="1">MASTER_AR_REPORT!J167</f>
        <v>30</v>
      </c>
      <c r="K38" s="5" t="str">
        <f>MASTER_AR_REPORT!K167</f>
        <v>Current</v>
      </c>
      <c r="L38" s="5" t="str">
        <f>MASTER_AR_REPORT!L167</f>
        <v>-</v>
      </c>
      <c r="M38" s="5" t="str">
        <f>MASTER_AR_REPORT!M167</f>
        <v>-</v>
      </c>
      <c r="N38" s="5" t="str">
        <f>MASTER_AR_REPORT!N167</f>
        <v>Pending</v>
      </c>
      <c r="O38" s="5" t="str">
        <f>MASTER_AR_REPORT!O167</f>
        <v>Paid Cheque - Full Amt</v>
      </c>
    </row>
    <row r="39" spans="1:15">
      <c r="A39" s="2">
        <v>35</v>
      </c>
      <c r="B39" s="2" t="str">
        <f>IF(MASTER_AR_REPORT!B168="","",MASTER_AR_REPORT!B168)</f>
        <v>Mujahid</v>
      </c>
      <c r="C39" s="12">
        <f>MASTER_AR_REPORT!C168</f>
        <v>46128</v>
      </c>
      <c r="D39" s="2" t="str">
        <f>IF(MASTER_AR_REPORT!D168="","",MASTER_AR_REPORT!D168)</f>
        <v>C-SLG/0044/26-27</v>
      </c>
      <c r="E39" s="2" t="str">
        <f>IF(MASTER_AR_REPORT!E168="","",MASTER_AR_REPORT!E168)</f>
        <v>RAM BHAGWAN CORPORATION</v>
      </c>
      <c r="F39" s="3">
        <f>MASTER_AR_REPORT!F168</f>
        <v>25530</v>
      </c>
      <c r="G39" s="12">
        <f>MASTER_AR_REPORT!G168</f>
        <v>46153</v>
      </c>
      <c r="H39" s="3">
        <f>MASTER_AR_REPORT!H168</f>
        <v>0</v>
      </c>
      <c r="I39" s="3">
        <f>MASTER_AR_REPORT!I168</f>
        <v>25530</v>
      </c>
      <c r="J39" s="2">
        <f ca="1">MASTER_AR_REPORT!J168</f>
        <v>11</v>
      </c>
      <c r="K39" s="2" t="str">
        <f ca="1">MASTER_AR_REPORT!K168</f>
        <v>0-30 Days</v>
      </c>
      <c r="L39" s="2" t="str">
        <f ca="1">MASTER_AR_REPORT!L168</f>
        <v>Low</v>
      </c>
      <c r="M39" s="2" t="str">
        <f ca="1">MASTER_AR_REPORT!M168</f>
        <v>Normal</v>
      </c>
      <c r="N39" s="2" t="str">
        <f>MASTER_AR_REPORT!N168</f>
        <v>Pending</v>
      </c>
      <c r="O39" s="2">
        <f>MASTER_AR_REPORT!O168</f>
        <v>0</v>
      </c>
    </row>
    <row r="40" spans="1:15">
      <c r="A40" s="5">
        <v>36</v>
      </c>
      <c r="B40" s="5" t="str">
        <f>IF(MASTER_AR_REPORT!B169="","",MASTER_AR_REPORT!B169)</f>
        <v>Mujahid</v>
      </c>
      <c r="C40" s="11">
        <f>MASTER_AR_REPORT!C169</f>
        <v>45770</v>
      </c>
      <c r="D40" s="5" t="str">
        <f>IF(MASTER_AR_REPORT!D169="","",MASTER_AR_REPORT!D169)</f>
        <v>C-SLG/00130/25-26</v>
      </c>
      <c r="E40" s="5" t="str">
        <f>IF(MASTER_AR_REPORT!E169="","",MASTER_AR_REPORT!E169)</f>
        <v>Ram Stationery Mart</v>
      </c>
      <c r="F40" s="6">
        <f>MASTER_AR_REPORT!F169</f>
        <v>613.15</v>
      </c>
      <c r="G40" s="11">
        <f>MASTER_AR_REPORT!G169</f>
        <v>45795</v>
      </c>
      <c r="H40" s="6">
        <f>MASTER_AR_REPORT!H169</f>
        <v>0</v>
      </c>
      <c r="I40" s="6">
        <f>MASTER_AR_REPORT!I169</f>
        <v>613.15</v>
      </c>
      <c r="J40" s="5">
        <f ca="1">MASTER_AR_REPORT!J169</f>
        <v>369</v>
      </c>
      <c r="K40" s="5" t="str">
        <f ca="1">MASTER_AR_REPORT!K169</f>
        <v>90+ Days</v>
      </c>
      <c r="L40" s="5" t="str">
        <f ca="1">MASTER_AR_REPORT!L169</f>
        <v>HIGH RISK</v>
      </c>
      <c r="M40" s="5" t="str">
        <f ca="1">MASTER_AR_REPORT!M169</f>
        <v>Immediate Action</v>
      </c>
      <c r="N40" s="5" t="str">
        <f>MASTER_AR_REPORT!N169</f>
        <v>Pending</v>
      </c>
      <c r="O40" s="5">
        <f>MASTER_AR_REPORT!O169</f>
        <v>0</v>
      </c>
    </row>
    <row r="41" spans="1:15">
      <c r="A41" s="2">
        <v>37</v>
      </c>
      <c r="B41" s="2" t="str">
        <f>IF(MASTER_AR_REPORT!B170="","",MASTER_AR_REPORT!B170)</f>
        <v>Mujahid</v>
      </c>
      <c r="C41" s="12">
        <f>MASTER_AR_REPORT!C170</f>
        <v>45836</v>
      </c>
      <c r="D41" s="2" t="str">
        <f>IF(MASTER_AR_REPORT!D170="","",MASTER_AR_REPORT!D170)</f>
        <v>C-SLG/508/25-26</v>
      </c>
      <c r="E41" s="2" t="str">
        <f>IF(MASTER_AR_REPORT!E170="","",MASTER_AR_REPORT!E170)</f>
        <v>Ram Stationery Mart</v>
      </c>
      <c r="F41" s="3">
        <f>MASTER_AR_REPORT!F170</f>
        <v>83953</v>
      </c>
      <c r="G41" s="12">
        <f>MASTER_AR_REPORT!G170</f>
        <v>45861</v>
      </c>
      <c r="H41" s="3">
        <f>MASTER_AR_REPORT!H170</f>
        <v>0</v>
      </c>
      <c r="I41" s="3">
        <f>MASTER_AR_REPORT!I170</f>
        <v>83953</v>
      </c>
      <c r="J41" s="2">
        <f ca="1">MASTER_AR_REPORT!J170</f>
        <v>303</v>
      </c>
      <c r="K41" s="2" t="str">
        <f ca="1">MASTER_AR_REPORT!K170</f>
        <v>90+ Days</v>
      </c>
      <c r="L41" s="2" t="str">
        <f ca="1">MASTER_AR_REPORT!L170</f>
        <v>HIGH RISK</v>
      </c>
      <c r="M41" s="2" t="str">
        <f ca="1">MASTER_AR_REPORT!M170</f>
        <v>Immediate Action</v>
      </c>
      <c r="N41" s="2" t="str">
        <f>MASTER_AR_REPORT!N170</f>
        <v>Pending</v>
      </c>
      <c r="O41" s="2">
        <f>MASTER_AR_REPORT!O170</f>
        <v>0</v>
      </c>
    </row>
    <row r="42" spans="1:15">
      <c r="A42" s="5">
        <v>38</v>
      </c>
      <c r="B42" s="5" t="str">
        <f>IF(MASTER_AR_REPORT!B171="","",MASTER_AR_REPORT!B171)</f>
        <v>Mujahid</v>
      </c>
      <c r="C42" s="11">
        <f>MASTER_AR_REPORT!C171</f>
        <v>45838</v>
      </c>
      <c r="D42" s="5" t="str">
        <f>IF(MASTER_AR_REPORT!D171="","",MASTER_AR_REPORT!D171)</f>
        <v>C-SLG/515/25-26</v>
      </c>
      <c r="E42" s="5" t="str">
        <f>IF(MASTER_AR_REPORT!E171="","",MASTER_AR_REPORT!E171)</f>
        <v>Ram Stationery Mart</v>
      </c>
      <c r="F42" s="6">
        <f>MASTER_AR_REPORT!F171</f>
        <v>136289</v>
      </c>
      <c r="G42" s="11">
        <f>MASTER_AR_REPORT!G171</f>
        <v>45863</v>
      </c>
      <c r="H42" s="6">
        <f>MASTER_AR_REPORT!H171</f>
        <v>0</v>
      </c>
      <c r="I42" s="6">
        <f>MASTER_AR_REPORT!I171</f>
        <v>136289</v>
      </c>
      <c r="J42" s="5">
        <f ca="1">MASTER_AR_REPORT!J171</f>
        <v>301</v>
      </c>
      <c r="K42" s="5" t="str">
        <f ca="1">MASTER_AR_REPORT!K171</f>
        <v>90+ Days</v>
      </c>
      <c r="L42" s="5" t="str">
        <f ca="1">MASTER_AR_REPORT!L171</f>
        <v>HIGH RISK</v>
      </c>
      <c r="M42" s="5" t="str">
        <f ca="1">MASTER_AR_REPORT!M171</f>
        <v>Immediate Action</v>
      </c>
      <c r="N42" s="5" t="str">
        <f>MASTER_AR_REPORT!N171</f>
        <v>Pending</v>
      </c>
      <c r="O42" s="5">
        <f>MASTER_AR_REPORT!O171</f>
        <v>0</v>
      </c>
    </row>
    <row r="43" spans="1:15">
      <c r="A43" s="2">
        <v>39</v>
      </c>
      <c r="B43" s="2" t="str">
        <f>IF(MASTER_AR_REPORT!B172="","",MASTER_AR_REPORT!B172)</f>
        <v>Mujahid</v>
      </c>
      <c r="C43" s="12">
        <f>MASTER_AR_REPORT!C172</f>
        <v>45849</v>
      </c>
      <c r="D43" s="2" t="str">
        <f>IF(MASTER_AR_REPORT!D172="","",MASTER_AR_REPORT!D172)</f>
        <v>C-SLG/620/25-26</v>
      </c>
      <c r="E43" s="2" t="str">
        <f>IF(MASTER_AR_REPORT!E172="","",MASTER_AR_REPORT!E172)</f>
        <v>Ram Stationery Mart</v>
      </c>
      <c r="F43" s="3">
        <f>MASTER_AR_REPORT!F172</f>
        <v>97996</v>
      </c>
      <c r="G43" s="12">
        <f>MASTER_AR_REPORT!G172</f>
        <v>45874</v>
      </c>
      <c r="H43" s="3">
        <f>MASTER_AR_REPORT!H172</f>
        <v>0</v>
      </c>
      <c r="I43" s="3">
        <f>MASTER_AR_REPORT!I172</f>
        <v>97996</v>
      </c>
      <c r="J43" s="2">
        <f ca="1">MASTER_AR_REPORT!J172</f>
        <v>290</v>
      </c>
      <c r="K43" s="2" t="str">
        <f ca="1">MASTER_AR_REPORT!K172</f>
        <v>90+ Days</v>
      </c>
      <c r="L43" s="2" t="str">
        <f ca="1">MASTER_AR_REPORT!L172</f>
        <v>HIGH RISK</v>
      </c>
      <c r="M43" s="2" t="str">
        <f ca="1">MASTER_AR_REPORT!M172</f>
        <v>Immediate Action</v>
      </c>
      <c r="N43" s="2" t="str">
        <f>MASTER_AR_REPORT!N172</f>
        <v>Pending</v>
      </c>
      <c r="O43" s="2">
        <f>MASTER_AR_REPORT!O172</f>
        <v>0</v>
      </c>
    </row>
    <row r="44" spans="1:15">
      <c r="A44" s="5">
        <v>40</v>
      </c>
      <c r="B44" s="5" t="str">
        <f>IF(MASTER_AR_REPORT!B173="","",MASTER_AR_REPORT!B173)</f>
        <v>Mujahid</v>
      </c>
      <c r="C44" s="11">
        <f>MASTER_AR_REPORT!C173</f>
        <v>45890</v>
      </c>
      <c r="D44" s="5" t="str">
        <f>IF(MASTER_AR_REPORT!D173="","",MASTER_AR_REPORT!D173)</f>
        <v>C-SLG/943/25-26</v>
      </c>
      <c r="E44" s="5" t="str">
        <f>IF(MASTER_AR_REPORT!E173="","",MASTER_AR_REPORT!E173)</f>
        <v>Ram Stationery Mart</v>
      </c>
      <c r="F44" s="6">
        <f>MASTER_AR_REPORT!F173</f>
        <v>37146</v>
      </c>
      <c r="G44" s="11">
        <f>MASTER_AR_REPORT!G173</f>
        <v>45915</v>
      </c>
      <c r="H44" s="6">
        <f>MASTER_AR_REPORT!H173</f>
        <v>0</v>
      </c>
      <c r="I44" s="6">
        <f>MASTER_AR_REPORT!I173</f>
        <v>37146</v>
      </c>
      <c r="J44" s="5">
        <f ca="1">MASTER_AR_REPORT!J173</f>
        <v>249</v>
      </c>
      <c r="K44" s="5" t="str">
        <f ca="1">MASTER_AR_REPORT!K173</f>
        <v>90+ Days</v>
      </c>
      <c r="L44" s="5" t="str">
        <f ca="1">MASTER_AR_REPORT!L173</f>
        <v>HIGH RISK</v>
      </c>
      <c r="M44" s="5" t="str">
        <f ca="1">MASTER_AR_REPORT!M173</f>
        <v>Immediate Action</v>
      </c>
      <c r="N44" s="5" t="str">
        <f>MASTER_AR_REPORT!N173</f>
        <v>Pending</v>
      </c>
      <c r="O44" s="5">
        <f>MASTER_AR_REPORT!O173</f>
        <v>0</v>
      </c>
    </row>
    <row r="45" spans="1:15">
      <c r="A45" s="2">
        <v>41</v>
      </c>
      <c r="B45" s="2" t="str">
        <f>IF(MASTER_AR_REPORT!B174="","",MASTER_AR_REPORT!B174)</f>
        <v>Mujahid</v>
      </c>
      <c r="C45" s="12">
        <f>MASTER_AR_REPORT!C174</f>
        <v>45905</v>
      </c>
      <c r="D45" s="2" t="str">
        <f>IF(MASTER_AR_REPORT!D174="","",MASTER_AR_REPORT!D174)</f>
        <v>C-SLG/1078/25-26</v>
      </c>
      <c r="E45" s="2" t="str">
        <f>IF(MASTER_AR_REPORT!E174="","",MASTER_AR_REPORT!E174)</f>
        <v>Ram Stationery Mart</v>
      </c>
      <c r="F45" s="3">
        <f>MASTER_AR_REPORT!F174</f>
        <v>248440</v>
      </c>
      <c r="G45" s="12">
        <f>MASTER_AR_REPORT!G174</f>
        <v>45930</v>
      </c>
      <c r="H45" s="3">
        <f>MASTER_AR_REPORT!H174</f>
        <v>0</v>
      </c>
      <c r="I45" s="3">
        <f>MASTER_AR_REPORT!I174</f>
        <v>248440</v>
      </c>
      <c r="J45" s="2">
        <f ca="1">MASTER_AR_REPORT!J174</f>
        <v>234</v>
      </c>
      <c r="K45" s="2" t="str">
        <f ca="1">MASTER_AR_REPORT!K174</f>
        <v>90+ Days</v>
      </c>
      <c r="L45" s="2" t="str">
        <f ca="1">MASTER_AR_REPORT!L174</f>
        <v>HIGH RISK</v>
      </c>
      <c r="M45" s="2" t="str">
        <f ca="1">MASTER_AR_REPORT!M174</f>
        <v>Immediate Action</v>
      </c>
      <c r="N45" s="2" t="str">
        <f>MASTER_AR_REPORT!N174</f>
        <v>Pending</v>
      </c>
      <c r="O45" s="2">
        <f>MASTER_AR_REPORT!O174</f>
        <v>0</v>
      </c>
    </row>
    <row r="46" spans="1:15">
      <c r="A46" s="5">
        <v>42</v>
      </c>
      <c r="B46" s="5" t="str">
        <f>IF(MASTER_AR_REPORT!B175="","",MASTER_AR_REPORT!B175)</f>
        <v>Mujahid</v>
      </c>
      <c r="C46" s="11">
        <f>MASTER_AR_REPORT!C175</f>
        <v>45918</v>
      </c>
      <c r="D46" s="5" t="str">
        <f>IF(MASTER_AR_REPORT!D175="","",MASTER_AR_REPORT!D175)</f>
        <v>C-SLG/1244/25-26</v>
      </c>
      <c r="E46" s="5" t="str">
        <f>IF(MASTER_AR_REPORT!E175="","",MASTER_AR_REPORT!E175)</f>
        <v>Ram Stationery Mart</v>
      </c>
      <c r="F46" s="6">
        <f>MASTER_AR_REPORT!F175</f>
        <v>143307</v>
      </c>
      <c r="G46" s="11">
        <f>MASTER_AR_REPORT!G175</f>
        <v>45943</v>
      </c>
      <c r="H46" s="6">
        <f>MASTER_AR_REPORT!H175</f>
        <v>0</v>
      </c>
      <c r="I46" s="6">
        <f>MASTER_AR_REPORT!I175</f>
        <v>143307</v>
      </c>
      <c r="J46" s="5">
        <f ca="1">MASTER_AR_REPORT!J175</f>
        <v>221</v>
      </c>
      <c r="K46" s="5" t="str">
        <f ca="1">MASTER_AR_REPORT!K175</f>
        <v>90+ Days</v>
      </c>
      <c r="L46" s="5" t="str">
        <f ca="1">MASTER_AR_REPORT!L175</f>
        <v>HIGH RISK</v>
      </c>
      <c r="M46" s="5" t="str">
        <f ca="1">MASTER_AR_REPORT!M175</f>
        <v>Immediate Action</v>
      </c>
      <c r="N46" s="5" t="str">
        <f>MASTER_AR_REPORT!N175</f>
        <v>Pending</v>
      </c>
      <c r="O46" s="5">
        <f>MASTER_AR_REPORT!O175</f>
        <v>0</v>
      </c>
    </row>
    <row r="47" spans="1:15">
      <c r="A47" s="2">
        <v>43</v>
      </c>
      <c r="B47" s="2" t="str">
        <f>IF(MASTER_AR_REPORT!B176="","",MASTER_AR_REPORT!B176)</f>
        <v>Mujahid</v>
      </c>
      <c r="C47" s="12">
        <f>MASTER_AR_REPORT!C176</f>
        <v>45927</v>
      </c>
      <c r="D47" s="2" t="str">
        <f>IF(MASTER_AR_REPORT!D176="","",MASTER_AR_REPORT!D176)</f>
        <v>C-SLG/1326/25-26</v>
      </c>
      <c r="E47" s="2" t="str">
        <f>IF(MASTER_AR_REPORT!E176="","",MASTER_AR_REPORT!E176)</f>
        <v>Ram Stationery Mart</v>
      </c>
      <c r="F47" s="3">
        <f>MASTER_AR_REPORT!F176</f>
        <v>19200</v>
      </c>
      <c r="G47" s="12">
        <f>MASTER_AR_REPORT!G176</f>
        <v>45952</v>
      </c>
      <c r="H47" s="3">
        <f>MASTER_AR_REPORT!H176</f>
        <v>0</v>
      </c>
      <c r="I47" s="3">
        <f>MASTER_AR_REPORT!I176</f>
        <v>19200</v>
      </c>
      <c r="J47" s="2">
        <f ca="1">MASTER_AR_REPORT!J176</f>
        <v>212</v>
      </c>
      <c r="K47" s="2" t="str">
        <f ca="1">MASTER_AR_REPORT!K176</f>
        <v>90+ Days</v>
      </c>
      <c r="L47" s="2" t="str">
        <f ca="1">MASTER_AR_REPORT!L176</f>
        <v>HIGH RISK</v>
      </c>
      <c r="M47" s="2" t="str">
        <f ca="1">MASTER_AR_REPORT!M176</f>
        <v>Immediate Action</v>
      </c>
      <c r="N47" s="2" t="str">
        <f>MASTER_AR_REPORT!N176</f>
        <v>Pending</v>
      </c>
      <c r="O47" s="2">
        <f>MASTER_AR_REPORT!O176</f>
        <v>0</v>
      </c>
    </row>
    <row r="48" spans="1:15">
      <c r="A48" s="5">
        <v>44</v>
      </c>
      <c r="B48" s="5" t="str">
        <f>IF(MASTER_AR_REPORT!B177="","",MASTER_AR_REPORT!B177)</f>
        <v>Mujahid</v>
      </c>
      <c r="C48" s="11">
        <f>MASTER_AR_REPORT!C177</f>
        <v>45955</v>
      </c>
      <c r="D48" s="5" t="str">
        <f>IF(MASTER_AR_REPORT!D177="","",MASTER_AR_REPORT!D177)</f>
        <v>C-SLG/1540/25-26</v>
      </c>
      <c r="E48" s="5" t="str">
        <f>IF(MASTER_AR_REPORT!E177="","",MASTER_AR_REPORT!E177)</f>
        <v>Ram Stationery Mart</v>
      </c>
      <c r="F48" s="6">
        <f>MASTER_AR_REPORT!F177</f>
        <v>163657</v>
      </c>
      <c r="G48" s="11">
        <f>MASTER_AR_REPORT!G177</f>
        <v>45980</v>
      </c>
      <c r="H48" s="6">
        <f>MASTER_AR_REPORT!H177</f>
        <v>0</v>
      </c>
      <c r="I48" s="6">
        <f>MASTER_AR_REPORT!I177</f>
        <v>163657</v>
      </c>
      <c r="J48" s="5">
        <f ca="1">MASTER_AR_REPORT!J177</f>
        <v>184</v>
      </c>
      <c r="K48" s="5" t="str">
        <f ca="1">MASTER_AR_REPORT!K177</f>
        <v>90+ Days</v>
      </c>
      <c r="L48" s="5" t="str">
        <f ca="1">MASTER_AR_REPORT!L177</f>
        <v>HIGH RISK</v>
      </c>
      <c r="M48" s="5" t="str">
        <f ca="1">MASTER_AR_REPORT!M177</f>
        <v>Immediate Action</v>
      </c>
      <c r="N48" s="5" t="str">
        <f>MASTER_AR_REPORT!N177</f>
        <v>Pending</v>
      </c>
      <c r="O48" s="5">
        <f>MASTER_AR_REPORT!O177</f>
        <v>0</v>
      </c>
    </row>
    <row r="49" spans="1:15">
      <c r="A49" s="2">
        <v>45</v>
      </c>
      <c r="B49" s="2" t="str">
        <f>IF(MASTER_AR_REPORT!B178="","",MASTER_AR_REPORT!B178)</f>
        <v>Mujahid</v>
      </c>
      <c r="C49" s="12">
        <f>MASTER_AR_REPORT!C178</f>
        <v>45978</v>
      </c>
      <c r="D49" s="2" t="str">
        <f>IF(MASTER_AR_REPORT!D178="","",MASTER_AR_REPORT!D178)</f>
        <v>C-SLG/1673/25-26</v>
      </c>
      <c r="E49" s="2" t="str">
        <f>IF(MASTER_AR_REPORT!E178="","",MASTER_AR_REPORT!E178)</f>
        <v>Ram Stationery Mart</v>
      </c>
      <c r="F49" s="3">
        <f>MASTER_AR_REPORT!F178</f>
        <v>5143</v>
      </c>
      <c r="G49" s="12">
        <f>MASTER_AR_REPORT!G178</f>
        <v>46003</v>
      </c>
      <c r="H49" s="3">
        <f>MASTER_AR_REPORT!H178</f>
        <v>0</v>
      </c>
      <c r="I49" s="3">
        <f>MASTER_AR_REPORT!I178</f>
        <v>5143</v>
      </c>
      <c r="J49" s="2">
        <f ca="1">MASTER_AR_REPORT!J178</f>
        <v>161</v>
      </c>
      <c r="K49" s="2" t="str">
        <f ca="1">MASTER_AR_REPORT!K178</f>
        <v>90+ Days</v>
      </c>
      <c r="L49" s="2" t="str">
        <f ca="1">MASTER_AR_REPORT!L178</f>
        <v>HIGH RISK</v>
      </c>
      <c r="M49" s="2" t="str">
        <f ca="1">MASTER_AR_REPORT!M178</f>
        <v>Immediate Action</v>
      </c>
      <c r="N49" s="2" t="str">
        <f>MASTER_AR_REPORT!N178</f>
        <v>Pending</v>
      </c>
      <c r="O49" s="2">
        <f>MASTER_AR_REPORT!O178</f>
        <v>0</v>
      </c>
    </row>
    <row r="50" spans="1:15">
      <c r="A50" s="5">
        <v>46</v>
      </c>
      <c r="B50" s="5" t="str">
        <f>IF(MASTER_AR_REPORT!B179="","",MASTER_AR_REPORT!B179)</f>
        <v>Mujahid</v>
      </c>
      <c r="C50" s="11">
        <f>MASTER_AR_REPORT!C179</f>
        <v>46022</v>
      </c>
      <c r="D50" s="5" t="str">
        <f>IF(MASTER_AR_REPORT!D179="","",MASTER_AR_REPORT!D179)</f>
        <v>C-SLG/2018/25-26</v>
      </c>
      <c r="E50" s="5" t="str">
        <f>IF(MASTER_AR_REPORT!E179="","",MASTER_AR_REPORT!E179)</f>
        <v>Ram Stationery Mart</v>
      </c>
      <c r="F50" s="6">
        <f>MASTER_AR_REPORT!F179</f>
        <v>105970.48</v>
      </c>
      <c r="G50" s="11">
        <f>MASTER_AR_REPORT!G179</f>
        <v>46047</v>
      </c>
      <c r="H50" s="6">
        <f>MASTER_AR_REPORT!H179</f>
        <v>0</v>
      </c>
      <c r="I50" s="6">
        <f>MASTER_AR_REPORT!I179</f>
        <v>105970.48</v>
      </c>
      <c r="J50" s="5">
        <f ca="1">MASTER_AR_REPORT!J179</f>
        <v>117</v>
      </c>
      <c r="K50" s="5" t="str">
        <f ca="1">MASTER_AR_REPORT!K179</f>
        <v>90+ Days</v>
      </c>
      <c r="L50" s="5" t="str">
        <f ca="1">MASTER_AR_REPORT!L179</f>
        <v>HIGH RISK</v>
      </c>
      <c r="M50" s="5" t="str">
        <f ca="1">MASTER_AR_REPORT!M179</f>
        <v>Immediate Action</v>
      </c>
      <c r="N50" s="5" t="str">
        <f>MASTER_AR_REPORT!N179</f>
        <v>Pending</v>
      </c>
      <c r="O50" s="5">
        <f>MASTER_AR_REPORT!O179</f>
        <v>0</v>
      </c>
    </row>
    <row r="51" spans="1:15">
      <c r="A51" s="2">
        <v>47</v>
      </c>
      <c r="B51" s="2" t="str">
        <f>IF(MASTER_AR_REPORT!B180="","",MASTER_AR_REPORT!B180)</f>
        <v>Mujahid</v>
      </c>
      <c r="C51" s="12">
        <f>MASTER_AR_REPORT!C180</f>
        <v>46025</v>
      </c>
      <c r="D51" s="2" t="str">
        <f>IF(MASTER_AR_REPORT!D180="","",MASTER_AR_REPORT!D180)</f>
        <v>C-SLG/2030/25-26</v>
      </c>
      <c r="E51" s="2" t="str">
        <f>IF(MASTER_AR_REPORT!E180="","",MASTER_AR_REPORT!E180)</f>
        <v>Ram Stationery Mart</v>
      </c>
      <c r="F51" s="3">
        <f>MASTER_AR_REPORT!F180</f>
        <v>53447.25</v>
      </c>
      <c r="G51" s="12">
        <f>MASTER_AR_REPORT!G180</f>
        <v>46050</v>
      </c>
      <c r="H51" s="3">
        <f>MASTER_AR_REPORT!H180</f>
        <v>0</v>
      </c>
      <c r="I51" s="3">
        <f>MASTER_AR_REPORT!I180</f>
        <v>53447.25</v>
      </c>
      <c r="J51" s="2">
        <f ca="1">MASTER_AR_REPORT!J180</f>
        <v>114</v>
      </c>
      <c r="K51" s="2" t="str">
        <f ca="1">MASTER_AR_REPORT!K180</f>
        <v>90+ Days</v>
      </c>
      <c r="L51" s="2" t="str">
        <f ca="1">MASTER_AR_REPORT!L180</f>
        <v>HIGH RISK</v>
      </c>
      <c r="M51" s="2" t="str">
        <f ca="1">MASTER_AR_REPORT!M180</f>
        <v>Immediate Action</v>
      </c>
      <c r="N51" s="2" t="str">
        <f>MASTER_AR_REPORT!N180</f>
        <v>Pending</v>
      </c>
      <c r="O51" s="2">
        <f>MASTER_AR_REPORT!O180</f>
        <v>0</v>
      </c>
    </row>
    <row r="52" spans="1:15">
      <c r="A52" s="5">
        <v>48</v>
      </c>
      <c r="B52" s="5" t="str">
        <f>IF(MASTER_AR_REPORT!B181="","",MASTER_AR_REPORT!B181)</f>
        <v>Mujahid</v>
      </c>
      <c r="C52" s="11">
        <f>MASTER_AR_REPORT!C181</f>
        <v>46053</v>
      </c>
      <c r="D52" s="5" t="str">
        <f>IF(MASTER_AR_REPORT!D181="","",MASTER_AR_REPORT!D181)</f>
        <v>C-SLG/2156/25-26</v>
      </c>
      <c r="E52" s="5" t="str">
        <f>IF(MASTER_AR_REPORT!E181="","",MASTER_AR_REPORT!E181)</f>
        <v>Ram Stationery Mart</v>
      </c>
      <c r="F52" s="6">
        <f>MASTER_AR_REPORT!F181</f>
        <v>155010</v>
      </c>
      <c r="G52" s="11">
        <f>MASTER_AR_REPORT!G181</f>
        <v>46078</v>
      </c>
      <c r="H52" s="6">
        <f>MASTER_AR_REPORT!H181</f>
        <v>0</v>
      </c>
      <c r="I52" s="6">
        <f>MASTER_AR_REPORT!I181</f>
        <v>155010</v>
      </c>
      <c r="J52" s="5">
        <f ca="1">MASTER_AR_REPORT!J181</f>
        <v>86</v>
      </c>
      <c r="K52" s="5" t="str">
        <f ca="1">MASTER_AR_REPORT!K181</f>
        <v>61-90 Days</v>
      </c>
      <c r="L52" s="5" t="str">
        <f ca="1">MASTER_AR_REPORT!L181</f>
        <v>Medium</v>
      </c>
      <c r="M52" s="5" t="str">
        <f ca="1">MASTER_AR_REPORT!M181</f>
        <v>Urgent</v>
      </c>
      <c r="N52" s="5" t="str">
        <f>MASTER_AR_REPORT!N181</f>
        <v>Pending</v>
      </c>
      <c r="O52" s="5">
        <f>MASTER_AR_REPORT!O181</f>
        <v>0</v>
      </c>
    </row>
    <row r="53" spans="1:15">
      <c r="A53" s="2">
        <v>49</v>
      </c>
      <c r="B53" s="2" t="str">
        <f>IF(MASTER_AR_REPORT!B182="","",MASTER_AR_REPORT!B182)</f>
        <v>Mujahid</v>
      </c>
      <c r="C53" s="12">
        <f>MASTER_AR_REPORT!C182</f>
        <v>46122</v>
      </c>
      <c r="D53" s="2" t="str">
        <f>IF(MASTER_AR_REPORT!D182="","",MASTER_AR_REPORT!D182)</f>
        <v>C-SLG/0025/26-27</v>
      </c>
      <c r="E53" s="2" t="str">
        <f>IF(MASTER_AR_REPORT!E182="","",MASTER_AR_REPORT!E182)</f>
        <v>Ram Stationery Mart</v>
      </c>
      <c r="F53" s="3">
        <f>MASTER_AR_REPORT!F182</f>
        <v>93732</v>
      </c>
      <c r="G53" s="12">
        <f>MASTER_AR_REPORT!G182</f>
        <v>46147</v>
      </c>
      <c r="H53" s="3">
        <f>MASTER_AR_REPORT!H182</f>
        <v>0</v>
      </c>
      <c r="I53" s="3">
        <f>MASTER_AR_REPORT!I182</f>
        <v>93732</v>
      </c>
      <c r="J53" s="2">
        <f ca="1">MASTER_AR_REPORT!J182</f>
        <v>17</v>
      </c>
      <c r="K53" s="2" t="str">
        <f ca="1">MASTER_AR_REPORT!K182</f>
        <v>0-30 Days</v>
      </c>
      <c r="L53" s="2" t="str">
        <f ca="1">MASTER_AR_REPORT!L182</f>
        <v>Low</v>
      </c>
      <c r="M53" s="2" t="str">
        <f ca="1">MASTER_AR_REPORT!M182</f>
        <v>Normal</v>
      </c>
      <c r="N53" s="2" t="str">
        <f>MASTER_AR_REPORT!N182</f>
        <v>Pending</v>
      </c>
      <c r="O53" s="2">
        <f>MASTER_AR_REPORT!O182</f>
        <v>0</v>
      </c>
    </row>
    <row r="54" spans="1:15">
      <c r="A54" s="5">
        <v>50</v>
      </c>
      <c r="B54" s="5" t="str">
        <f>IF(MASTER_AR_REPORT!B183="","",MASTER_AR_REPORT!B183)</f>
        <v>Mujahid</v>
      </c>
      <c r="C54" s="11">
        <f>MASTER_AR_REPORT!C183</f>
        <v>46156</v>
      </c>
      <c r="D54" s="5" t="str">
        <f>IF(MASTER_AR_REPORT!D183="","",MASTER_AR_REPORT!D183)</f>
        <v>C-SLG/0128/26-27</v>
      </c>
      <c r="E54" s="5" t="str">
        <f>IF(MASTER_AR_REPORT!E183="","",MASTER_AR_REPORT!E183)</f>
        <v>Ram Stationery Mart</v>
      </c>
      <c r="F54" s="6">
        <f>MASTER_AR_REPORT!F183</f>
        <v>43847</v>
      </c>
      <c r="G54" s="11">
        <f>MASTER_AR_REPORT!G183</f>
        <v>46181</v>
      </c>
      <c r="H54" s="6">
        <f>MASTER_AR_REPORT!H183</f>
        <v>0</v>
      </c>
      <c r="I54" s="6">
        <f>MASTER_AR_REPORT!I183</f>
        <v>43847</v>
      </c>
      <c r="J54" s="5">
        <f ca="1">MASTER_AR_REPORT!J183</f>
        <v>0</v>
      </c>
      <c r="K54" s="5" t="str">
        <f ca="1">MASTER_AR_REPORT!K183</f>
        <v>0-30 Days</v>
      </c>
      <c r="L54" s="5" t="str">
        <f ca="1">MASTER_AR_REPORT!L183</f>
        <v>Low</v>
      </c>
      <c r="M54" s="5" t="str">
        <f ca="1">MASTER_AR_REPORT!M183</f>
        <v>Normal</v>
      </c>
      <c r="N54" s="5" t="str">
        <f>MASTER_AR_REPORT!N183</f>
        <v>Pending</v>
      </c>
      <c r="O54" s="5">
        <f>MASTER_AR_REPORT!O183</f>
        <v>0</v>
      </c>
    </row>
    <row r="55" spans="1:15">
      <c r="A55" s="2">
        <v>51</v>
      </c>
      <c r="B55" s="2" t="str">
        <f>IF(MASTER_AR_REPORT!B184="","",MASTER_AR_REPORT!B184)</f>
        <v>Mujahid</v>
      </c>
      <c r="C55" s="12">
        <f>MASTER_AR_REPORT!C184</f>
        <v>46031</v>
      </c>
      <c r="D55" s="2" t="str">
        <f>IF(MASTER_AR_REPORT!D184="","",MASTER_AR_REPORT!D184)</f>
        <v>C-SLG/2061/25-26</v>
      </c>
      <c r="E55" s="2" t="str">
        <f>IF(MASTER_AR_REPORT!E184="","",MASTER_AR_REPORT!E184)</f>
        <v>REMAX ENTERPRISES</v>
      </c>
      <c r="F55" s="3">
        <f>MASTER_AR_REPORT!F184</f>
        <v>5</v>
      </c>
      <c r="G55" s="12">
        <f>MASTER_AR_REPORT!G184</f>
        <v>46056</v>
      </c>
      <c r="H55" s="3">
        <f>MASTER_AR_REPORT!H184</f>
        <v>0</v>
      </c>
      <c r="I55" s="3">
        <f>MASTER_AR_REPORT!I184</f>
        <v>5</v>
      </c>
      <c r="J55" s="2">
        <f ca="1">MASTER_AR_REPORT!J184</f>
        <v>108</v>
      </c>
      <c r="K55" s="2" t="str">
        <f ca="1">MASTER_AR_REPORT!K184</f>
        <v>90+ Days</v>
      </c>
      <c r="L55" s="2" t="str">
        <f ca="1">MASTER_AR_REPORT!L184</f>
        <v>HIGH RISK</v>
      </c>
      <c r="M55" s="2" t="str">
        <f ca="1">MASTER_AR_REPORT!M184</f>
        <v>Immediate Action</v>
      </c>
      <c r="N55" s="2" t="str">
        <f>MASTER_AR_REPORT!N184</f>
        <v>Pending</v>
      </c>
      <c r="O55" s="2">
        <f>MASTER_AR_REPORT!O184</f>
        <v>0</v>
      </c>
    </row>
    <row r="56" spans="1:15">
      <c r="A56" s="5">
        <v>52</v>
      </c>
      <c r="B56" s="5" t="str">
        <f>IF(MASTER_AR_REPORT!B185="","",MASTER_AR_REPORT!B185)</f>
        <v>Mujahid</v>
      </c>
      <c r="C56" s="11">
        <f>MASTER_AR_REPORT!C185</f>
        <v>46107</v>
      </c>
      <c r="D56" s="5" t="str">
        <f>IF(MASTER_AR_REPORT!D185="","",MASTER_AR_REPORT!D185)</f>
        <v>C-SLG/2456/25-26</v>
      </c>
      <c r="E56" s="5" t="str">
        <f>IF(MASTER_AR_REPORT!E185="","",MASTER_AR_REPORT!E185)</f>
        <v>Renuka Enterprises</v>
      </c>
      <c r="F56" s="6">
        <f>MASTER_AR_REPORT!F185</f>
        <v>82798</v>
      </c>
      <c r="G56" s="11">
        <f>MASTER_AR_REPORT!G185</f>
        <v>46132</v>
      </c>
      <c r="H56" s="6">
        <f>MASTER_AR_REPORT!H185</f>
        <v>0</v>
      </c>
      <c r="I56" s="6">
        <f>MASTER_AR_REPORT!I185</f>
        <v>82798</v>
      </c>
      <c r="J56" s="5">
        <f ca="1">MASTER_AR_REPORT!J185</f>
        <v>32</v>
      </c>
      <c r="K56" s="5" t="str">
        <f ca="1">MASTER_AR_REPORT!K185</f>
        <v>31-60 Days</v>
      </c>
      <c r="L56" s="5" t="str">
        <f ca="1">MASTER_AR_REPORT!L185</f>
        <v>Low-Medium</v>
      </c>
      <c r="M56" s="5" t="str">
        <f ca="1">MASTER_AR_REPORT!M185</f>
        <v>Medium</v>
      </c>
      <c r="N56" s="5" t="str">
        <f>MASTER_AR_REPORT!N185</f>
        <v>Pending</v>
      </c>
      <c r="O56" s="5">
        <f>MASTER_AR_REPORT!O185</f>
        <v>0</v>
      </c>
    </row>
    <row r="57" spans="1:15">
      <c r="A57" s="2">
        <v>53</v>
      </c>
      <c r="B57" s="2" t="str">
        <f>IF(MASTER_AR_REPORT!B186="","",MASTER_AR_REPORT!B186)</f>
        <v>Mujahid</v>
      </c>
      <c r="C57" s="12">
        <f>MASTER_AR_REPORT!C186</f>
        <v>46155</v>
      </c>
      <c r="D57" s="2" t="str">
        <f>IF(MASTER_AR_REPORT!D186="","",MASTER_AR_REPORT!D186)</f>
        <v>C-SLG/0116/26-27</v>
      </c>
      <c r="E57" s="2" t="str">
        <f>IF(MASTER_AR_REPORT!E186="","",MASTER_AR_REPORT!E186)</f>
        <v>Renuka Enterprises</v>
      </c>
      <c r="F57" s="3">
        <f>MASTER_AR_REPORT!F186</f>
        <v>547</v>
      </c>
      <c r="G57" s="12">
        <f>MASTER_AR_REPORT!G186</f>
        <v>46180</v>
      </c>
      <c r="H57" s="3">
        <f>MASTER_AR_REPORT!H186</f>
        <v>0</v>
      </c>
      <c r="I57" s="3">
        <f>MASTER_AR_REPORT!I186</f>
        <v>547</v>
      </c>
      <c r="J57" s="2">
        <f ca="1">MASTER_AR_REPORT!J186</f>
        <v>0</v>
      </c>
      <c r="K57" s="2" t="str">
        <f ca="1">MASTER_AR_REPORT!K186</f>
        <v>0-30 Days</v>
      </c>
      <c r="L57" s="2" t="str">
        <f ca="1">MASTER_AR_REPORT!L186</f>
        <v>Low</v>
      </c>
      <c r="M57" s="2" t="str">
        <f ca="1">MASTER_AR_REPORT!M186</f>
        <v>Normal</v>
      </c>
      <c r="N57" s="2" t="str">
        <f>MASTER_AR_REPORT!N186</f>
        <v>Pending</v>
      </c>
      <c r="O57" s="2">
        <f>MASTER_AR_REPORT!O186</f>
        <v>0</v>
      </c>
    </row>
    <row r="58" spans="1:15">
      <c r="A58" s="5">
        <v>54</v>
      </c>
      <c r="B58" s="5" t="str">
        <f>IF(MASTER_AR_REPORT!B187="","",MASTER_AR_REPORT!B187)</f>
        <v>Mujahid</v>
      </c>
      <c r="C58" s="11">
        <f>MASTER_AR_REPORT!C187</f>
        <v>46109</v>
      </c>
      <c r="D58" s="5" t="str">
        <f>IF(MASTER_AR_REPORT!D187="","",MASTER_AR_REPORT!D187)</f>
        <v>C-SLG/2473/25-26</v>
      </c>
      <c r="E58" s="5" t="str">
        <f>IF(MASTER_AR_REPORT!E187="","",MASTER_AR_REPORT!E187)</f>
        <v>RENUKA STATIONERS</v>
      </c>
      <c r="F58" s="6">
        <f>MASTER_AR_REPORT!F187</f>
        <v>152603</v>
      </c>
      <c r="G58" s="11">
        <f>MASTER_AR_REPORT!G187</f>
        <v>46134</v>
      </c>
      <c r="H58" s="6">
        <f>MASTER_AR_REPORT!H187</f>
        <v>0</v>
      </c>
      <c r="I58" s="6">
        <f>MASTER_AR_REPORT!I187</f>
        <v>152603</v>
      </c>
      <c r="J58" s="5">
        <f ca="1">MASTER_AR_REPORT!J187</f>
        <v>30</v>
      </c>
      <c r="K58" s="5" t="str">
        <f ca="1">MASTER_AR_REPORT!K187</f>
        <v>0-30 Days</v>
      </c>
      <c r="L58" s="5" t="str">
        <f ca="1">MASTER_AR_REPORT!L187</f>
        <v>Low</v>
      </c>
      <c r="M58" s="5" t="str">
        <f ca="1">MASTER_AR_REPORT!M187</f>
        <v>Normal</v>
      </c>
      <c r="N58" s="5" t="str">
        <f>MASTER_AR_REPORT!N187</f>
        <v>Pending</v>
      </c>
      <c r="O58" s="5">
        <f>MASTER_AR_REPORT!O187</f>
        <v>0</v>
      </c>
    </row>
    <row r="59" spans="1:15">
      <c r="A59" s="2">
        <v>55</v>
      </c>
      <c r="B59" s="2" t="str">
        <f>IF(MASTER_AR_REPORT!B188="","",MASTER_AR_REPORT!B188)</f>
        <v>Mujahid</v>
      </c>
      <c r="C59" s="12">
        <f>MASTER_AR_REPORT!C188</f>
        <v>46142</v>
      </c>
      <c r="D59" s="2" t="str">
        <f>IF(MASTER_AR_REPORT!D188="","",MASTER_AR_REPORT!D188)</f>
        <v>C-SLG/0084/26-27</v>
      </c>
      <c r="E59" s="2" t="str">
        <f>IF(MASTER_AR_REPORT!E188="","",MASTER_AR_REPORT!E188)</f>
        <v>RENUKA STATIONERS</v>
      </c>
      <c r="F59" s="3">
        <f>MASTER_AR_REPORT!F188</f>
        <v>136439</v>
      </c>
      <c r="G59" s="12">
        <f>MASTER_AR_REPORT!G188</f>
        <v>46167</v>
      </c>
      <c r="H59" s="3">
        <f>MASTER_AR_REPORT!H188</f>
        <v>0</v>
      </c>
      <c r="I59" s="3">
        <f>MASTER_AR_REPORT!I188</f>
        <v>136439</v>
      </c>
      <c r="J59" s="2">
        <f ca="1">MASTER_AR_REPORT!J188</f>
        <v>0</v>
      </c>
      <c r="K59" s="2" t="str">
        <f ca="1">MASTER_AR_REPORT!K188</f>
        <v>0-30 Days</v>
      </c>
      <c r="L59" s="2" t="str">
        <f ca="1">MASTER_AR_REPORT!L188</f>
        <v>Low</v>
      </c>
      <c r="M59" s="2" t="str">
        <f ca="1">MASTER_AR_REPORT!M188</f>
        <v>Normal</v>
      </c>
      <c r="N59" s="2" t="str">
        <f>MASTER_AR_REPORT!N188</f>
        <v>Pending</v>
      </c>
      <c r="O59" s="2">
        <f>MASTER_AR_REPORT!O188</f>
        <v>0</v>
      </c>
    </row>
    <row r="60" spans="1:15">
      <c r="A60" s="5">
        <v>56</v>
      </c>
      <c r="B60" s="5" t="str">
        <f>IF(MASTER_AR_REPORT!B189="","",MASTER_AR_REPORT!B189)</f>
        <v>Mujahid</v>
      </c>
      <c r="C60" s="11">
        <f>MASTER_AR_REPORT!C189</f>
        <v>46155</v>
      </c>
      <c r="D60" s="5" t="str">
        <f>IF(MASTER_AR_REPORT!D189="","",MASTER_AR_REPORT!D189)</f>
        <v>C-SLG/0115/26-27</v>
      </c>
      <c r="E60" s="5" t="str">
        <f>IF(MASTER_AR_REPORT!E189="","",MASTER_AR_REPORT!E189)</f>
        <v>RENUKA STATIONERS</v>
      </c>
      <c r="F60" s="6">
        <f>MASTER_AR_REPORT!F189</f>
        <v>547</v>
      </c>
      <c r="G60" s="11">
        <f>MASTER_AR_REPORT!G189</f>
        <v>46180</v>
      </c>
      <c r="H60" s="6">
        <f>MASTER_AR_REPORT!H189</f>
        <v>0</v>
      </c>
      <c r="I60" s="6">
        <f>MASTER_AR_REPORT!I189</f>
        <v>547</v>
      </c>
      <c r="J60" s="5">
        <f ca="1">MASTER_AR_REPORT!J189</f>
        <v>0</v>
      </c>
      <c r="K60" s="5" t="str">
        <f ca="1">MASTER_AR_REPORT!K189</f>
        <v>0-30 Days</v>
      </c>
      <c r="L60" s="5" t="str">
        <f ca="1">MASTER_AR_REPORT!L189</f>
        <v>Low</v>
      </c>
      <c r="M60" s="5" t="str">
        <f ca="1">MASTER_AR_REPORT!M189</f>
        <v>Normal</v>
      </c>
      <c r="N60" s="5" t="str">
        <f>MASTER_AR_REPORT!N189</f>
        <v>Pending</v>
      </c>
      <c r="O60" s="5">
        <f>MASTER_AR_REPORT!O189</f>
        <v>0</v>
      </c>
    </row>
    <row r="61" spans="1:15">
      <c r="A61" s="2">
        <v>57</v>
      </c>
      <c r="B61" s="2" t="str">
        <f>IF(MASTER_AR_REPORT!B190="","",MASTER_AR_REPORT!B190)</f>
        <v>Mujahid</v>
      </c>
      <c r="C61" s="12">
        <f>MASTER_AR_REPORT!C190</f>
        <v>46087</v>
      </c>
      <c r="D61" s="2" t="str">
        <f>IF(MASTER_AR_REPORT!D190="","",MASTER_AR_REPORT!D190)</f>
        <v>C-SLG/2326/25-26</v>
      </c>
      <c r="E61" s="2" t="str">
        <f>IF(MASTER_AR_REPORT!E190="","",MASTER_AR_REPORT!E190)</f>
        <v>ROLEX Stationary</v>
      </c>
      <c r="F61" s="3">
        <f>MASTER_AR_REPORT!F190</f>
        <v>1427</v>
      </c>
      <c r="G61" s="12">
        <f>MASTER_AR_REPORT!G190</f>
        <v>46112</v>
      </c>
      <c r="H61" s="3">
        <f>MASTER_AR_REPORT!H190</f>
        <v>0</v>
      </c>
      <c r="I61" s="3">
        <f>MASTER_AR_REPORT!I190</f>
        <v>1427</v>
      </c>
      <c r="J61" s="2">
        <f ca="1">MASTER_AR_REPORT!J190</f>
        <v>52</v>
      </c>
      <c r="K61" s="2" t="str">
        <f ca="1">MASTER_AR_REPORT!K190</f>
        <v>31-60 Days</v>
      </c>
      <c r="L61" s="2" t="str">
        <f ca="1">MASTER_AR_REPORT!L190</f>
        <v>Low-Medium</v>
      </c>
      <c r="M61" s="2" t="str">
        <f ca="1">MASTER_AR_REPORT!M190</f>
        <v>Medium</v>
      </c>
      <c r="N61" s="2" t="str">
        <f>MASTER_AR_REPORT!N190</f>
        <v>Pending</v>
      </c>
      <c r="O61" s="2">
        <f>MASTER_AR_REPORT!O190</f>
        <v>0</v>
      </c>
    </row>
    <row r="62" spans="1:15">
      <c r="A62" s="5">
        <v>58</v>
      </c>
      <c r="B62" s="5" t="str">
        <f>IF(MASTER_AR_REPORT!B191="","",MASTER_AR_REPORT!B191)</f>
        <v>Mujahid</v>
      </c>
      <c r="C62" s="11">
        <f>MASTER_AR_REPORT!C191</f>
        <v>46104</v>
      </c>
      <c r="D62" s="5" t="str">
        <f>IF(MASTER_AR_REPORT!D191="","",MASTER_AR_REPORT!D191)</f>
        <v>C-SLG/2416/25-26</v>
      </c>
      <c r="E62" s="5" t="str">
        <f>IF(MASTER_AR_REPORT!E191="","",MASTER_AR_REPORT!E191)</f>
        <v>Sha Ghewarchand &amp; Co</v>
      </c>
      <c r="F62" s="6">
        <f>MASTER_AR_REPORT!F191</f>
        <v>1329</v>
      </c>
      <c r="G62" s="11">
        <f>MASTER_AR_REPORT!G191</f>
        <v>46129</v>
      </c>
      <c r="H62" s="6">
        <f>MASTER_AR_REPORT!H191</f>
        <v>0</v>
      </c>
      <c r="I62" s="6">
        <f>MASTER_AR_REPORT!I191</f>
        <v>1329</v>
      </c>
      <c r="J62" s="5">
        <f ca="1">MASTER_AR_REPORT!J191</f>
        <v>35</v>
      </c>
      <c r="K62" s="5" t="str">
        <f ca="1">MASTER_AR_REPORT!K191</f>
        <v>31-60 Days</v>
      </c>
      <c r="L62" s="5" t="str">
        <f ca="1">MASTER_AR_REPORT!L191</f>
        <v>Low-Medium</v>
      </c>
      <c r="M62" s="5" t="str">
        <f ca="1">MASTER_AR_REPORT!M191</f>
        <v>Medium</v>
      </c>
      <c r="N62" s="5" t="str">
        <f>MASTER_AR_REPORT!N191</f>
        <v>Pending</v>
      </c>
      <c r="O62" s="5">
        <f>MASTER_AR_REPORT!O191</f>
        <v>0</v>
      </c>
    </row>
    <row r="63" spans="1:15">
      <c r="A63" s="2">
        <v>59</v>
      </c>
      <c r="B63" s="2" t="str">
        <f>IF(MASTER_AR_REPORT!B192="","",MASTER_AR_REPORT!B192)</f>
        <v>Mujahid</v>
      </c>
      <c r="C63" s="12">
        <f>MASTER_AR_REPORT!C192</f>
        <v>46118</v>
      </c>
      <c r="D63" s="2" t="str">
        <f>IF(MASTER_AR_REPORT!D192="","",MASTER_AR_REPORT!D192)</f>
        <v>C-SLG/0011/26-27</v>
      </c>
      <c r="E63" s="2" t="str">
        <f>IF(MASTER_AR_REPORT!E192="","",MASTER_AR_REPORT!E192)</f>
        <v>Shanker Stationery Mart</v>
      </c>
      <c r="F63" s="3">
        <f>MASTER_AR_REPORT!F192</f>
        <v>743012</v>
      </c>
      <c r="G63" s="12">
        <f>MASTER_AR_REPORT!G192</f>
        <v>46143</v>
      </c>
      <c r="H63" s="3">
        <f>MASTER_AR_REPORT!H192</f>
        <v>0</v>
      </c>
      <c r="I63" s="3">
        <f>MASTER_AR_REPORT!I192</f>
        <v>743012</v>
      </c>
      <c r="J63" s="2">
        <f ca="1">MASTER_AR_REPORT!J192</f>
        <v>21</v>
      </c>
      <c r="K63" s="2" t="str">
        <f ca="1">MASTER_AR_REPORT!K192</f>
        <v>0-30 Days</v>
      </c>
      <c r="L63" s="2" t="str">
        <f ca="1">MASTER_AR_REPORT!L192</f>
        <v>Low</v>
      </c>
      <c r="M63" s="2" t="str">
        <f ca="1">MASTER_AR_REPORT!M192</f>
        <v>Normal</v>
      </c>
      <c r="N63" s="2" t="str">
        <f>MASTER_AR_REPORT!N192</f>
        <v>Pending</v>
      </c>
      <c r="O63" s="2">
        <f>MASTER_AR_REPORT!O192</f>
        <v>0</v>
      </c>
    </row>
    <row r="64" spans="1:15">
      <c r="A64" s="5">
        <v>60</v>
      </c>
      <c r="B64" s="5" t="str">
        <f>IF(MASTER_AR_REPORT!B193="","",MASTER_AR_REPORT!B193)</f>
        <v>Mujahid</v>
      </c>
      <c r="C64" s="11">
        <f>MASTER_AR_REPORT!C193</f>
        <v>46059</v>
      </c>
      <c r="D64" s="5" t="str">
        <f>IF(MASTER_AR_REPORT!D193="","",MASTER_AR_REPORT!D193)</f>
        <v>C-SLG/2195/25-26</v>
      </c>
      <c r="E64" s="5" t="str">
        <f>IF(MASTER_AR_REPORT!E193="","",MASTER_AR_REPORT!E193)</f>
        <v>SRI RAMDEV ENTERPRISES</v>
      </c>
      <c r="F64" s="6">
        <f>MASTER_AR_REPORT!F193</f>
        <v>28600</v>
      </c>
      <c r="G64" s="11">
        <f>MASTER_AR_REPORT!G193</f>
        <v>46084</v>
      </c>
      <c r="H64" s="6">
        <f>MASTER_AR_REPORT!H193</f>
        <v>0</v>
      </c>
      <c r="I64" s="6">
        <f>MASTER_AR_REPORT!I193</f>
        <v>28600</v>
      </c>
      <c r="J64" s="5">
        <f ca="1">MASTER_AR_REPORT!J193</f>
        <v>80</v>
      </c>
      <c r="K64" s="5" t="str">
        <f ca="1">MASTER_AR_REPORT!K193</f>
        <v>61-90 Days</v>
      </c>
      <c r="L64" s="5" t="str">
        <f ca="1">MASTER_AR_REPORT!L193</f>
        <v>Medium</v>
      </c>
      <c r="M64" s="5" t="str">
        <f ca="1">MASTER_AR_REPORT!M193</f>
        <v>Urgent</v>
      </c>
      <c r="N64" s="5" t="str">
        <f>MASTER_AR_REPORT!N193</f>
        <v>Pending</v>
      </c>
      <c r="O64" s="5">
        <f>MASTER_AR_REPORT!O193</f>
        <v>0</v>
      </c>
    </row>
    <row r="65" spans="1:15">
      <c r="A65" s="2">
        <v>61</v>
      </c>
      <c r="B65" s="2" t="str">
        <f>IF(MASTER_AR_REPORT!B194="","",MASTER_AR_REPORT!B194)</f>
        <v>Mujahid</v>
      </c>
      <c r="C65" s="12">
        <f>MASTER_AR_REPORT!C194</f>
        <v>46087</v>
      </c>
      <c r="D65" s="2" t="str">
        <f>IF(MASTER_AR_REPORT!D194="","",MASTER_AR_REPORT!D194)</f>
        <v>C-SLG/2336/25-26</v>
      </c>
      <c r="E65" s="2" t="str">
        <f>IF(MASTER_AR_REPORT!E194="","",MASTER_AR_REPORT!E194)</f>
        <v>SRI RAMDEV ENTERPRISES</v>
      </c>
      <c r="F65" s="3">
        <f>MASTER_AR_REPORT!F194</f>
        <v>26307</v>
      </c>
      <c r="G65" s="12">
        <f>MASTER_AR_REPORT!G194</f>
        <v>46112</v>
      </c>
      <c r="H65" s="3">
        <f>MASTER_AR_REPORT!H194</f>
        <v>0</v>
      </c>
      <c r="I65" s="3">
        <f>MASTER_AR_REPORT!I194</f>
        <v>26307</v>
      </c>
      <c r="J65" s="2">
        <f ca="1">MASTER_AR_REPORT!J194</f>
        <v>52</v>
      </c>
      <c r="K65" s="2" t="str">
        <f ca="1">MASTER_AR_REPORT!K194</f>
        <v>31-60 Days</v>
      </c>
      <c r="L65" s="2" t="str">
        <f ca="1">MASTER_AR_REPORT!L194</f>
        <v>Low-Medium</v>
      </c>
      <c r="M65" s="2" t="str">
        <f ca="1">MASTER_AR_REPORT!M194</f>
        <v>Medium</v>
      </c>
      <c r="N65" s="2" t="str">
        <f>MASTER_AR_REPORT!N194</f>
        <v>Pending</v>
      </c>
      <c r="O65" s="2">
        <f>MASTER_AR_REPORT!O194</f>
        <v>0</v>
      </c>
    </row>
    <row r="66" spans="1:15">
      <c r="A66" s="5">
        <v>62</v>
      </c>
      <c r="B66" s="5" t="str">
        <f>IF(MASTER_AR_REPORT!B195="","",MASTER_AR_REPORT!B195)</f>
        <v>Mujahid</v>
      </c>
      <c r="C66" s="11">
        <f>MASTER_AR_REPORT!C195</f>
        <v>46109</v>
      </c>
      <c r="D66" s="5" t="str">
        <f>IF(MASTER_AR_REPORT!D195="","",MASTER_AR_REPORT!D195)</f>
        <v>C-SLG/2467/25-26</v>
      </c>
      <c r="E66" s="5" t="str">
        <f>IF(MASTER_AR_REPORT!E195="","",MASTER_AR_REPORT!E195)</f>
        <v>SRI RAMDEV ENTERPRISES</v>
      </c>
      <c r="F66" s="6">
        <f>MASTER_AR_REPORT!F195</f>
        <v>21129</v>
      </c>
      <c r="G66" s="11">
        <f>MASTER_AR_REPORT!G195</f>
        <v>46134</v>
      </c>
      <c r="H66" s="6">
        <f>MASTER_AR_REPORT!H195</f>
        <v>0</v>
      </c>
      <c r="I66" s="6">
        <f>MASTER_AR_REPORT!I195</f>
        <v>21129</v>
      </c>
      <c r="J66" s="5">
        <f ca="1">MASTER_AR_REPORT!J195</f>
        <v>30</v>
      </c>
      <c r="K66" s="5" t="str">
        <f ca="1">MASTER_AR_REPORT!K195</f>
        <v>0-30 Days</v>
      </c>
      <c r="L66" s="5" t="str">
        <f ca="1">MASTER_AR_REPORT!L195</f>
        <v>Low</v>
      </c>
      <c r="M66" s="5" t="str">
        <f ca="1">MASTER_AR_REPORT!M195</f>
        <v>Normal</v>
      </c>
      <c r="N66" s="5" t="str">
        <f>MASTER_AR_REPORT!N195</f>
        <v>Pending</v>
      </c>
      <c r="O66" s="5">
        <f>MASTER_AR_REPORT!O195</f>
        <v>0</v>
      </c>
    </row>
    <row r="67" spans="1:15">
      <c r="A67" s="2">
        <v>63</v>
      </c>
      <c r="B67" s="2" t="str">
        <f>IF(MASTER_AR_REPORT!B196="","",MASTER_AR_REPORT!B196)</f>
        <v>Mujahid</v>
      </c>
      <c r="C67" s="12">
        <f>MASTER_AR_REPORT!C196</f>
        <v>46121</v>
      </c>
      <c r="D67" s="2" t="str">
        <f>IF(MASTER_AR_REPORT!D196="","",MASTER_AR_REPORT!D196)</f>
        <v>C-SLG/0010/26-27</v>
      </c>
      <c r="E67" s="2" t="str">
        <f>IF(MASTER_AR_REPORT!E196="","",MASTER_AR_REPORT!E196)</f>
        <v>SRI RAMDEV ENTERPRISES</v>
      </c>
      <c r="F67" s="3">
        <f>MASTER_AR_REPORT!F196</f>
        <v>7460</v>
      </c>
      <c r="G67" s="12">
        <f>MASTER_AR_REPORT!G196</f>
        <v>46146</v>
      </c>
      <c r="H67" s="3">
        <f>MASTER_AR_REPORT!H196</f>
        <v>0</v>
      </c>
      <c r="I67" s="3">
        <f>MASTER_AR_REPORT!I196</f>
        <v>7460</v>
      </c>
      <c r="J67" s="2">
        <f ca="1">MASTER_AR_REPORT!J196</f>
        <v>18</v>
      </c>
      <c r="K67" s="2" t="str">
        <f ca="1">MASTER_AR_REPORT!K196</f>
        <v>0-30 Days</v>
      </c>
      <c r="L67" s="2" t="str">
        <f ca="1">MASTER_AR_REPORT!L196</f>
        <v>Low</v>
      </c>
      <c r="M67" s="2" t="str">
        <f ca="1">MASTER_AR_REPORT!M196</f>
        <v>Normal</v>
      </c>
      <c r="N67" s="2" t="str">
        <f>MASTER_AR_REPORT!N196</f>
        <v>Pending</v>
      </c>
      <c r="O67" s="2">
        <f>MASTER_AR_REPORT!O196</f>
        <v>0</v>
      </c>
    </row>
    <row r="68" spans="1:15">
      <c r="A68" s="5">
        <v>64</v>
      </c>
      <c r="B68" s="5" t="str">
        <f>IF(MASTER_AR_REPORT!B197="","",MASTER_AR_REPORT!B197)</f>
        <v>Mujahid</v>
      </c>
      <c r="C68" s="11">
        <f>MASTER_AR_REPORT!C197</f>
        <v>45202</v>
      </c>
      <c r="D68" s="5" t="str">
        <f>IF(MASTER_AR_REPORT!D197="","",MASTER_AR_REPORT!D197)</f>
        <v>C-SLG/1650/23-24</v>
      </c>
      <c r="E68" s="5" t="str">
        <f>IF(MASTER_AR_REPORT!E197="","",MASTER_AR_REPORT!E197)</f>
        <v>SRI RAM STATIONERY</v>
      </c>
      <c r="F68" s="6">
        <f>MASTER_AR_REPORT!F197</f>
        <v>21098.1</v>
      </c>
      <c r="G68" s="11">
        <f>MASTER_AR_REPORT!G197</f>
        <v>45202</v>
      </c>
      <c r="H68" s="6">
        <f>MASTER_AR_REPORT!H197</f>
        <v>0</v>
      </c>
      <c r="I68" s="6">
        <f>MASTER_AR_REPORT!I197</f>
        <v>21098.1</v>
      </c>
      <c r="J68" s="5">
        <f ca="1">MASTER_AR_REPORT!J197</f>
        <v>962</v>
      </c>
      <c r="K68" s="5" t="str">
        <f ca="1">MASTER_AR_REPORT!K197</f>
        <v>90+ Days</v>
      </c>
      <c r="L68" s="5" t="str">
        <f ca="1">MASTER_AR_REPORT!L197</f>
        <v>HIGH RISK</v>
      </c>
      <c r="M68" s="5" t="str">
        <f ca="1">MASTER_AR_REPORT!M197</f>
        <v>Immediate Action</v>
      </c>
      <c r="N68" s="5" t="str">
        <f>MASTER_AR_REPORT!N197</f>
        <v>Pending</v>
      </c>
      <c r="O68" s="5">
        <f>MASTER_AR_REPORT!O197</f>
        <v>0</v>
      </c>
    </row>
    <row r="69" spans="1:15">
      <c r="A69" s="2">
        <v>65</v>
      </c>
      <c r="B69" s="2" t="str">
        <f>IF(MASTER_AR_REPORT!B198="","",MASTER_AR_REPORT!B198)</f>
        <v>Mujahid</v>
      </c>
      <c r="C69" s="12">
        <f>MASTER_AR_REPORT!C198</f>
        <v>46087</v>
      </c>
      <c r="D69" s="2" t="str">
        <f>IF(MASTER_AR_REPORT!D198="","",MASTER_AR_REPORT!D198)</f>
        <v>C-SLG/2327/25-26</v>
      </c>
      <c r="E69" s="2" t="str">
        <f>IF(MASTER_AR_REPORT!E198="","",MASTER_AR_REPORT!E198)</f>
        <v>SRI RAM STATIONERY</v>
      </c>
      <c r="F69" s="3">
        <f>MASTER_AR_REPORT!F198</f>
        <v>1427</v>
      </c>
      <c r="G69" s="12">
        <f>MASTER_AR_REPORT!G198</f>
        <v>46112</v>
      </c>
      <c r="H69" s="3">
        <f>MASTER_AR_REPORT!H198</f>
        <v>0</v>
      </c>
      <c r="I69" s="3">
        <f>MASTER_AR_REPORT!I198</f>
        <v>1427</v>
      </c>
      <c r="J69" s="2">
        <f ca="1">MASTER_AR_REPORT!J198</f>
        <v>52</v>
      </c>
      <c r="K69" s="2" t="str">
        <f ca="1">MASTER_AR_REPORT!K198</f>
        <v>31-60 Days</v>
      </c>
      <c r="L69" s="2" t="str">
        <f ca="1">MASTER_AR_REPORT!L198</f>
        <v>Low-Medium</v>
      </c>
      <c r="M69" s="2" t="str">
        <f ca="1">MASTER_AR_REPORT!M198</f>
        <v>Medium</v>
      </c>
      <c r="N69" s="2" t="str">
        <f>MASTER_AR_REPORT!N198</f>
        <v>Pending</v>
      </c>
      <c r="O69" s="2">
        <f>MASTER_AR_REPORT!O198</f>
        <v>0</v>
      </c>
    </row>
    <row r="70" spans="1:15">
      <c r="A70" s="5">
        <v>66</v>
      </c>
      <c r="B70" s="5" t="str">
        <f>IF(MASTER_AR_REPORT!B199="","",MASTER_AR_REPORT!B199)</f>
        <v>Mujahid</v>
      </c>
      <c r="C70" s="11">
        <f>MASTER_AR_REPORT!C199</f>
        <v>46087</v>
      </c>
      <c r="D70" s="5" t="str">
        <f>IF(MASTER_AR_REPORT!D199="","",MASTER_AR_REPORT!D199)</f>
        <v>C-SLG/2328/25-26</v>
      </c>
      <c r="E70" s="5" t="str">
        <f>IF(MASTER_AR_REPORT!E199="","",MASTER_AR_REPORT!E199)</f>
        <v>TALAWAT STATIONARY</v>
      </c>
      <c r="F70" s="6">
        <f>MASTER_AR_REPORT!F199</f>
        <v>1427</v>
      </c>
      <c r="G70" s="11">
        <f>MASTER_AR_REPORT!G199</f>
        <v>46112</v>
      </c>
      <c r="H70" s="6">
        <f>MASTER_AR_REPORT!H199</f>
        <v>0</v>
      </c>
      <c r="I70" s="6">
        <f>MASTER_AR_REPORT!I199</f>
        <v>1427</v>
      </c>
      <c r="J70" s="5">
        <f ca="1">MASTER_AR_REPORT!J199</f>
        <v>52</v>
      </c>
      <c r="K70" s="5" t="str">
        <f ca="1">MASTER_AR_REPORT!K199</f>
        <v>31-60 Days</v>
      </c>
      <c r="L70" s="5" t="str">
        <f ca="1">MASTER_AR_REPORT!L199</f>
        <v>Low-Medium</v>
      </c>
      <c r="M70" s="5" t="str">
        <f ca="1">MASTER_AR_REPORT!M199</f>
        <v>Medium</v>
      </c>
      <c r="N70" s="5" t="str">
        <f>MASTER_AR_REPORT!N199</f>
        <v>Pending</v>
      </c>
      <c r="O70" s="5">
        <f>MASTER_AR_REPORT!O199</f>
        <v>0</v>
      </c>
    </row>
    <row r="71" spans="1:15">
      <c r="A71" s="2">
        <v>67</v>
      </c>
      <c r="B71" s="2" t="str">
        <f>IF(MASTER_AR_REPORT!B200="","",MASTER_AR_REPORT!B200)</f>
        <v>Mujahid</v>
      </c>
      <c r="C71" s="12">
        <f>MASTER_AR_REPORT!C200</f>
        <v>46112</v>
      </c>
      <c r="D71" s="2" t="str">
        <f>IF(MASTER_AR_REPORT!D200="","",MASTER_AR_REPORT!D200)</f>
        <v>C-SLG/2493/25-26</v>
      </c>
      <c r="E71" s="2" t="str">
        <f>IF(MASTER_AR_REPORT!E200="","",MASTER_AR_REPORT!E200)</f>
        <v>Vardhman Computer &amp; Stationery</v>
      </c>
      <c r="F71" s="3">
        <f>MASTER_AR_REPORT!F200</f>
        <v>45625</v>
      </c>
      <c r="G71" s="12">
        <f>MASTER_AR_REPORT!G200</f>
        <v>46137</v>
      </c>
      <c r="H71" s="3">
        <f>MASTER_AR_REPORT!H200</f>
        <v>0</v>
      </c>
      <c r="I71" s="3">
        <f>MASTER_AR_REPORT!I200</f>
        <v>45625</v>
      </c>
      <c r="J71" s="2">
        <f ca="1">MASTER_AR_REPORT!J200</f>
        <v>27</v>
      </c>
      <c r="K71" s="2" t="str">
        <f ca="1">MASTER_AR_REPORT!K200</f>
        <v>0-30 Days</v>
      </c>
      <c r="L71" s="2" t="str">
        <f ca="1">MASTER_AR_REPORT!L200</f>
        <v>Low</v>
      </c>
      <c r="M71" s="2" t="str">
        <f ca="1">MASTER_AR_REPORT!M200</f>
        <v>Normal</v>
      </c>
      <c r="N71" s="2" t="str">
        <f>MASTER_AR_REPORT!N200</f>
        <v>Pending</v>
      </c>
      <c r="O71" s="2">
        <f>MASTER_AR_REPORT!O200</f>
        <v>0</v>
      </c>
    </row>
    <row r="72" spans="1:15">
      <c r="A72" s="5">
        <v>68</v>
      </c>
      <c r="B72" s="5" t="str">
        <f>IF(MASTER_AR_REPORT!B201="","",MASTER_AR_REPORT!B201)</f>
        <v>Mujahid</v>
      </c>
      <c r="C72" s="11">
        <f>MASTER_AR_REPORT!C201</f>
        <v>46137</v>
      </c>
      <c r="D72" s="5" t="str">
        <f>IF(MASTER_AR_REPORT!D201="","",MASTER_AR_REPORT!D201)</f>
        <v>C-SLG/0069/26-27</v>
      </c>
      <c r="E72" s="5" t="str">
        <f>IF(MASTER_AR_REPORT!E201="","",MASTER_AR_REPORT!E201)</f>
        <v>Vardhman Computer &amp; Stationery</v>
      </c>
      <c r="F72" s="6">
        <f>MASTER_AR_REPORT!F201</f>
        <v>91396</v>
      </c>
      <c r="G72" s="11">
        <f>MASTER_AR_REPORT!G201</f>
        <v>46162</v>
      </c>
      <c r="H72" s="6">
        <f>MASTER_AR_REPORT!H201</f>
        <v>0</v>
      </c>
      <c r="I72" s="6">
        <f>MASTER_AR_REPORT!I201</f>
        <v>91396</v>
      </c>
      <c r="J72" s="5">
        <f ca="1">MASTER_AR_REPORT!J201</f>
        <v>2</v>
      </c>
      <c r="K72" s="5" t="str">
        <f ca="1">MASTER_AR_REPORT!K201</f>
        <v>0-30 Days</v>
      </c>
      <c r="L72" s="5" t="str">
        <f ca="1">MASTER_AR_REPORT!L201</f>
        <v>Low</v>
      </c>
      <c r="M72" s="5" t="str">
        <f ca="1">MASTER_AR_REPORT!M201</f>
        <v>Normal</v>
      </c>
      <c r="N72" s="5" t="str">
        <f>MASTER_AR_REPORT!N201</f>
        <v>Pending</v>
      </c>
      <c r="O72" s="5">
        <f>MASTER_AR_REPORT!O201</f>
        <v>0</v>
      </c>
    </row>
    <row r="73" spans="1:15">
      <c r="A73" s="2">
        <v>69</v>
      </c>
      <c r="B73" s="2" t="str">
        <f>IF(MASTER_AR_REPORT!B202="","",MASTER_AR_REPORT!B202)</f>
        <v>Mujahid</v>
      </c>
      <c r="C73" s="12">
        <f>MASTER_AR_REPORT!C202</f>
        <v>46087</v>
      </c>
      <c r="D73" s="2" t="str">
        <f>IF(MASTER_AR_REPORT!D202="","",MASTER_AR_REPORT!D202)</f>
        <v>C-SLG/2330/25-26</v>
      </c>
      <c r="E73" s="2" t="str">
        <f>IF(MASTER_AR_REPORT!E202="","",MASTER_AR_REPORT!E202)</f>
        <v>V Raja Stationery</v>
      </c>
      <c r="F73" s="3">
        <f>MASTER_AR_REPORT!F202</f>
        <v>52613</v>
      </c>
      <c r="G73" s="12">
        <f>MASTER_AR_REPORT!G202</f>
        <v>46112</v>
      </c>
      <c r="H73" s="3">
        <f>MASTER_AR_REPORT!H202</f>
        <v>0</v>
      </c>
      <c r="I73" s="3">
        <f>MASTER_AR_REPORT!I202</f>
        <v>52613</v>
      </c>
      <c r="J73" s="2">
        <f ca="1">MASTER_AR_REPORT!J202</f>
        <v>52</v>
      </c>
      <c r="K73" s="2" t="str">
        <f ca="1">MASTER_AR_REPORT!K202</f>
        <v>31-60 Days</v>
      </c>
      <c r="L73" s="2" t="str">
        <f ca="1">MASTER_AR_REPORT!L202</f>
        <v>Low-Medium</v>
      </c>
      <c r="M73" s="2" t="str">
        <f ca="1">MASTER_AR_REPORT!M202</f>
        <v>Medium</v>
      </c>
      <c r="N73" s="2" t="str">
        <f>MASTER_AR_REPORT!N202</f>
        <v>Pending</v>
      </c>
      <c r="O73" s="2">
        <f>MASTER_AR_REPORT!O202</f>
        <v>0</v>
      </c>
    </row>
    <row r="74" spans="1:15">
      <c r="A74" s="5">
        <v>70</v>
      </c>
      <c r="B74" s="5" t="str">
        <f>IF(MASTER_AR_REPORT!B203="","",MASTER_AR_REPORT!B203)</f>
        <v>Mujahid</v>
      </c>
      <c r="C74" s="11">
        <f>MASTER_AR_REPORT!C203</f>
        <v>46109</v>
      </c>
      <c r="D74" s="5" t="str">
        <f>IF(MASTER_AR_REPORT!D203="","",MASTER_AR_REPORT!D203)</f>
        <v>C-SLG/2466/25-26</v>
      </c>
      <c r="E74" s="5" t="str">
        <f>IF(MASTER_AR_REPORT!E203="","",MASTER_AR_REPORT!E203)</f>
        <v>V Raja Stationery</v>
      </c>
      <c r="F74" s="6">
        <f>MASTER_AR_REPORT!F203</f>
        <v>88584</v>
      </c>
      <c r="G74" s="11">
        <f>MASTER_AR_REPORT!G203</f>
        <v>46134</v>
      </c>
      <c r="H74" s="6">
        <f>MASTER_AR_REPORT!H203</f>
        <v>0</v>
      </c>
      <c r="I74" s="6">
        <f>MASTER_AR_REPORT!I203</f>
        <v>88584</v>
      </c>
      <c r="J74" s="5">
        <f ca="1">MASTER_AR_REPORT!J203</f>
        <v>30</v>
      </c>
      <c r="K74" s="5" t="str">
        <f ca="1">MASTER_AR_REPORT!K203</f>
        <v>0-30 Days</v>
      </c>
      <c r="L74" s="5" t="str">
        <f ca="1">MASTER_AR_REPORT!L203</f>
        <v>Low</v>
      </c>
      <c r="M74" s="5" t="str">
        <f ca="1">MASTER_AR_REPORT!M203</f>
        <v>Normal</v>
      </c>
      <c r="N74" s="5" t="str">
        <f>MASTER_AR_REPORT!N203</f>
        <v>Pending</v>
      </c>
      <c r="O74" s="5">
        <f>MASTER_AR_REPORT!O203</f>
        <v>0</v>
      </c>
    </row>
    <row r="75" spans="1:15">
      <c r="A75" s="2">
        <v>71</v>
      </c>
      <c r="B75" s="2" t="str">
        <f>IF(MASTER_AR_REPORT!B204="","",MASTER_AR_REPORT!B204)</f>
        <v>Mujahid</v>
      </c>
      <c r="C75" s="12">
        <f>MASTER_AR_REPORT!C204</f>
        <v>46140</v>
      </c>
      <c r="D75" s="2" t="str">
        <f>IF(MASTER_AR_REPORT!D204="","",MASTER_AR_REPORT!D204)</f>
        <v>Chq Bounce-173</v>
      </c>
      <c r="E75" s="2" t="str">
        <f>IF(MASTER_AR_REPORT!E204="","",MASTER_AR_REPORT!E204)</f>
        <v>Yash Marketing</v>
      </c>
      <c r="F75" s="3">
        <f>MASTER_AR_REPORT!F204</f>
        <v>46578</v>
      </c>
      <c r="G75" s="12">
        <f>MASTER_AR_REPORT!G204</f>
        <v>46140</v>
      </c>
      <c r="H75" s="3">
        <f>MASTER_AR_REPORT!H204</f>
        <v>0</v>
      </c>
      <c r="I75" s="3">
        <f>MASTER_AR_REPORT!I204</f>
        <v>46578</v>
      </c>
      <c r="J75" s="2">
        <f ca="1">MASTER_AR_REPORT!J204</f>
        <v>24</v>
      </c>
      <c r="K75" s="2" t="str">
        <f ca="1">MASTER_AR_REPORT!K204</f>
        <v>0-30 Days</v>
      </c>
      <c r="L75" s="2" t="str">
        <f ca="1">MASTER_AR_REPORT!L204</f>
        <v>Low</v>
      </c>
      <c r="M75" s="2" t="str">
        <f ca="1">MASTER_AR_REPORT!M204</f>
        <v>Normal</v>
      </c>
      <c r="N75" s="2" t="str">
        <f>MASTER_AR_REPORT!N204</f>
        <v>Pending</v>
      </c>
      <c r="O75" s="2">
        <f>MASTER_AR_REPORT!O204</f>
        <v>0</v>
      </c>
    </row>
    <row r="76" spans="1:15">
      <c r="A76" s="13"/>
      <c r="B76" s="13"/>
      <c r="C76" s="13"/>
      <c r="D76" s="13"/>
      <c r="E76" s="8" t="s">
        <v>17</v>
      </c>
      <c r="F76" s="9">
        <f>SUM(F5:F75)</f>
        <v>4695166.9799999995</v>
      </c>
      <c r="G76" s="13"/>
      <c r="H76" s="9">
        <f>SUM(H5:H75)</f>
        <v>167476</v>
      </c>
      <c r="I76" s="9">
        <f>SUM(I5:I75)</f>
        <v>4527690.9799999995</v>
      </c>
      <c r="J76" s="13"/>
      <c r="K76" s="13"/>
      <c r="L76" s="13"/>
      <c r="M76" s="13"/>
      <c r="N76" s="13"/>
      <c r="O76" s="13"/>
    </row>
  </sheetData>
  <autoFilter ref="A4:O75" xr:uid="{00000000-0009-0000-0000-000005000000}"/>
  <mergeCells count="2">
    <mergeCell ref="A1:O1"/>
    <mergeCell ref="A2:O2"/>
  </mergeCells>
  <conditionalFormatting sqref="A5:O75">
    <cfRule type="expression" dxfId="7" priority="1">
      <formula>AND($J5&gt;=90,$I5&gt;0)</formula>
    </cfRule>
    <cfRule type="expression" dxfId="6" priority="2">
      <formula>AND($J5&gt;=61,$J5&lt;90,$I5&gt;0)</formula>
    </cfRule>
    <cfRule type="expression" dxfId="5" priority="3">
      <formula>AND($J5&gt;=31,$J5&lt;61,$I5&gt;0)</formula>
    </cfRule>
    <cfRule type="expression" dxfId="4" priority="4">
      <formula>AND($J5&gt;=1,$J5&lt;31,$I5&gt;0)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7"/>
  <sheetViews>
    <sheetView tabSelected="1" zoomScale="82" workbookViewId="0">
      <pane ySplit="4" topLeftCell="A34" activePane="bottomLeft" state="frozen"/>
      <selection pane="bottomLeft" activeCell="O67" sqref="O67"/>
    </sheetView>
  </sheetViews>
  <sheetFormatPr defaultRowHeight="14.4"/>
  <cols>
    <col min="1" max="1" width="6" customWidth="1"/>
    <col min="2" max="3" width="14" customWidth="1"/>
    <col min="4" max="4" width="20" customWidth="1"/>
    <col min="5" max="5" width="28" customWidth="1"/>
    <col min="6" max="8" width="14" customWidth="1"/>
    <col min="9" max="9" width="16" customWidth="1"/>
    <col min="10" max="10" width="14" customWidth="1"/>
    <col min="11" max="11" width="16" customWidth="1"/>
    <col min="12" max="12" width="14" customWidth="1"/>
    <col min="13" max="13" width="18" customWidth="1"/>
    <col min="14" max="14" width="12" customWidth="1"/>
    <col min="15" max="15" width="23.109375" bestFit="1" customWidth="1"/>
  </cols>
  <sheetData>
    <row r="1" spans="1:15" ht="36" customHeight="1">
      <c r="A1" s="115" t="s">
        <v>488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15" ht="22.2" customHeight="1">
      <c r="A2" s="117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6" customHeight="1"/>
    <row r="4" spans="1:15" ht="30" customHeight="1">
      <c r="A4" s="108" t="s">
        <v>2</v>
      </c>
      <c r="B4" s="108" t="s">
        <v>3</v>
      </c>
      <c r="C4" s="108" t="s">
        <v>4</v>
      </c>
      <c r="D4" s="108" t="s">
        <v>5</v>
      </c>
      <c r="E4" s="108" t="s">
        <v>6</v>
      </c>
      <c r="F4" s="108" t="s">
        <v>7</v>
      </c>
      <c r="G4" s="108" t="s">
        <v>8</v>
      </c>
      <c r="H4" s="108" t="s">
        <v>9</v>
      </c>
      <c r="I4" s="108" t="s">
        <v>10</v>
      </c>
      <c r="J4" s="108" t="s">
        <v>11</v>
      </c>
      <c r="K4" s="108" t="s">
        <v>12</v>
      </c>
      <c r="L4" s="108" t="s">
        <v>13</v>
      </c>
      <c r="M4" s="108" t="s">
        <v>14</v>
      </c>
      <c r="N4" s="108" t="s">
        <v>15</v>
      </c>
      <c r="O4" s="108" t="s">
        <v>16</v>
      </c>
    </row>
    <row r="5" spans="1:15">
      <c r="A5" s="2">
        <v>1</v>
      </c>
      <c r="B5" s="2" t="str">
        <f>IF(MASTER_AR_REPORT!B205="","",MASTER_AR_REPORT!B205)</f>
        <v>Vinod</v>
      </c>
      <c r="C5" s="12">
        <f>MASTER_AR_REPORT!C205</f>
        <v>46125</v>
      </c>
      <c r="D5" s="2" t="str">
        <f>IF(MASTER_AR_REPORT!D205="","",MASTER_AR_REPORT!D205)</f>
        <v>C-SLG/0033/26-27</v>
      </c>
      <c r="E5" s="2" t="str">
        <f>IF(MASTER_AR_REPORT!E205="","",MASTER_AR_REPORT!E205)</f>
        <v>Apple Gift Gallery</v>
      </c>
      <c r="F5" s="3">
        <f>MASTER_AR_REPORT!F205</f>
        <v>5452</v>
      </c>
      <c r="G5" s="12">
        <f>MASTER_AR_REPORT!G205</f>
        <v>46150</v>
      </c>
      <c r="H5" s="3">
        <f>MASTER_AR_REPORT!H205</f>
        <v>0</v>
      </c>
      <c r="I5" s="3">
        <f>MASTER_AR_REPORT!I205</f>
        <v>5452</v>
      </c>
      <c r="J5" s="2">
        <f ca="1">MASTER_AR_REPORT!J205</f>
        <v>14</v>
      </c>
      <c r="K5" s="2" t="str">
        <f ca="1">MASTER_AR_REPORT!K205</f>
        <v>0-30 Days</v>
      </c>
      <c r="L5" s="2" t="str">
        <f ca="1">MASTER_AR_REPORT!L205</f>
        <v>Low</v>
      </c>
      <c r="M5" s="2" t="str">
        <f ca="1">MASTER_AR_REPORT!M205</f>
        <v>Normal</v>
      </c>
      <c r="N5" s="2" t="str">
        <f>MASTER_AR_REPORT!N205</f>
        <v>Pending</v>
      </c>
      <c r="O5" s="2">
        <f>MASTER_AR_REPORT!O205</f>
        <v>0</v>
      </c>
    </row>
    <row r="6" spans="1:15">
      <c r="A6" s="5">
        <v>2</v>
      </c>
      <c r="B6" s="5" t="str">
        <f>IF(MASTER_AR_REPORT!B206="","",MASTER_AR_REPORT!B206)</f>
        <v>Vinod</v>
      </c>
      <c r="C6" s="11">
        <f>MASTER_AR_REPORT!C206</f>
        <v>46133</v>
      </c>
      <c r="D6" s="5" t="str">
        <f>IF(MASTER_AR_REPORT!D206="","",MASTER_AR_REPORT!D206)</f>
        <v>C-SLG/0059/26-27</v>
      </c>
      <c r="E6" s="5" t="str">
        <f>IF(MASTER_AR_REPORT!E206="","",MASTER_AR_REPORT!E206)</f>
        <v>Ashtar Enteprises</v>
      </c>
      <c r="F6" s="6">
        <f>MASTER_AR_REPORT!F206</f>
        <v>13436</v>
      </c>
      <c r="G6" s="11">
        <f>MASTER_AR_REPORT!G206</f>
        <v>46158</v>
      </c>
      <c r="H6" s="6">
        <f>MASTER_AR_REPORT!H206</f>
        <v>0</v>
      </c>
      <c r="I6" s="6">
        <f>MASTER_AR_REPORT!I206</f>
        <v>13436</v>
      </c>
      <c r="J6" s="5">
        <f ca="1">MASTER_AR_REPORT!J206</f>
        <v>6</v>
      </c>
      <c r="K6" s="5" t="str">
        <f ca="1">MASTER_AR_REPORT!K206</f>
        <v>0-30 Days</v>
      </c>
      <c r="L6" s="5" t="str">
        <f ca="1">MASTER_AR_REPORT!L206</f>
        <v>Low</v>
      </c>
      <c r="M6" s="5" t="str">
        <f ca="1">MASTER_AR_REPORT!M206</f>
        <v>Normal</v>
      </c>
      <c r="N6" s="5" t="str">
        <f>MASTER_AR_REPORT!N206</f>
        <v>Pending</v>
      </c>
      <c r="O6" s="5">
        <f>MASTER_AR_REPORT!O206</f>
        <v>0</v>
      </c>
    </row>
    <row r="7" spans="1:15">
      <c r="A7" s="2">
        <v>3</v>
      </c>
      <c r="B7" s="2" t="str">
        <f>IF(MASTER_AR_REPORT!B207="","",MASTER_AR_REPORT!B207)</f>
        <v>Vinod</v>
      </c>
      <c r="C7" s="12">
        <f>MASTER_AR_REPORT!C207</f>
        <v>46105</v>
      </c>
      <c r="D7" s="2" t="str">
        <f>IF(MASTER_AR_REPORT!D207="","",MASTER_AR_REPORT!D207)</f>
        <v>C-SLG/2435/25-26</v>
      </c>
      <c r="E7" s="2" t="str">
        <f>IF(MASTER_AR_REPORT!E207="","",MASTER_AR_REPORT!E207)</f>
        <v>BSR EXIM</v>
      </c>
      <c r="F7" s="3">
        <f>MASTER_AR_REPORT!F207</f>
        <v>8720</v>
      </c>
      <c r="G7" s="12">
        <f>MASTER_AR_REPORT!G207</f>
        <v>46130</v>
      </c>
      <c r="H7" s="3">
        <f>MASTER_AR_REPORT!H207</f>
        <v>8720</v>
      </c>
      <c r="I7" s="3">
        <f>MASTER_AR_REPORT!I207</f>
        <v>0</v>
      </c>
      <c r="J7" s="2">
        <f ca="1">MASTER_AR_REPORT!J207</f>
        <v>34</v>
      </c>
      <c r="K7" s="2" t="str">
        <f>MASTER_AR_REPORT!K207</f>
        <v>Current</v>
      </c>
      <c r="L7" s="2" t="str">
        <f>MASTER_AR_REPORT!L207</f>
        <v>-</v>
      </c>
      <c r="M7" s="2" t="str">
        <f>MASTER_AR_REPORT!M207</f>
        <v>-</v>
      </c>
      <c r="N7" s="2" t="str">
        <f>MASTER_AR_REPORT!N207</f>
        <v>Paid</v>
      </c>
      <c r="O7" s="2" t="str">
        <f>MASTER_AR_REPORT!O207</f>
        <v>Paid Online - Full Amount</v>
      </c>
    </row>
    <row r="8" spans="1:15">
      <c r="A8" s="5">
        <v>4</v>
      </c>
      <c r="B8" s="5" t="str">
        <f>IF(MASTER_AR_REPORT!B208="","",MASTER_AR_REPORT!B208)</f>
        <v>Vinod</v>
      </c>
      <c r="C8" s="11">
        <f>MASTER_AR_REPORT!C208</f>
        <v>46135</v>
      </c>
      <c r="D8" s="5" t="str">
        <f>IF(MASTER_AR_REPORT!D208="","",MASTER_AR_REPORT!D208)</f>
        <v>C-SLG/0064/26-27</v>
      </c>
      <c r="E8" s="5" t="str">
        <f>IF(MASTER_AR_REPORT!E208="","",MASTER_AR_REPORT!E208)</f>
        <v>Gayathri Book Centre</v>
      </c>
      <c r="F8" s="6">
        <f>MASTER_AR_REPORT!F208</f>
        <v>2156</v>
      </c>
      <c r="G8" s="11">
        <f>MASTER_AR_REPORT!G208</f>
        <v>46160</v>
      </c>
      <c r="H8" s="6">
        <f>MASTER_AR_REPORT!H208</f>
        <v>2156</v>
      </c>
      <c r="I8" s="6">
        <f>MASTER_AR_REPORT!I208</f>
        <v>0</v>
      </c>
      <c r="J8" s="5">
        <f ca="1">MASTER_AR_REPORT!J208</f>
        <v>4</v>
      </c>
      <c r="K8" s="5" t="str">
        <f>MASTER_AR_REPORT!K208</f>
        <v>Current</v>
      </c>
      <c r="L8" s="5" t="str">
        <f>MASTER_AR_REPORT!L208</f>
        <v>-</v>
      </c>
      <c r="M8" s="5" t="str">
        <f>MASTER_AR_REPORT!M208</f>
        <v>-</v>
      </c>
      <c r="N8" s="5" t="str">
        <f>MASTER_AR_REPORT!N208</f>
        <v>Pending</v>
      </c>
      <c r="O8" s="5" t="str">
        <f>MASTER_AR_REPORT!O208</f>
        <v>Paid Online - Full Amount</v>
      </c>
    </row>
    <row r="9" spans="1:15">
      <c r="A9" s="2">
        <v>5</v>
      </c>
      <c r="B9" s="2" t="str">
        <f>IF(MASTER_AR_REPORT!B209="","",MASTER_AR_REPORT!B209)</f>
        <v>Vinod</v>
      </c>
      <c r="C9" s="12">
        <f>MASTER_AR_REPORT!C209</f>
        <v>46151</v>
      </c>
      <c r="D9" s="2" t="str">
        <f>IF(MASTER_AR_REPORT!D209="","",MASTER_AR_REPORT!D209)</f>
        <v>C-SLG/0109/26-27</v>
      </c>
      <c r="E9" s="2" t="str">
        <f>IF(MASTER_AR_REPORT!E209="","",MASTER_AR_REPORT!E209)</f>
        <v>Gayathri Book Centre</v>
      </c>
      <c r="F9" s="3">
        <f>MASTER_AR_REPORT!F209</f>
        <v>3708</v>
      </c>
      <c r="G9" s="12">
        <f>MASTER_AR_REPORT!G209</f>
        <v>46176</v>
      </c>
      <c r="H9" s="3">
        <f>MASTER_AR_REPORT!H209</f>
        <v>0</v>
      </c>
      <c r="I9" s="3">
        <f>MASTER_AR_REPORT!I209</f>
        <v>3708</v>
      </c>
      <c r="J9" s="2">
        <f ca="1">MASTER_AR_REPORT!J209</f>
        <v>0</v>
      </c>
      <c r="K9" s="2" t="str">
        <f ca="1">MASTER_AR_REPORT!K209</f>
        <v>0-30 Days</v>
      </c>
      <c r="L9" s="2" t="str">
        <f ca="1">MASTER_AR_REPORT!L209</f>
        <v>Low</v>
      </c>
      <c r="M9" s="2" t="str">
        <f ca="1">MASTER_AR_REPORT!M209</f>
        <v>Normal</v>
      </c>
      <c r="N9" s="2" t="str">
        <f>MASTER_AR_REPORT!N209</f>
        <v>Pending</v>
      </c>
      <c r="O9" s="2">
        <f>MASTER_AR_REPORT!O209</f>
        <v>0</v>
      </c>
    </row>
    <row r="10" spans="1:15">
      <c r="A10" s="5">
        <v>6</v>
      </c>
      <c r="B10" s="5" t="str">
        <f>IF(MASTER_AR_REPORT!B210="","",MASTER_AR_REPORT!B210)</f>
        <v>Vinod</v>
      </c>
      <c r="C10" s="11">
        <f>MASTER_AR_REPORT!C210</f>
        <v>46109</v>
      </c>
      <c r="D10" s="5" t="str">
        <f>IF(MASTER_AR_REPORT!D210="","",MASTER_AR_REPORT!D210)</f>
        <v>C-SLG/2471/25-26</v>
      </c>
      <c r="E10" s="5" t="str">
        <f>IF(MASTER_AR_REPORT!E210="","",MASTER_AR_REPORT!E210)</f>
        <v>Himalaya Book Binding Works &amp; Stationery</v>
      </c>
      <c r="F10" s="6">
        <f>MASTER_AR_REPORT!F210</f>
        <v>10164</v>
      </c>
      <c r="G10" s="11">
        <f>MASTER_AR_REPORT!G210</f>
        <v>46134</v>
      </c>
      <c r="H10" s="6">
        <f>MASTER_AR_REPORT!H210</f>
        <v>0</v>
      </c>
      <c r="I10" s="6">
        <f>MASTER_AR_REPORT!I210</f>
        <v>10164</v>
      </c>
      <c r="J10" s="5">
        <f ca="1">MASTER_AR_REPORT!J210</f>
        <v>30</v>
      </c>
      <c r="K10" s="5" t="str">
        <f ca="1">MASTER_AR_REPORT!K210</f>
        <v>0-30 Days</v>
      </c>
      <c r="L10" s="5" t="str">
        <f ca="1">MASTER_AR_REPORT!L210</f>
        <v>Low</v>
      </c>
      <c r="M10" s="5" t="str">
        <f ca="1">MASTER_AR_REPORT!M210</f>
        <v>Normal</v>
      </c>
      <c r="N10" s="5" t="str">
        <f>MASTER_AR_REPORT!N210</f>
        <v>Pending</v>
      </c>
      <c r="O10" s="5">
        <f>MASTER_AR_REPORT!O210</f>
        <v>0</v>
      </c>
    </row>
    <row r="11" spans="1:15">
      <c r="A11" s="2">
        <v>7</v>
      </c>
      <c r="B11" s="2" t="str">
        <f>IF(MASTER_AR_REPORT!B211="","",MASTER_AR_REPORT!B211)</f>
        <v>Vinod</v>
      </c>
      <c r="C11" s="12">
        <f>MASTER_AR_REPORT!C211</f>
        <v>46051</v>
      </c>
      <c r="D11" s="2" t="str">
        <f>IF(MASTER_AR_REPORT!D211="","",MASTER_AR_REPORT!D211)</f>
        <v>C-SLG/2141/25-26</v>
      </c>
      <c r="E11" s="2" t="str">
        <f>IF(MASTER_AR_REPORT!E211="","",MASTER_AR_REPORT!E211)</f>
        <v>ISLAMIA BOOK DEPOT</v>
      </c>
      <c r="F11" s="3">
        <f>MASTER_AR_REPORT!F211</f>
        <v>8136</v>
      </c>
      <c r="G11" s="12">
        <f>MASTER_AR_REPORT!G211</f>
        <v>46076</v>
      </c>
      <c r="H11" s="3">
        <f>MASTER_AR_REPORT!H211</f>
        <v>0</v>
      </c>
      <c r="I11" s="3">
        <f>MASTER_AR_REPORT!I211</f>
        <v>8136</v>
      </c>
      <c r="J11" s="2">
        <f ca="1">MASTER_AR_REPORT!J211</f>
        <v>88</v>
      </c>
      <c r="K11" s="2" t="str">
        <f ca="1">MASTER_AR_REPORT!K211</f>
        <v>61-90 Days</v>
      </c>
      <c r="L11" s="2" t="str">
        <f ca="1">MASTER_AR_REPORT!L211</f>
        <v>Medium</v>
      </c>
      <c r="M11" s="2" t="str">
        <f ca="1">MASTER_AR_REPORT!M211</f>
        <v>Urgent</v>
      </c>
      <c r="N11" s="2" t="str">
        <f>MASTER_AR_REPORT!N211</f>
        <v>Pending</v>
      </c>
      <c r="O11" s="2" t="str">
        <f>MASTER_AR_REPORT!O211</f>
        <v>Pay Late (Market Down)</v>
      </c>
    </row>
    <row r="12" spans="1:15">
      <c r="A12" s="5">
        <v>8</v>
      </c>
      <c r="B12" s="5" t="str">
        <f>IF(MASTER_AR_REPORT!B212="","",MASTER_AR_REPORT!B212)</f>
        <v>Vinod</v>
      </c>
      <c r="C12" s="11">
        <f>MASTER_AR_REPORT!C212</f>
        <v>46050</v>
      </c>
      <c r="D12" s="5" t="str">
        <f>IF(MASTER_AR_REPORT!D212="","",MASTER_AR_REPORT!D212)</f>
        <v>C-SLG/2123/25-26</v>
      </c>
      <c r="E12" s="5" t="str">
        <f>IF(MASTER_AR_REPORT!E212="","",MASTER_AR_REPORT!E212)</f>
        <v>Jyothi Book Center</v>
      </c>
      <c r="F12" s="6">
        <f>MASTER_AR_REPORT!F212</f>
        <v>3000</v>
      </c>
      <c r="G12" s="11">
        <f>MASTER_AR_REPORT!G212</f>
        <v>46075</v>
      </c>
      <c r="H12" s="6">
        <f>MASTER_AR_REPORT!H212</f>
        <v>2600</v>
      </c>
      <c r="I12" s="6">
        <f>MASTER_AR_REPORT!I212</f>
        <v>400</v>
      </c>
      <c r="J12" s="5">
        <f ca="1">MASTER_AR_REPORT!J212</f>
        <v>89</v>
      </c>
      <c r="K12" s="5" t="str">
        <f ca="1">MASTER_AR_REPORT!K212</f>
        <v>61-90 Days</v>
      </c>
      <c r="L12" s="5" t="str">
        <f ca="1">MASTER_AR_REPORT!L212</f>
        <v>Medium</v>
      </c>
      <c r="M12" s="5" t="str">
        <f ca="1">MASTER_AR_REPORT!M212</f>
        <v>Urgent</v>
      </c>
      <c r="N12" s="5" t="str">
        <f>MASTER_AR_REPORT!N212</f>
        <v>Pending</v>
      </c>
      <c r="O12" s="5" t="str">
        <f>MASTER_AR_REPORT!O212</f>
        <v xml:space="preserve">Paid Online 2,600 </v>
      </c>
    </row>
    <row r="13" spans="1:15">
      <c r="A13" s="2">
        <v>9</v>
      </c>
      <c r="B13" s="2" t="str">
        <f>IF(MASTER_AR_REPORT!B213="","",MASTER_AR_REPORT!B213)</f>
        <v>Vinod</v>
      </c>
      <c r="C13" s="12">
        <f>MASTER_AR_REPORT!C213</f>
        <v>46027</v>
      </c>
      <c r="D13" s="2" t="str">
        <f>IF(MASTER_AR_REPORT!D213="","",MASTER_AR_REPORT!D213)</f>
        <v>C-SLG/2034/25-26</v>
      </c>
      <c r="E13" s="2" t="str">
        <f>IF(MASTER_AR_REPORT!E213="","",MASTER_AR_REPORT!E213)</f>
        <v>KAMAL WATCH COMPANY PRIVATE LIMITED</v>
      </c>
      <c r="F13" s="3">
        <f>MASTER_AR_REPORT!F213</f>
        <v>13733</v>
      </c>
      <c r="G13" s="12">
        <f>MASTER_AR_REPORT!G213</f>
        <v>46027</v>
      </c>
      <c r="H13" s="3">
        <f>MASTER_AR_REPORT!H213</f>
        <v>0</v>
      </c>
      <c r="I13" s="3">
        <f>MASTER_AR_REPORT!I213</f>
        <v>13733</v>
      </c>
      <c r="J13" s="2">
        <f ca="1">MASTER_AR_REPORT!J213</f>
        <v>137</v>
      </c>
      <c r="K13" s="2" t="str">
        <f ca="1">MASTER_AR_REPORT!K213</f>
        <v>90+ Days</v>
      </c>
      <c r="L13" s="2" t="str">
        <f ca="1">MASTER_AR_REPORT!L213</f>
        <v>HIGH RISK</v>
      </c>
      <c r="M13" s="2" t="str">
        <f ca="1">MASTER_AR_REPORT!M213</f>
        <v>Immediate Action</v>
      </c>
      <c r="N13" s="2" t="str">
        <f>MASTER_AR_REPORT!N213</f>
        <v>Pending</v>
      </c>
      <c r="O13" s="2">
        <f>MASTER_AR_REPORT!O213</f>
        <v>0</v>
      </c>
    </row>
    <row r="14" spans="1:15">
      <c r="A14" s="5">
        <v>10</v>
      </c>
      <c r="B14" s="5" t="str">
        <f>IF(MASTER_AR_REPORT!B214="","",MASTER_AR_REPORT!B214)</f>
        <v>Vinod</v>
      </c>
      <c r="C14" s="11">
        <f>MASTER_AR_REPORT!C214</f>
        <v>46027</v>
      </c>
      <c r="D14" s="5" t="str">
        <f>IF(MASTER_AR_REPORT!D214="","",MASTER_AR_REPORT!D214)</f>
        <v>C-SLG/2035/25-26</v>
      </c>
      <c r="E14" s="5" t="str">
        <f>IF(MASTER_AR_REPORT!E214="","",MASTER_AR_REPORT!E214)</f>
        <v>KAMAL WATCH COMPANY PRIVATE LIMITED</v>
      </c>
      <c r="F14" s="6">
        <f>MASTER_AR_REPORT!F214</f>
        <v>13733</v>
      </c>
      <c r="G14" s="11">
        <f>MASTER_AR_REPORT!G214</f>
        <v>46027</v>
      </c>
      <c r="H14" s="6">
        <f>MASTER_AR_REPORT!H214</f>
        <v>0</v>
      </c>
      <c r="I14" s="6">
        <f>MASTER_AR_REPORT!I214</f>
        <v>13733</v>
      </c>
      <c r="J14" s="5">
        <f ca="1">MASTER_AR_REPORT!J214</f>
        <v>137</v>
      </c>
      <c r="K14" s="5" t="str">
        <f ca="1">MASTER_AR_REPORT!K214</f>
        <v>90+ Days</v>
      </c>
      <c r="L14" s="5" t="str">
        <f ca="1">MASTER_AR_REPORT!L214</f>
        <v>HIGH RISK</v>
      </c>
      <c r="M14" s="5" t="str">
        <f ca="1">MASTER_AR_REPORT!M214</f>
        <v>Immediate Action</v>
      </c>
      <c r="N14" s="5" t="str">
        <f>MASTER_AR_REPORT!N214</f>
        <v>Pending</v>
      </c>
      <c r="O14" s="5">
        <f>MASTER_AR_REPORT!O214</f>
        <v>0</v>
      </c>
    </row>
    <row r="15" spans="1:15">
      <c r="A15" s="2">
        <v>11</v>
      </c>
      <c r="B15" s="2" t="str">
        <f>IF(MASTER_AR_REPORT!B215="","",MASTER_AR_REPORT!B215)</f>
        <v>Vinod</v>
      </c>
      <c r="C15" s="12">
        <f>MASTER_AR_REPORT!C215</f>
        <v>46107</v>
      </c>
      <c r="D15" s="2" t="str">
        <f>IF(MASTER_AR_REPORT!D215="","",MASTER_AR_REPORT!D215)</f>
        <v>C-SLG/2454/25-26</v>
      </c>
      <c r="E15" s="2" t="str">
        <f>IF(MASTER_AR_REPORT!E215="","",MASTER_AR_REPORT!E215)</f>
        <v>KIRAN ENTERPRISES</v>
      </c>
      <c r="F15" s="3">
        <f>MASTER_AR_REPORT!F215</f>
        <v>100</v>
      </c>
      <c r="G15" s="12">
        <f>MASTER_AR_REPORT!G215</f>
        <v>46132</v>
      </c>
      <c r="H15" s="3">
        <f>MASTER_AR_REPORT!H215</f>
        <v>0</v>
      </c>
      <c r="I15" s="3">
        <f>MASTER_AR_REPORT!I215</f>
        <v>100</v>
      </c>
      <c r="J15" s="2">
        <f ca="1">MASTER_AR_REPORT!J215</f>
        <v>32</v>
      </c>
      <c r="K15" s="2" t="str">
        <f ca="1">MASTER_AR_REPORT!K215</f>
        <v>31-60 Days</v>
      </c>
      <c r="L15" s="2" t="str">
        <f ca="1">MASTER_AR_REPORT!L215</f>
        <v>Low-Medium</v>
      </c>
      <c r="M15" s="2" t="str">
        <f ca="1">MASTER_AR_REPORT!M215</f>
        <v>Medium</v>
      </c>
      <c r="N15" s="2" t="str">
        <f>MASTER_AR_REPORT!N215</f>
        <v>Pending</v>
      </c>
      <c r="O15" s="2">
        <f>MASTER_AR_REPORT!O215</f>
        <v>0</v>
      </c>
    </row>
    <row r="16" spans="1:15">
      <c r="A16" s="5">
        <v>12</v>
      </c>
      <c r="B16" s="5" t="str">
        <f>IF(MASTER_AR_REPORT!B216="","",MASTER_AR_REPORT!B216)</f>
        <v>Vinod</v>
      </c>
      <c r="C16" s="11">
        <f>MASTER_AR_REPORT!C216</f>
        <v>46136</v>
      </c>
      <c r="D16" s="5" t="str">
        <f>IF(MASTER_AR_REPORT!D216="","",MASTER_AR_REPORT!D216)</f>
        <v>C-SLG/0067/26-27</v>
      </c>
      <c r="E16" s="5" t="str">
        <f>IF(MASTER_AR_REPORT!E216="","",MASTER_AR_REPORT!E216)</f>
        <v>Krishna Stationery ( LB Nagar)</v>
      </c>
      <c r="F16" s="6">
        <f>MASTER_AR_REPORT!F216</f>
        <v>2544</v>
      </c>
      <c r="G16" s="11">
        <f>MASTER_AR_REPORT!G216</f>
        <v>46161</v>
      </c>
      <c r="H16" s="6">
        <f>MASTER_AR_REPORT!H216</f>
        <v>0</v>
      </c>
      <c r="I16" s="6">
        <f>MASTER_AR_REPORT!I216</f>
        <v>2544</v>
      </c>
      <c r="J16" s="5">
        <f ca="1">MASTER_AR_REPORT!J216</f>
        <v>3</v>
      </c>
      <c r="K16" s="5" t="str">
        <f ca="1">MASTER_AR_REPORT!K216</f>
        <v>0-30 Days</v>
      </c>
      <c r="L16" s="5" t="str">
        <f ca="1">MASTER_AR_REPORT!L216</f>
        <v>Low</v>
      </c>
      <c r="M16" s="5" t="str">
        <f ca="1">MASTER_AR_REPORT!M216</f>
        <v>Normal</v>
      </c>
      <c r="N16" s="5" t="str">
        <f>MASTER_AR_REPORT!N216</f>
        <v>Pending</v>
      </c>
      <c r="O16" s="5">
        <f>MASTER_AR_REPORT!O216</f>
        <v>0</v>
      </c>
    </row>
    <row r="17" spans="1:15">
      <c r="A17" s="2">
        <v>13</v>
      </c>
      <c r="B17" s="2" t="str">
        <f>IF(MASTER_AR_REPORT!B217="","",MASTER_AR_REPORT!B217)</f>
        <v>Vinod</v>
      </c>
      <c r="C17" s="12">
        <f>MASTER_AR_REPORT!C217</f>
        <v>46127</v>
      </c>
      <c r="D17" s="2" t="str">
        <f>IF(MASTER_AR_REPORT!D217="","",MASTER_AR_REPORT!D217)</f>
        <v>C-SLG/0043/26-27</v>
      </c>
      <c r="E17" s="2" t="str">
        <f>IF(MASTER_AR_REPORT!E217="","",MASTER_AR_REPORT!E217)</f>
        <v>MEGHA S.V STATIONERY</v>
      </c>
      <c r="F17" s="3">
        <f>MASTER_AR_REPORT!F217</f>
        <v>29883</v>
      </c>
      <c r="G17" s="12">
        <f>MASTER_AR_REPORT!G217</f>
        <v>46152</v>
      </c>
      <c r="H17" s="3">
        <f>MASTER_AR_REPORT!H217</f>
        <v>0</v>
      </c>
      <c r="I17" s="3">
        <f>MASTER_AR_REPORT!I217</f>
        <v>29883</v>
      </c>
      <c r="J17" s="2">
        <f ca="1">MASTER_AR_REPORT!J217</f>
        <v>12</v>
      </c>
      <c r="K17" s="2" t="str">
        <f ca="1">MASTER_AR_REPORT!K217</f>
        <v>0-30 Days</v>
      </c>
      <c r="L17" s="2" t="str">
        <f ca="1">MASTER_AR_REPORT!L217</f>
        <v>Low</v>
      </c>
      <c r="M17" s="2" t="str">
        <f ca="1">MASTER_AR_REPORT!M217</f>
        <v>Normal</v>
      </c>
      <c r="N17" s="2" t="str">
        <f>MASTER_AR_REPORT!N217</f>
        <v>Pending</v>
      </c>
      <c r="O17" s="2">
        <f>MASTER_AR_REPORT!O217</f>
        <v>0</v>
      </c>
    </row>
    <row r="18" spans="1:15">
      <c r="A18" s="5">
        <v>14</v>
      </c>
      <c r="B18" s="5" t="str">
        <f>IF(MASTER_AR_REPORT!B218="","",MASTER_AR_REPORT!B218)</f>
        <v>Vinod</v>
      </c>
      <c r="C18" s="11">
        <f>MASTER_AR_REPORT!C218</f>
        <v>45960</v>
      </c>
      <c r="D18" s="5" t="str">
        <f>IF(MASTER_AR_REPORT!D218="","",MASTER_AR_REPORT!D218)</f>
        <v>Bounce Charges-174</v>
      </c>
      <c r="E18" s="5" t="str">
        <f>IF(MASTER_AR_REPORT!E218="","",MASTER_AR_REPORT!E218)</f>
        <v>M.M AGENCIES</v>
      </c>
      <c r="F18" s="6">
        <f>MASTER_AR_REPORT!F218</f>
        <v>500</v>
      </c>
      <c r="G18" s="11">
        <f>MASTER_AR_REPORT!G218</f>
        <v>45985</v>
      </c>
      <c r="H18" s="6">
        <f>MASTER_AR_REPORT!H218</f>
        <v>0</v>
      </c>
      <c r="I18" s="6">
        <f>MASTER_AR_REPORT!I218</f>
        <v>500</v>
      </c>
      <c r="J18" s="5">
        <f ca="1">MASTER_AR_REPORT!J218</f>
        <v>179</v>
      </c>
      <c r="K18" s="5" t="str">
        <f ca="1">MASTER_AR_REPORT!K218</f>
        <v>90+ Days</v>
      </c>
      <c r="L18" s="5" t="str">
        <f ca="1">MASTER_AR_REPORT!L218</f>
        <v>HIGH RISK</v>
      </c>
      <c r="M18" s="5" t="str">
        <f ca="1">MASTER_AR_REPORT!M218</f>
        <v>Immediate Action</v>
      </c>
      <c r="N18" s="5" t="str">
        <f>MASTER_AR_REPORT!N218</f>
        <v>Pending</v>
      </c>
      <c r="O18" s="5">
        <f>MASTER_AR_REPORT!O218</f>
        <v>0</v>
      </c>
    </row>
    <row r="19" spans="1:15">
      <c r="A19" s="2">
        <v>15</v>
      </c>
      <c r="B19" s="2" t="str">
        <f>IF(MASTER_AR_REPORT!B219="","",MASTER_AR_REPORT!B219)</f>
        <v>Vinod</v>
      </c>
      <c r="C19" s="12">
        <f>MASTER_AR_REPORT!C219</f>
        <v>46095</v>
      </c>
      <c r="D19" s="2" t="str">
        <f>IF(MASTER_AR_REPORT!D219="","",MASTER_AR_REPORT!D219)</f>
        <v>C-SLG/2382/25-26</v>
      </c>
      <c r="E19" s="2" t="str">
        <f>IF(MASTER_AR_REPORT!E219="","",MASTER_AR_REPORT!E219)</f>
        <v>M.M AGENCIES</v>
      </c>
      <c r="F19" s="3">
        <f>MASTER_AR_REPORT!F219</f>
        <v>59388</v>
      </c>
      <c r="G19" s="12">
        <f>MASTER_AR_REPORT!G219</f>
        <v>46120</v>
      </c>
      <c r="H19" s="3">
        <f>MASTER_AR_REPORT!H219</f>
        <v>0</v>
      </c>
      <c r="I19" s="3">
        <f>MASTER_AR_REPORT!I219</f>
        <v>59388</v>
      </c>
      <c r="J19" s="2">
        <f ca="1">MASTER_AR_REPORT!J219</f>
        <v>44</v>
      </c>
      <c r="K19" s="2" t="str">
        <f ca="1">MASTER_AR_REPORT!K219</f>
        <v>31-60 Days</v>
      </c>
      <c r="L19" s="2" t="str">
        <f ca="1">MASTER_AR_REPORT!L219</f>
        <v>Low-Medium</v>
      </c>
      <c r="M19" s="2" t="str">
        <f ca="1">MASTER_AR_REPORT!M219</f>
        <v>Medium</v>
      </c>
      <c r="N19" s="2" t="str">
        <f>MASTER_AR_REPORT!N219</f>
        <v>Pending</v>
      </c>
      <c r="O19" s="2">
        <f>MASTER_AR_REPORT!O219</f>
        <v>0</v>
      </c>
    </row>
    <row r="20" spans="1:15">
      <c r="A20" s="5">
        <v>16</v>
      </c>
      <c r="B20" s="5" t="str">
        <f>IF(MASTER_AR_REPORT!B220="","",MASTER_AR_REPORT!B220)</f>
        <v>Vinod</v>
      </c>
      <c r="C20" s="11">
        <f>MASTER_AR_REPORT!C220</f>
        <v>46141</v>
      </c>
      <c r="D20" s="5" t="str">
        <f>IF(MASTER_AR_REPORT!D220="","",MASTER_AR_REPORT!D220)</f>
        <v>C-SLG/0079/26-27</v>
      </c>
      <c r="E20" s="5" t="str">
        <f>IF(MASTER_AR_REPORT!E220="","",MASTER_AR_REPORT!E220)</f>
        <v>M.M AGENCIES</v>
      </c>
      <c r="F20" s="6">
        <f>MASTER_AR_REPORT!F220</f>
        <v>2580</v>
      </c>
      <c r="G20" s="11">
        <f>MASTER_AR_REPORT!G220</f>
        <v>46166</v>
      </c>
      <c r="H20" s="6">
        <f>MASTER_AR_REPORT!H220</f>
        <v>0</v>
      </c>
      <c r="I20" s="6">
        <f>MASTER_AR_REPORT!I220</f>
        <v>2580</v>
      </c>
      <c r="J20" s="5">
        <f ca="1">MASTER_AR_REPORT!J220</f>
        <v>0</v>
      </c>
      <c r="K20" s="5" t="str">
        <f ca="1">MASTER_AR_REPORT!K220</f>
        <v>0-30 Days</v>
      </c>
      <c r="L20" s="5" t="str">
        <f ca="1">MASTER_AR_REPORT!L220</f>
        <v>Low</v>
      </c>
      <c r="M20" s="5" t="str">
        <f ca="1">MASTER_AR_REPORT!M220</f>
        <v>Normal</v>
      </c>
      <c r="N20" s="5" t="str">
        <f>MASTER_AR_REPORT!N220</f>
        <v>Pending</v>
      </c>
      <c r="O20" s="5">
        <f>MASTER_AR_REPORT!O220</f>
        <v>0</v>
      </c>
    </row>
    <row r="21" spans="1:15">
      <c r="A21" s="2">
        <v>17</v>
      </c>
      <c r="B21" s="2" t="str">
        <f>IF(MASTER_AR_REPORT!B221="","",MASTER_AR_REPORT!B221)</f>
        <v>Vinod</v>
      </c>
      <c r="C21" s="12">
        <f>MASTER_AR_REPORT!C221</f>
        <v>46130</v>
      </c>
      <c r="D21" s="2" t="str">
        <f>IF(MASTER_AR_REPORT!D221="","",MASTER_AR_REPORT!D221)</f>
        <v>C-SLG/0053/26-27</v>
      </c>
      <c r="E21" s="2" t="str">
        <f>IF(MASTER_AR_REPORT!E221="","",MASTER_AR_REPORT!E221)</f>
        <v>MONI ENTERPRISES</v>
      </c>
      <c r="F21" s="3">
        <f>MASTER_AR_REPORT!F221</f>
        <v>5960</v>
      </c>
      <c r="G21" s="12">
        <f>MASTER_AR_REPORT!G221</f>
        <v>46155</v>
      </c>
      <c r="H21" s="3">
        <f>MASTER_AR_REPORT!H221</f>
        <v>0</v>
      </c>
      <c r="I21" s="3">
        <f>MASTER_AR_REPORT!I221</f>
        <v>5960</v>
      </c>
      <c r="J21" s="2">
        <f ca="1">MASTER_AR_REPORT!J221</f>
        <v>9</v>
      </c>
      <c r="K21" s="2" t="str">
        <f ca="1">MASTER_AR_REPORT!K221</f>
        <v>0-30 Days</v>
      </c>
      <c r="L21" s="2" t="str">
        <f ca="1">MASTER_AR_REPORT!L221</f>
        <v>Low</v>
      </c>
      <c r="M21" s="2" t="str">
        <f ca="1">MASTER_AR_REPORT!M221</f>
        <v>Normal</v>
      </c>
      <c r="N21" s="2" t="str">
        <f>MASTER_AR_REPORT!N221</f>
        <v>Pending</v>
      </c>
      <c r="O21" s="2">
        <f>MASTER_AR_REPORT!O221</f>
        <v>0</v>
      </c>
    </row>
    <row r="22" spans="1:15">
      <c r="A22" s="5">
        <v>18</v>
      </c>
      <c r="B22" s="5" t="str">
        <f>IF(MASTER_AR_REPORT!B222="","",MASTER_AR_REPORT!B222)</f>
        <v>Vinod</v>
      </c>
      <c r="C22" s="11">
        <f>MASTER_AR_REPORT!C222</f>
        <v>46148</v>
      </c>
      <c r="D22" s="5" t="str">
        <f>IF(MASTER_AR_REPORT!D222="","",MASTER_AR_REPORT!D222)</f>
        <v>C-SLG/0093/26-27</v>
      </c>
      <c r="E22" s="5" t="str">
        <f>IF(MASTER_AR_REPORT!E222="","",MASTER_AR_REPORT!E222)</f>
        <v>MONI ENTERPRISES</v>
      </c>
      <c r="F22" s="6">
        <f>MASTER_AR_REPORT!F222</f>
        <v>916</v>
      </c>
      <c r="G22" s="11">
        <f>MASTER_AR_REPORT!G222</f>
        <v>46173</v>
      </c>
      <c r="H22" s="6">
        <f>MASTER_AR_REPORT!H222</f>
        <v>0</v>
      </c>
      <c r="I22" s="6">
        <f>MASTER_AR_REPORT!I222</f>
        <v>916</v>
      </c>
      <c r="J22" s="5">
        <f ca="1">MASTER_AR_REPORT!J222</f>
        <v>0</v>
      </c>
      <c r="K22" s="5" t="str">
        <f ca="1">MASTER_AR_REPORT!K222</f>
        <v>0-30 Days</v>
      </c>
      <c r="L22" s="5" t="str">
        <f ca="1">MASTER_AR_REPORT!L222</f>
        <v>Low</v>
      </c>
      <c r="M22" s="5" t="str">
        <f ca="1">MASTER_AR_REPORT!M222</f>
        <v>Normal</v>
      </c>
      <c r="N22" s="5" t="str">
        <f>MASTER_AR_REPORT!N222</f>
        <v>Pending</v>
      </c>
      <c r="O22" s="5">
        <f>MASTER_AR_REPORT!O222</f>
        <v>0</v>
      </c>
    </row>
    <row r="23" spans="1:15">
      <c r="A23" s="2">
        <v>19</v>
      </c>
      <c r="B23" s="2" t="str">
        <f>IF(MASTER_AR_REPORT!B223="","",MASTER_AR_REPORT!B223)</f>
        <v>Vinod</v>
      </c>
      <c r="C23" s="12">
        <f>MASTER_AR_REPORT!C223</f>
        <v>46101</v>
      </c>
      <c r="D23" s="2" t="str">
        <f>IF(MASTER_AR_REPORT!D223="","",MASTER_AR_REPORT!D223)</f>
        <v>C-SLG/2410/25-26</v>
      </c>
      <c r="E23" s="2" t="str">
        <f>IF(MASTER_AR_REPORT!E223="","",MASTER_AR_REPORT!E223)</f>
        <v>New Vidya Book Point (Saroor N)</v>
      </c>
      <c r="F23" s="3">
        <f>MASTER_AR_REPORT!F223</f>
        <v>2476</v>
      </c>
      <c r="G23" s="12">
        <f>MASTER_AR_REPORT!G223</f>
        <v>46126</v>
      </c>
      <c r="H23" s="3">
        <f>MASTER_AR_REPORT!H223</f>
        <v>2476</v>
      </c>
      <c r="I23" s="3">
        <f>MASTER_AR_REPORT!I223</f>
        <v>0</v>
      </c>
      <c r="J23" s="2">
        <f ca="1">MASTER_AR_REPORT!J223</f>
        <v>38</v>
      </c>
      <c r="K23" s="2" t="str">
        <f>MASTER_AR_REPORT!K223</f>
        <v>Current</v>
      </c>
      <c r="L23" s="2" t="str">
        <f>MASTER_AR_REPORT!L223</f>
        <v>-</v>
      </c>
      <c r="M23" s="2" t="str">
        <f>MASTER_AR_REPORT!M223</f>
        <v>-</v>
      </c>
      <c r="N23" s="2" t="str">
        <f>MASTER_AR_REPORT!N223</f>
        <v>Paid</v>
      </c>
      <c r="O23" s="2" t="str">
        <f>MASTER_AR_REPORT!O223</f>
        <v>Paid Online - Full Amount</v>
      </c>
    </row>
    <row r="24" spans="1:15">
      <c r="A24" s="5">
        <v>20</v>
      </c>
      <c r="B24" s="5" t="str">
        <f>IF(MASTER_AR_REPORT!B224="","",MASTER_AR_REPORT!B224)</f>
        <v>Vinod</v>
      </c>
      <c r="C24" s="11">
        <f>MASTER_AR_REPORT!C224</f>
        <v>46105</v>
      </c>
      <c r="D24" s="5" t="str">
        <f>IF(MASTER_AR_REPORT!D224="","",MASTER_AR_REPORT!D224)</f>
        <v>C-SLG/2433/25-26</v>
      </c>
      <c r="E24" s="5" t="str">
        <f>IF(MASTER_AR_REPORT!E224="","",MASTER_AR_REPORT!E224)</f>
        <v>PADMAVATHI PEN STORES</v>
      </c>
      <c r="F24" s="6">
        <f>MASTER_AR_REPORT!F224</f>
        <v>20549</v>
      </c>
      <c r="G24" s="11">
        <f>MASTER_AR_REPORT!G224</f>
        <v>46130</v>
      </c>
      <c r="H24" s="6">
        <f>MASTER_AR_REPORT!H224</f>
        <v>0</v>
      </c>
      <c r="I24" s="6">
        <f>MASTER_AR_REPORT!I224</f>
        <v>20549</v>
      </c>
      <c r="J24" s="5">
        <f ca="1">MASTER_AR_REPORT!J224</f>
        <v>34</v>
      </c>
      <c r="K24" s="5" t="str">
        <f ca="1">MASTER_AR_REPORT!K224</f>
        <v>31-60 Days</v>
      </c>
      <c r="L24" s="5" t="str">
        <f ca="1">MASTER_AR_REPORT!L224</f>
        <v>Low-Medium</v>
      </c>
      <c r="M24" s="5" t="str">
        <f ca="1">MASTER_AR_REPORT!M224</f>
        <v>Medium</v>
      </c>
      <c r="N24" s="5" t="str">
        <f>MASTER_AR_REPORT!N224</f>
        <v>Pending</v>
      </c>
      <c r="O24" s="5">
        <f>MASTER_AR_REPORT!O224</f>
        <v>0</v>
      </c>
    </row>
    <row r="25" spans="1:15">
      <c r="A25" s="2">
        <v>21</v>
      </c>
      <c r="B25" s="2" t="str">
        <f>IF(MASTER_AR_REPORT!B225="","",MASTER_AR_REPORT!B225)</f>
        <v>Vinod</v>
      </c>
      <c r="C25" s="12">
        <f>MASTER_AR_REPORT!C225</f>
        <v>46112</v>
      </c>
      <c r="D25" s="2" t="str">
        <f>IF(MASTER_AR_REPORT!D225="","",MASTER_AR_REPORT!D225)</f>
        <v>C-SLG/2492/25-26</v>
      </c>
      <c r="E25" s="2" t="str">
        <f>IF(MASTER_AR_REPORT!E225="","",MASTER_AR_REPORT!E225)</f>
        <v>PADMAVATHI PEN STORES</v>
      </c>
      <c r="F25" s="3">
        <f>MASTER_AR_REPORT!F225</f>
        <v>12705</v>
      </c>
      <c r="G25" s="12">
        <f>MASTER_AR_REPORT!G225</f>
        <v>46137</v>
      </c>
      <c r="H25" s="3">
        <f>MASTER_AR_REPORT!H225</f>
        <v>0</v>
      </c>
      <c r="I25" s="3">
        <f>MASTER_AR_REPORT!I225</f>
        <v>12705</v>
      </c>
      <c r="J25" s="2">
        <f ca="1">MASTER_AR_REPORT!J225</f>
        <v>27</v>
      </c>
      <c r="K25" s="2" t="str">
        <f ca="1">MASTER_AR_REPORT!K225</f>
        <v>0-30 Days</v>
      </c>
      <c r="L25" s="2" t="str">
        <f ca="1">MASTER_AR_REPORT!L225</f>
        <v>Low</v>
      </c>
      <c r="M25" s="2" t="str">
        <f ca="1">MASTER_AR_REPORT!M225</f>
        <v>Normal</v>
      </c>
      <c r="N25" s="2" t="str">
        <f>MASTER_AR_REPORT!N225</f>
        <v>Pending</v>
      </c>
      <c r="O25" s="2">
        <f>MASTER_AR_REPORT!O225</f>
        <v>0</v>
      </c>
    </row>
    <row r="26" spans="1:15">
      <c r="A26" s="5">
        <v>22</v>
      </c>
      <c r="B26" s="5" t="str">
        <f>IF(MASTER_AR_REPORT!B226="","",MASTER_AR_REPORT!B226)</f>
        <v>Vinod</v>
      </c>
      <c r="C26" s="11">
        <f>MASTER_AR_REPORT!C226</f>
        <v>46112</v>
      </c>
      <c r="D26" s="5" t="str">
        <f>IF(MASTER_AR_REPORT!D226="","",MASTER_AR_REPORT!D226)</f>
        <v>C-SLG/2486/25-26</v>
      </c>
      <c r="E26" s="5" t="str">
        <f>IF(MASTER_AR_REPORT!E226="","",MASTER_AR_REPORT!E226)</f>
        <v>Raj Enterprises</v>
      </c>
      <c r="F26" s="6">
        <f>MASTER_AR_REPORT!F226</f>
        <v>5520</v>
      </c>
      <c r="G26" s="11">
        <f>MASTER_AR_REPORT!G226</f>
        <v>46137</v>
      </c>
      <c r="H26" s="6">
        <f>MASTER_AR_REPORT!H226</f>
        <v>0</v>
      </c>
      <c r="I26" s="6">
        <f>MASTER_AR_REPORT!I226</f>
        <v>5520</v>
      </c>
      <c r="J26" s="5">
        <f ca="1">MASTER_AR_REPORT!J226</f>
        <v>27</v>
      </c>
      <c r="K26" s="5" t="str">
        <f ca="1">MASTER_AR_REPORT!K226</f>
        <v>0-30 Days</v>
      </c>
      <c r="L26" s="5" t="str">
        <f ca="1">MASTER_AR_REPORT!L226</f>
        <v>Low</v>
      </c>
      <c r="M26" s="5" t="str">
        <f ca="1">MASTER_AR_REPORT!M226</f>
        <v>Normal</v>
      </c>
      <c r="N26" s="5" t="str">
        <f>MASTER_AR_REPORT!N226</f>
        <v>Pending</v>
      </c>
      <c r="O26" s="5">
        <f>MASTER_AR_REPORT!O226</f>
        <v>0</v>
      </c>
    </row>
    <row r="27" spans="1:15">
      <c r="A27" s="2">
        <v>23</v>
      </c>
      <c r="B27" s="2" t="str">
        <f>IF(MASTER_AR_REPORT!B227="","",MASTER_AR_REPORT!B227)</f>
        <v>Vinod</v>
      </c>
      <c r="C27" s="12">
        <f>MASTER_AR_REPORT!C227</f>
        <v>45470</v>
      </c>
      <c r="D27" s="2" t="str">
        <f>IF(MASTER_AR_REPORT!D227="","",MASTER_AR_REPORT!D227)</f>
        <v>C-SLG/471/24-25</v>
      </c>
      <c r="E27" s="2" t="str">
        <f>IF(MASTER_AR_REPORT!E227="","",MASTER_AR_REPORT!E227)</f>
        <v>Ramdev Stationery (K Puram)</v>
      </c>
      <c r="F27" s="3">
        <f>MASTER_AR_REPORT!F227</f>
        <v>4947</v>
      </c>
      <c r="G27" s="12">
        <f>MASTER_AR_REPORT!G227</f>
        <v>45495</v>
      </c>
      <c r="H27" s="3">
        <f>MASTER_AR_REPORT!H227</f>
        <v>0</v>
      </c>
      <c r="I27" s="3">
        <f>MASTER_AR_REPORT!I227</f>
        <v>4947</v>
      </c>
      <c r="J27" s="2">
        <f ca="1">MASTER_AR_REPORT!J227</f>
        <v>669</v>
      </c>
      <c r="K27" s="2" t="str">
        <f ca="1">MASTER_AR_REPORT!K227</f>
        <v>90+ Days</v>
      </c>
      <c r="L27" s="2" t="str">
        <f ca="1">MASTER_AR_REPORT!L227</f>
        <v>HIGH RISK</v>
      </c>
      <c r="M27" s="2" t="str">
        <f ca="1">MASTER_AR_REPORT!M227</f>
        <v>Immediate Action</v>
      </c>
      <c r="N27" s="2" t="str">
        <f>MASTER_AR_REPORT!N227</f>
        <v>Pending</v>
      </c>
      <c r="O27" s="2">
        <f>MASTER_AR_REPORT!O227</f>
        <v>0</v>
      </c>
    </row>
    <row r="28" spans="1:15">
      <c r="A28" s="5">
        <v>24</v>
      </c>
      <c r="B28" s="5" t="str">
        <f>IF(MASTER_AR_REPORT!B228="","",MASTER_AR_REPORT!B228)</f>
        <v>Vinod</v>
      </c>
      <c r="C28" s="11">
        <f>MASTER_AR_REPORT!C228</f>
        <v>46126</v>
      </c>
      <c r="D28" s="5" t="str">
        <f>IF(MASTER_AR_REPORT!D228="","",MASTER_AR_REPORT!D228)</f>
        <v>C-SLG/0037/26-27</v>
      </c>
      <c r="E28" s="5" t="str">
        <f>IF(MASTER_AR_REPORT!E228="","",MASTER_AR_REPORT!E228)</f>
        <v>Ramdev Stationery (K Puram)</v>
      </c>
      <c r="F28" s="6">
        <f>MASTER_AR_REPORT!F228</f>
        <v>13863</v>
      </c>
      <c r="G28" s="11">
        <f>MASTER_AR_REPORT!G228</f>
        <v>46151</v>
      </c>
      <c r="H28" s="6">
        <f>MASTER_AR_REPORT!H228</f>
        <v>0</v>
      </c>
      <c r="I28" s="6">
        <f>MASTER_AR_REPORT!I228</f>
        <v>13863</v>
      </c>
      <c r="J28" s="5">
        <f ca="1">MASTER_AR_REPORT!J228</f>
        <v>13</v>
      </c>
      <c r="K28" s="5" t="str">
        <f ca="1">MASTER_AR_REPORT!K228</f>
        <v>0-30 Days</v>
      </c>
      <c r="L28" s="5" t="str">
        <f ca="1">MASTER_AR_REPORT!L228</f>
        <v>Low</v>
      </c>
      <c r="M28" s="5" t="str">
        <f ca="1">MASTER_AR_REPORT!M228</f>
        <v>Normal</v>
      </c>
      <c r="N28" s="5" t="str">
        <f>MASTER_AR_REPORT!N228</f>
        <v>Pending</v>
      </c>
      <c r="O28" s="5">
        <f>MASTER_AR_REPORT!O228</f>
        <v>0</v>
      </c>
    </row>
    <row r="29" spans="1:15">
      <c r="A29" s="2">
        <v>25</v>
      </c>
      <c r="B29" s="2" t="str">
        <f>IF(MASTER_AR_REPORT!B229="","",MASTER_AR_REPORT!B229)</f>
        <v>Vinod</v>
      </c>
      <c r="C29" s="12">
        <f>MASTER_AR_REPORT!C229</f>
        <v>45362</v>
      </c>
      <c r="D29" s="2" t="str">
        <f>IF(MASTER_AR_REPORT!D229="","",MASTER_AR_REPORT!D229)</f>
        <v>C-SLG/3153/23-24</v>
      </c>
      <c r="E29" s="2" t="str">
        <f>IF(MASTER_AR_REPORT!E229="","",MASTER_AR_REPORT!E229)</f>
        <v>Sai Ram Book Center</v>
      </c>
      <c r="F29" s="3">
        <f>MASTER_AR_REPORT!F229</f>
        <v>2733</v>
      </c>
      <c r="G29" s="12">
        <f>MASTER_AR_REPORT!G229</f>
        <v>45362</v>
      </c>
      <c r="H29" s="3">
        <f>MASTER_AR_REPORT!H229</f>
        <v>0</v>
      </c>
      <c r="I29" s="3">
        <f>MASTER_AR_REPORT!I229</f>
        <v>2733</v>
      </c>
      <c r="J29" s="2">
        <f ca="1">MASTER_AR_REPORT!J229</f>
        <v>802</v>
      </c>
      <c r="K29" s="2" t="str">
        <f ca="1">MASTER_AR_REPORT!K229</f>
        <v>90+ Days</v>
      </c>
      <c r="L29" s="2" t="str">
        <f ca="1">MASTER_AR_REPORT!L229</f>
        <v>HIGH RISK</v>
      </c>
      <c r="M29" s="2" t="str">
        <f ca="1">MASTER_AR_REPORT!M229</f>
        <v>Immediate Action</v>
      </c>
      <c r="N29" s="2" t="str">
        <f>MASTER_AR_REPORT!N229</f>
        <v>Pending</v>
      </c>
      <c r="O29" s="2">
        <f>MASTER_AR_REPORT!O229</f>
        <v>0</v>
      </c>
    </row>
    <row r="30" spans="1:15">
      <c r="A30" s="5">
        <v>26</v>
      </c>
      <c r="B30" s="5" t="str">
        <f>IF(MASTER_AR_REPORT!B230="","",MASTER_AR_REPORT!B230)</f>
        <v>Vinod</v>
      </c>
      <c r="C30" s="11">
        <f>MASTER_AR_REPORT!C230</f>
        <v>46107</v>
      </c>
      <c r="D30" s="5" t="str">
        <f>IF(MASTER_AR_REPORT!D230="","",MASTER_AR_REPORT!D230)</f>
        <v>C-SLG/2449/25-26</v>
      </c>
      <c r="E30" s="5" t="str">
        <f>IF(MASTER_AR_REPORT!E230="","",MASTER_AR_REPORT!E230)</f>
        <v>Sai Sujit Gifts &amp; Novelties</v>
      </c>
      <c r="F30" s="6">
        <f>MASTER_AR_REPORT!F230</f>
        <v>100</v>
      </c>
      <c r="G30" s="11">
        <f>MASTER_AR_REPORT!G230</f>
        <v>46132</v>
      </c>
      <c r="H30" s="6">
        <f>MASTER_AR_REPORT!H230</f>
        <v>0</v>
      </c>
      <c r="I30" s="6">
        <f>MASTER_AR_REPORT!I230</f>
        <v>100</v>
      </c>
      <c r="J30" s="5">
        <f ca="1">MASTER_AR_REPORT!J230</f>
        <v>32</v>
      </c>
      <c r="K30" s="5" t="str">
        <f ca="1">MASTER_AR_REPORT!K230</f>
        <v>31-60 Days</v>
      </c>
      <c r="L30" s="5" t="str">
        <f ca="1">MASTER_AR_REPORT!L230</f>
        <v>Low-Medium</v>
      </c>
      <c r="M30" s="5" t="str">
        <f ca="1">MASTER_AR_REPORT!M230</f>
        <v>Medium</v>
      </c>
      <c r="N30" s="5" t="str">
        <f>MASTER_AR_REPORT!N230</f>
        <v>Pending</v>
      </c>
      <c r="O30" s="5">
        <f>MASTER_AR_REPORT!O230</f>
        <v>0</v>
      </c>
    </row>
    <row r="31" spans="1:15">
      <c r="A31" s="2">
        <v>27</v>
      </c>
      <c r="B31" s="2" t="str">
        <f>IF(MASTER_AR_REPORT!B231="","",MASTER_AR_REPORT!B231)</f>
        <v>Vinod</v>
      </c>
      <c r="C31" s="12">
        <f>MASTER_AR_REPORT!C231</f>
        <v>46107</v>
      </c>
      <c r="D31" s="2" t="str">
        <f>IF(MASTER_AR_REPORT!D231="","",MASTER_AR_REPORT!D231)</f>
        <v>C-SLG/2450/25-26</v>
      </c>
      <c r="E31" s="2" t="str">
        <f>IF(MASTER_AR_REPORT!E231="","",MASTER_AR_REPORT!E231)</f>
        <v>Shiva Sai Stationery</v>
      </c>
      <c r="F31" s="3">
        <f>MASTER_AR_REPORT!F231</f>
        <v>100</v>
      </c>
      <c r="G31" s="12">
        <f>MASTER_AR_REPORT!G231</f>
        <v>46132</v>
      </c>
      <c r="H31" s="3">
        <f>MASTER_AR_REPORT!H231</f>
        <v>0</v>
      </c>
      <c r="I31" s="3">
        <f>MASTER_AR_REPORT!I231</f>
        <v>100</v>
      </c>
      <c r="J31" s="2">
        <f ca="1">MASTER_AR_REPORT!J231</f>
        <v>32</v>
      </c>
      <c r="K31" s="2" t="str">
        <f ca="1">MASTER_AR_REPORT!K231</f>
        <v>31-60 Days</v>
      </c>
      <c r="L31" s="2" t="str">
        <f ca="1">MASTER_AR_REPORT!L231</f>
        <v>Low-Medium</v>
      </c>
      <c r="M31" s="2" t="str">
        <f ca="1">MASTER_AR_REPORT!M231</f>
        <v>Medium</v>
      </c>
      <c r="N31" s="2" t="str">
        <f>MASTER_AR_REPORT!N231</f>
        <v>Pending</v>
      </c>
      <c r="O31" s="2">
        <f>MASTER_AR_REPORT!O231</f>
        <v>0</v>
      </c>
    </row>
    <row r="32" spans="1:15">
      <c r="A32" s="5">
        <v>28</v>
      </c>
      <c r="B32" s="5" t="str">
        <f>IF(MASTER_AR_REPORT!B232="","",MASTER_AR_REPORT!B232)</f>
        <v>Vinod</v>
      </c>
      <c r="C32" s="11">
        <f>MASTER_AR_REPORT!C232</f>
        <v>46122</v>
      </c>
      <c r="D32" s="5" t="str">
        <f>IF(MASTER_AR_REPORT!D232="","",MASTER_AR_REPORT!D232)</f>
        <v>C-SLG/0024/26-27</v>
      </c>
      <c r="E32" s="5" t="str">
        <f>IF(MASTER_AR_REPORT!E232="","",MASTER_AR_REPORT!E232)</f>
        <v>S MART STATIONERY MEGA STORE</v>
      </c>
      <c r="F32" s="6">
        <f>MASTER_AR_REPORT!F232</f>
        <v>37104</v>
      </c>
      <c r="G32" s="11">
        <f>MASTER_AR_REPORT!G232</f>
        <v>46147</v>
      </c>
      <c r="H32" s="6">
        <f>MASTER_AR_REPORT!H232</f>
        <v>0</v>
      </c>
      <c r="I32" s="6">
        <f>MASTER_AR_REPORT!I232</f>
        <v>37104</v>
      </c>
      <c r="J32" s="5">
        <f ca="1">MASTER_AR_REPORT!J232</f>
        <v>17</v>
      </c>
      <c r="K32" s="5" t="str">
        <f ca="1">MASTER_AR_REPORT!K232</f>
        <v>0-30 Days</v>
      </c>
      <c r="L32" s="5" t="str">
        <f ca="1">MASTER_AR_REPORT!L232</f>
        <v>Low</v>
      </c>
      <c r="M32" s="5" t="str">
        <f ca="1">MASTER_AR_REPORT!M232</f>
        <v>Normal</v>
      </c>
      <c r="N32" s="5" t="str">
        <f>MASTER_AR_REPORT!N232</f>
        <v>Pending</v>
      </c>
      <c r="O32" s="5">
        <f>MASTER_AR_REPORT!O232</f>
        <v>0</v>
      </c>
    </row>
    <row r="33" spans="1:15">
      <c r="A33" s="2">
        <v>29</v>
      </c>
      <c r="B33" s="2" t="str">
        <f>IF(MASTER_AR_REPORT!B233="","",MASTER_AR_REPORT!B233)</f>
        <v>Vinod</v>
      </c>
      <c r="C33" s="12">
        <f>MASTER_AR_REPORT!C233</f>
        <v>46112</v>
      </c>
      <c r="D33" s="2" t="str">
        <f>IF(MASTER_AR_REPORT!D233="","",MASTER_AR_REPORT!D233)</f>
        <v>C-SLG/2488/25-26</v>
      </c>
      <c r="E33" s="2" t="str">
        <f>IF(MASTER_AR_REPORT!E233="","",MASTER_AR_REPORT!E233)</f>
        <v>Soujanya Stationary Book Stall</v>
      </c>
      <c r="F33" s="3">
        <f>MASTER_AR_REPORT!F233</f>
        <v>15873</v>
      </c>
      <c r="G33" s="12">
        <f>MASTER_AR_REPORT!G233</f>
        <v>46137</v>
      </c>
      <c r="H33" s="3">
        <f>MASTER_AR_REPORT!H233</f>
        <v>15873</v>
      </c>
      <c r="I33" s="3">
        <f>MASTER_AR_REPORT!I233</f>
        <v>0</v>
      </c>
      <c r="J33" s="2">
        <f ca="1">MASTER_AR_REPORT!J233</f>
        <v>27</v>
      </c>
      <c r="K33" s="2" t="str">
        <f>MASTER_AR_REPORT!K233</f>
        <v>Current</v>
      </c>
      <c r="L33" s="2" t="str">
        <f>MASTER_AR_REPORT!L233</f>
        <v>-</v>
      </c>
      <c r="M33" s="2" t="str">
        <f>MASTER_AR_REPORT!M233</f>
        <v>-</v>
      </c>
      <c r="N33" s="2" t="str">
        <f>MASTER_AR_REPORT!N233</f>
        <v>Paid</v>
      </c>
      <c r="O33" s="2">
        <f>MASTER_AR_REPORT!O233</f>
        <v>0</v>
      </c>
    </row>
    <row r="34" spans="1:15">
      <c r="A34" s="5">
        <v>30</v>
      </c>
      <c r="B34" s="5" t="str">
        <f>IF(MASTER_AR_REPORT!B234="","",MASTER_AR_REPORT!B234)</f>
        <v>Vinod</v>
      </c>
      <c r="C34" s="11">
        <f>MASTER_AR_REPORT!C234</f>
        <v>46118</v>
      </c>
      <c r="D34" s="5" t="str">
        <f>IF(MASTER_AR_REPORT!D234="","",MASTER_AR_REPORT!D234)</f>
        <v>C-SLG/007/26-27</v>
      </c>
      <c r="E34" s="5" t="str">
        <f>IF(MASTER_AR_REPORT!E234="","",MASTER_AR_REPORT!E234)</f>
        <v>Soujanya Stationary Book Stall</v>
      </c>
      <c r="F34" s="6">
        <f>MASTER_AR_REPORT!F234</f>
        <v>7623</v>
      </c>
      <c r="G34" s="11">
        <f>MASTER_AR_REPORT!G234</f>
        <v>46143</v>
      </c>
      <c r="H34" s="6">
        <f>MASTER_AR_REPORT!H234</f>
        <v>7623</v>
      </c>
      <c r="I34" s="6">
        <f>MASTER_AR_REPORT!I234</f>
        <v>0</v>
      </c>
      <c r="J34" s="5">
        <f ca="1">MASTER_AR_REPORT!J234</f>
        <v>21</v>
      </c>
      <c r="K34" s="5" t="str">
        <f>MASTER_AR_REPORT!K234</f>
        <v>Current</v>
      </c>
      <c r="L34" s="5" t="str">
        <f>MASTER_AR_REPORT!L234</f>
        <v>-</v>
      </c>
      <c r="M34" s="5" t="str">
        <f>MASTER_AR_REPORT!M234</f>
        <v>-</v>
      </c>
      <c r="N34" s="5" t="str">
        <f>MASTER_AR_REPORT!N234</f>
        <v>Paid</v>
      </c>
      <c r="O34" s="5">
        <f>MASTER_AR_REPORT!O234</f>
        <v>0</v>
      </c>
    </row>
    <row r="35" spans="1:15">
      <c r="A35" s="2">
        <v>31</v>
      </c>
      <c r="B35" s="2" t="str">
        <f>IF(MASTER_AR_REPORT!B235="","",MASTER_AR_REPORT!B235)</f>
        <v>Vinod</v>
      </c>
      <c r="C35" s="12">
        <f>MASTER_AR_REPORT!C235</f>
        <v>46156</v>
      </c>
      <c r="D35" s="2" t="str">
        <f>IF(MASTER_AR_REPORT!D235="","",MASTER_AR_REPORT!D235)</f>
        <v>C-SLG/0130/26-27</v>
      </c>
      <c r="E35" s="2" t="str">
        <f>IF(MASTER_AR_REPORT!E235="","",MASTER_AR_REPORT!E235)</f>
        <v>Soujanya Stationary Book Stall</v>
      </c>
      <c r="F35" s="3">
        <f>MASTER_AR_REPORT!F235</f>
        <v>22152</v>
      </c>
      <c r="G35" s="12">
        <f>MASTER_AR_REPORT!G235</f>
        <v>46181</v>
      </c>
      <c r="H35" s="3">
        <f>MASTER_AR_REPORT!H235</f>
        <v>0</v>
      </c>
      <c r="I35" s="3">
        <f>MASTER_AR_REPORT!I235</f>
        <v>22152</v>
      </c>
      <c r="J35" s="2">
        <f ca="1">MASTER_AR_REPORT!J235</f>
        <v>0</v>
      </c>
      <c r="K35" s="2" t="str">
        <f ca="1">MASTER_AR_REPORT!K235</f>
        <v>0-30 Days</v>
      </c>
      <c r="L35" s="2" t="str">
        <f ca="1">MASTER_AR_REPORT!L235</f>
        <v>Low</v>
      </c>
      <c r="M35" s="2" t="str">
        <f ca="1">MASTER_AR_REPORT!M235</f>
        <v>Normal</v>
      </c>
      <c r="N35" s="2" t="str">
        <f>MASTER_AR_REPORT!N235</f>
        <v>Pending</v>
      </c>
      <c r="O35" s="2">
        <f>MASTER_AR_REPORT!O235</f>
        <v>0</v>
      </c>
    </row>
    <row r="36" spans="1:15">
      <c r="A36" s="5">
        <v>32</v>
      </c>
      <c r="B36" s="5" t="str">
        <f>IF(MASTER_AR_REPORT!B236="","",MASTER_AR_REPORT!B236)</f>
        <v>Vinod</v>
      </c>
      <c r="C36" s="11">
        <f>MASTER_AR_REPORT!C236</f>
        <v>46062</v>
      </c>
      <c r="D36" s="5" t="str">
        <f>IF(MASTER_AR_REPORT!D236="","",MASTER_AR_REPORT!D236)</f>
        <v>C-SLG/2204/25-26</v>
      </c>
      <c r="E36" s="5" t="str">
        <f>IF(MASTER_AR_REPORT!E236="","",MASTER_AR_REPORT!E236)</f>
        <v>Sri Chamunda Stationery</v>
      </c>
      <c r="F36" s="6">
        <f>MASTER_AR_REPORT!F236</f>
        <v>2852</v>
      </c>
      <c r="G36" s="11">
        <f>MASTER_AR_REPORT!G236</f>
        <v>46087</v>
      </c>
      <c r="H36" s="6">
        <f>MASTER_AR_REPORT!H236</f>
        <v>0</v>
      </c>
      <c r="I36" s="6">
        <f>MASTER_AR_REPORT!I236</f>
        <v>2852</v>
      </c>
      <c r="J36" s="5">
        <f ca="1">MASTER_AR_REPORT!J236</f>
        <v>77</v>
      </c>
      <c r="K36" s="5" t="str">
        <f ca="1">MASTER_AR_REPORT!K236</f>
        <v>61-90 Days</v>
      </c>
      <c r="L36" s="5" t="str">
        <f ca="1">MASTER_AR_REPORT!L236</f>
        <v>Medium</v>
      </c>
      <c r="M36" s="5" t="str">
        <f ca="1">MASTER_AR_REPORT!M236</f>
        <v>Urgent</v>
      </c>
      <c r="N36" s="5" t="str">
        <f>MASTER_AR_REPORT!N236</f>
        <v>Pending</v>
      </c>
      <c r="O36" s="5">
        <f>MASTER_AR_REPORT!O236</f>
        <v>0</v>
      </c>
    </row>
    <row r="37" spans="1:15">
      <c r="A37" s="2">
        <v>33</v>
      </c>
      <c r="B37" s="2" t="str">
        <f>IF(MASTER_AR_REPORT!B237="","",MASTER_AR_REPORT!B237)</f>
        <v>Vinod</v>
      </c>
      <c r="C37" s="12">
        <f>MASTER_AR_REPORT!C237</f>
        <v>46071</v>
      </c>
      <c r="D37" s="2" t="str">
        <f>IF(MASTER_AR_REPORT!D237="","",MASTER_AR_REPORT!D237)</f>
        <v>C-SLG/2255/25-26</v>
      </c>
      <c r="E37" s="2" t="str">
        <f>IF(MASTER_AR_REPORT!E237="","",MASTER_AR_REPORT!E237)</f>
        <v>SRI DHANALAKSHMI ENTERPRISES</v>
      </c>
      <c r="F37" s="3">
        <f>MASTER_AR_REPORT!F237</f>
        <v>42121</v>
      </c>
      <c r="G37" s="12">
        <f>MASTER_AR_REPORT!G237</f>
        <v>46096</v>
      </c>
      <c r="H37" s="3">
        <f>MASTER_AR_REPORT!H237</f>
        <v>20000</v>
      </c>
      <c r="I37" s="3">
        <f>MASTER_AR_REPORT!I237</f>
        <v>22121</v>
      </c>
      <c r="J37" s="2">
        <f ca="1">MASTER_AR_REPORT!J237</f>
        <v>68</v>
      </c>
      <c r="K37" s="2" t="str">
        <f ca="1">MASTER_AR_REPORT!K237</f>
        <v>61-90 Days</v>
      </c>
      <c r="L37" s="2" t="str">
        <f ca="1">MASTER_AR_REPORT!L237</f>
        <v>Medium</v>
      </c>
      <c r="M37" s="2" t="str">
        <f ca="1">MASTER_AR_REPORT!M237</f>
        <v>Urgent</v>
      </c>
      <c r="N37" s="2" t="str">
        <f>MASTER_AR_REPORT!N237</f>
        <v>Pending</v>
      </c>
      <c r="O37" s="2" t="str">
        <f>MASTER_AR_REPORT!O237</f>
        <v>`</v>
      </c>
    </row>
    <row r="38" spans="1:15">
      <c r="A38" s="5">
        <v>34</v>
      </c>
      <c r="B38" s="5" t="str">
        <f>IF(MASTER_AR_REPORT!B238="","",MASTER_AR_REPORT!B238)</f>
        <v>Vinod</v>
      </c>
      <c r="C38" s="11">
        <f>MASTER_AR_REPORT!C238</f>
        <v>46111</v>
      </c>
      <c r="D38" s="5" t="str">
        <f>IF(MASTER_AR_REPORT!D238="","",MASTER_AR_REPORT!D238)</f>
        <v>C-SLG/2479/25-26</v>
      </c>
      <c r="E38" s="5" t="str">
        <f>IF(MASTER_AR_REPORT!E238="","",MASTER_AR_REPORT!E238)</f>
        <v>Sri Hanu Subramanyam Book Center</v>
      </c>
      <c r="F38" s="6">
        <f>MASTER_AR_REPORT!F238</f>
        <v>8190</v>
      </c>
      <c r="G38" s="11">
        <f>MASTER_AR_REPORT!G238</f>
        <v>46136</v>
      </c>
      <c r="H38" s="6">
        <f>MASTER_AR_REPORT!H238</f>
        <v>0</v>
      </c>
      <c r="I38" s="6">
        <f>MASTER_AR_REPORT!I238</f>
        <v>8190</v>
      </c>
      <c r="J38" s="5">
        <f ca="1">MASTER_AR_REPORT!J238</f>
        <v>28</v>
      </c>
      <c r="K38" s="5" t="str">
        <f ca="1">MASTER_AR_REPORT!K238</f>
        <v>0-30 Days</v>
      </c>
      <c r="L38" s="5" t="str">
        <f ca="1">MASTER_AR_REPORT!L238</f>
        <v>Low</v>
      </c>
      <c r="M38" s="5" t="str">
        <f ca="1">MASTER_AR_REPORT!M238</f>
        <v>Normal</v>
      </c>
      <c r="N38" s="5" t="str">
        <f>MASTER_AR_REPORT!N238</f>
        <v>Pending</v>
      </c>
      <c r="O38" s="5">
        <f>MASTER_AR_REPORT!O238</f>
        <v>0</v>
      </c>
    </row>
    <row r="39" spans="1:15">
      <c r="A39" s="2">
        <v>35</v>
      </c>
      <c r="B39" s="2" t="str">
        <f>IF(MASTER_AR_REPORT!B239="","",MASTER_AR_REPORT!B239)</f>
        <v>Vinod</v>
      </c>
      <c r="C39" s="12">
        <f>MASTER_AR_REPORT!C239</f>
        <v>45954</v>
      </c>
      <c r="D39" s="2" t="str">
        <f>IF(MASTER_AR_REPORT!D239="","",MASTER_AR_REPORT!D239)</f>
        <v>Bounce Charges-155</v>
      </c>
      <c r="E39" s="2" t="str">
        <f>IF(MASTER_AR_REPORT!E239="","",MASTER_AR_REPORT!E239)</f>
        <v>Sri Laxmi Book Centre ( DSNR)</v>
      </c>
      <c r="F39" s="3">
        <f>MASTER_AR_REPORT!F239</f>
        <v>500</v>
      </c>
      <c r="G39" s="12">
        <f>MASTER_AR_REPORT!G239</f>
        <v>45979</v>
      </c>
      <c r="H39" s="3">
        <f>MASTER_AR_REPORT!H239</f>
        <v>0</v>
      </c>
      <c r="I39" s="3">
        <f>MASTER_AR_REPORT!I239</f>
        <v>500</v>
      </c>
      <c r="J39" s="2">
        <f ca="1">MASTER_AR_REPORT!J239</f>
        <v>185</v>
      </c>
      <c r="K39" s="2" t="str">
        <f ca="1">MASTER_AR_REPORT!K239</f>
        <v>90+ Days</v>
      </c>
      <c r="L39" s="2" t="str">
        <f ca="1">MASTER_AR_REPORT!L239</f>
        <v>HIGH RISK</v>
      </c>
      <c r="M39" s="2" t="str">
        <f ca="1">MASTER_AR_REPORT!M239</f>
        <v>Immediate Action</v>
      </c>
      <c r="N39" s="2" t="str">
        <f>MASTER_AR_REPORT!N239</f>
        <v>Pending</v>
      </c>
      <c r="O39" s="2">
        <f>MASTER_AR_REPORT!O239</f>
        <v>0</v>
      </c>
    </row>
    <row r="40" spans="1:15">
      <c r="A40" s="5">
        <v>36</v>
      </c>
      <c r="B40" s="5" t="str">
        <f>IF(MASTER_AR_REPORT!B240="","",MASTER_AR_REPORT!B240)</f>
        <v>Vinod</v>
      </c>
      <c r="C40" s="11">
        <f>MASTER_AR_REPORT!C240</f>
        <v>46118</v>
      </c>
      <c r="D40" s="5" t="str">
        <f>IF(MASTER_AR_REPORT!D240="","",MASTER_AR_REPORT!D240)</f>
        <v>C-SLG/0012/26-27</v>
      </c>
      <c r="E40" s="5" t="str">
        <f>IF(MASTER_AR_REPORT!E240="","",MASTER_AR_REPORT!E240)</f>
        <v>Sri Laxmi Book Centre ( DSNR)</v>
      </c>
      <c r="F40" s="6">
        <f>MASTER_AR_REPORT!F240</f>
        <v>6100</v>
      </c>
      <c r="G40" s="11">
        <f>MASTER_AR_REPORT!G240</f>
        <v>46143</v>
      </c>
      <c r="H40" s="6">
        <f>MASTER_AR_REPORT!H240</f>
        <v>0</v>
      </c>
      <c r="I40" s="6">
        <f>MASTER_AR_REPORT!I240</f>
        <v>6100</v>
      </c>
      <c r="J40" s="5">
        <f ca="1">MASTER_AR_REPORT!J240</f>
        <v>21</v>
      </c>
      <c r="K40" s="5" t="str">
        <f ca="1">MASTER_AR_REPORT!K240</f>
        <v>0-30 Days</v>
      </c>
      <c r="L40" s="5" t="str">
        <f ca="1">MASTER_AR_REPORT!L240</f>
        <v>Low</v>
      </c>
      <c r="M40" s="5" t="str">
        <f ca="1">MASTER_AR_REPORT!M240</f>
        <v>Normal</v>
      </c>
      <c r="N40" s="5" t="str">
        <f>MASTER_AR_REPORT!N240</f>
        <v>Pending</v>
      </c>
      <c r="O40" s="5">
        <f>MASTER_AR_REPORT!O240</f>
        <v>0</v>
      </c>
    </row>
    <row r="41" spans="1:15">
      <c r="A41" s="2">
        <v>37</v>
      </c>
      <c r="B41" s="2" t="str">
        <f>IF(MASTER_AR_REPORT!B241="","",MASTER_AR_REPORT!B241)</f>
        <v>Vinod</v>
      </c>
      <c r="C41" s="12">
        <f>MASTER_AR_REPORT!C241</f>
        <v>46105</v>
      </c>
      <c r="D41" s="2" t="str">
        <f>IF(MASTER_AR_REPORT!D241="","",MASTER_AR_REPORT!D241)</f>
        <v>C-SLG/2431/25-26</v>
      </c>
      <c r="E41" s="2" t="str">
        <f>IF(MASTER_AR_REPORT!E241="","",MASTER_AR_REPORT!E241)</f>
        <v>Sri Mahalaxmi Stationary and General</v>
      </c>
      <c r="F41" s="3">
        <f>MASTER_AR_REPORT!F241</f>
        <v>2287</v>
      </c>
      <c r="G41" s="12">
        <f>MASTER_AR_REPORT!G241</f>
        <v>46130</v>
      </c>
      <c r="H41" s="3">
        <f>MASTER_AR_REPORT!H241</f>
        <v>2287</v>
      </c>
      <c r="I41" s="3">
        <f>MASTER_AR_REPORT!I241</f>
        <v>0</v>
      </c>
      <c r="J41" s="2">
        <f ca="1">MASTER_AR_REPORT!J241</f>
        <v>34</v>
      </c>
      <c r="K41" s="2" t="str">
        <f>MASTER_AR_REPORT!K241</f>
        <v>Current</v>
      </c>
      <c r="L41" s="2" t="str">
        <f>MASTER_AR_REPORT!L241</f>
        <v>-</v>
      </c>
      <c r="M41" s="2" t="str">
        <f>MASTER_AR_REPORT!M241</f>
        <v>-</v>
      </c>
      <c r="N41" s="2" t="str">
        <f>MASTER_AR_REPORT!N241</f>
        <v>Paid</v>
      </c>
      <c r="O41" s="2" t="str">
        <f>MASTER_AR_REPORT!O241</f>
        <v>Paid Online - Full Amount</v>
      </c>
    </row>
    <row r="42" spans="1:15">
      <c r="A42" s="5">
        <v>38</v>
      </c>
      <c r="B42" s="5" t="str">
        <f>IF(MASTER_AR_REPORT!B242="","",MASTER_AR_REPORT!B242)</f>
        <v>Vinod</v>
      </c>
      <c r="C42" s="11">
        <f>MASTER_AR_REPORT!C242</f>
        <v>46126</v>
      </c>
      <c r="D42" s="5" t="str">
        <f>IF(MASTER_AR_REPORT!D242="","",MASTER_AR_REPORT!D242)</f>
        <v>C-SLG/0040/26-27</v>
      </c>
      <c r="E42" s="5" t="str">
        <f>IF(MASTER_AR_REPORT!E242="","",MASTER_AR_REPORT!E242)</f>
        <v>Srinivasa Stationery &amp; Xerox</v>
      </c>
      <c r="F42" s="6">
        <f>MASTER_AR_REPORT!F242</f>
        <v>2795</v>
      </c>
      <c r="G42" s="11">
        <f>MASTER_AR_REPORT!G242</f>
        <v>46126</v>
      </c>
      <c r="H42" s="6">
        <f>MASTER_AR_REPORT!H242</f>
        <v>0</v>
      </c>
      <c r="I42" s="6">
        <f>MASTER_AR_REPORT!I242</f>
        <v>2795</v>
      </c>
      <c r="J42" s="5">
        <f ca="1">MASTER_AR_REPORT!J242</f>
        <v>38</v>
      </c>
      <c r="K42" s="5" t="str">
        <f ca="1">MASTER_AR_REPORT!K242</f>
        <v>31-60 Days</v>
      </c>
      <c r="L42" s="5" t="str">
        <f ca="1">MASTER_AR_REPORT!L242</f>
        <v>Low-Medium</v>
      </c>
      <c r="M42" s="5" t="str">
        <f ca="1">MASTER_AR_REPORT!M242</f>
        <v>Medium</v>
      </c>
      <c r="N42" s="5" t="str">
        <f>MASTER_AR_REPORT!N242</f>
        <v>Pending</v>
      </c>
      <c r="O42" s="5">
        <f>MASTER_AR_REPORT!O242</f>
        <v>0</v>
      </c>
    </row>
    <row r="43" spans="1:15">
      <c r="A43" s="2">
        <v>39</v>
      </c>
      <c r="B43" s="2" t="str">
        <f>IF(MASTER_AR_REPORT!B243="","",MASTER_AR_REPORT!B243)</f>
        <v>Vinod</v>
      </c>
      <c r="C43" s="12">
        <f>MASTER_AR_REPORT!C243</f>
        <v>46112</v>
      </c>
      <c r="D43" s="2" t="str">
        <f>IF(MASTER_AR_REPORT!D243="","",MASTER_AR_REPORT!D243)</f>
        <v>C-SLG/2495/25-26</v>
      </c>
      <c r="E43" s="2" t="str">
        <f>IF(MASTER_AR_REPORT!E243="","",MASTER_AR_REPORT!E243)</f>
        <v>Sri Ram Plastic</v>
      </c>
      <c r="F43" s="3">
        <f>MASTER_AR_REPORT!F243</f>
        <v>96214</v>
      </c>
      <c r="G43" s="12">
        <f>MASTER_AR_REPORT!G243</f>
        <v>46137</v>
      </c>
      <c r="H43" s="3">
        <f>MASTER_AR_REPORT!H243</f>
        <v>0</v>
      </c>
      <c r="I43" s="3">
        <f>MASTER_AR_REPORT!I243</f>
        <v>96214</v>
      </c>
      <c r="J43" s="2">
        <f ca="1">MASTER_AR_REPORT!J243</f>
        <v>27</v>
      </c>
      <c r="K43" s="2" t="str">
        <f ca="1">MASTER_AR_REPORT!K243</f>
        <v>0-30 Days</v>
      </c>
      <c r="L43" s="2" t="str">
        <f ca="1">MASTER_AR_REPORT!L243</f>
        <v>Low</v>
      </c>
      <c r="M43" s="2" t="str">
        <f ca="1">MASTER_AR_REPORT!M243</f>
        <v>Normal</v>
      </c>
      <c r="N43" s="2" t="str">
        <f>MASTER_AR_REPORT!N243</f>
        <v>Pending</v>
      </c>
      <c r="O43" s="2">
        <f>MASTER_AR_REPORT!O243</f>
        <v>0</v>
      </c>
    </row>
    <row r="44" spans="1:15">
      <c r="A44" s="5">
        <v>40</v>
      </c>
      <c r="B44" s="5" t="str">
        <f>IF(MASTER_AR_REPORT!B244="","",MASTER_AR_REPORT!B244)</f>
        <v>Vinod</v>
      </c>
      <c r="C44" s="11">
        <f>MASTER_AR_REPORT!C244</f>
        <v>46101</v>
      </c>
      <c r="D44" s="5" t="str">
        <f>IF(MASTER_AR_REPORT!D244="","",MASTER_AR_REPORT!D244)</f>
        <v>C-SLG/2413/25-26</v>
      </c>
      <c r="E44" s="5" t="str">
        <f>IF(MASTER_AR_REPORT!E244="","",MASTER_AR_REPORT!E244)</f>
        <v>Sri Sai Books &amp; Gifts (Chaithanyapuri)</v>
      </c>
      <c r="F44" s="6">
        <f>MASTER_AR_REPORT!F244</f>
        <v>3580</v>
      </c>
      <c r="G44" s="11">
        <f>MASTER_AR_REPORT!G244</f>
        <v>46126</v>
      </c>
      <c r="H44" s="6">
        <f>MASTER_AR_REPORT!H244</f>
        <v>0</v>
      </c>
      <c r="I44" s="6">
        <f>MASTER_AR_REPORT!I244</f>
        <v>3580</v>
      </c>
      <c r="J44" s="5">
        <f ca="1">MASTER_AR_REPORT!J244</f>
        <v>38</v>
      </c>
      <c r="K44" s="5" t="str">
        <f ca="1">MASTER_AR_REPORT!K244</f>
        <v>31-60 Days</v>
      </c>
      <c r="L44" s="5" t="str">
        <f ca="1">MASTER_AR_REPORT!L244</f>
        <v>Low-Medium</v>
      </c>
      <c r="M44" s="5" t="str">
        <f ca="1">MASTER_AR_REPORT!M244</f>
        <v>Medium</v>
      </c>
      <c r="N44" s="5" t="str">
        <f>MASTER_AR_REPORT!N244</f>
        <v>Pending</v>
      </c>
      <c r="O44" s="5">
        <f>MASTER_AR_REPORT!O244</f>
        <v>0</v>
      </c>
    </row>
    <row r="45" spans="1:15">
      <c r="A45" s="2">
        <v>41</v>
      </c>
      <c r="B45" s="2" t="str">
        <f>IF(MASTER_AR_REPORT!B245="","",MASTER_AR_REPORT!B245)</f>
        <v>Vinod</v>
      </c>
      <c r="C45" s="12">
        <f>MASTER_AR_REPORT!C245</f>
        <v>46107</v>
      </c>
      <c r="D45" s="2" t="str">
        <f>IF(MASTER_AR_REPORT!D245="","",MASTER_AR_REPORT!D245)</f>
        <v>C-SLG/2452/25-26</v>
      </c>
      <c r="E45" s="2" t="str">
        <f>IF(MASTER_AR_REPORT!E245="","",MASTER_AR_REPORT!E245)</f>
        <v>SRI SAI RAM STATIONERY(RK PURAM)</v>
      </c>
      <c r="F45" s="3">
        <f>MASTER_AR_REPORT!F245</f>
        <v>100</v>
      </c>
      <c r="G45" s="12">
        <f>MASTER_AR_REPORT!G245</f>
        <v>46132</v>
      </c>
      <c r="H45" s="3">
        <f>MASTER_AR_REPORT!H245</f>
        <v>0</v>
      </c>
      <c r="I45" s="3">
        <f>MASTER_AR_REPORT!I245</f>
        <v>100</v>
      </c>
      <c r="J45" s="2">
        <f ca="1">MASTER_AR_REPORT!J245</f>
        <v>32</v>
      </c>
      <c r="K45" s="2" t="str">
        <f ca="1">MASTER_AR_REPORT!K245</f>
        <v>31-60 Days</v>
      </c>
      <c r="L45" s="2" t="str">
        <f ca="1">MASTER_AR_REPORT!L245</f>
        <v>Low-Medium</v>
      </c>
      <c r="M45" s="2" t="str">
        <f ca="1">MASTER_AR_REPORT!M245</f>
        <v>Medium</v>
      </c>
      <c r="N45" s="2" t="str">
        <f>MASTER_AR_REPORT!N245</f>
        <v>Pending</v>
      </c>
      <c r="O45" s="2">
        <f>MASTER_AR_REPORT!O245</f>
        <v>0</v>
      </c>
    </row>
    <row r="46" spans="1:15">
      <c r="A46" s="5">
        <v>42</v>
      </c>
      <c r="B46" s="5" t="str">
        <f>IF(MASTER_AR_REPORT!B246="","",MASTER_AR_REPORT!B246)</f>
        <v>Vinod</v>
      </c>
      <c r="C46" s="11">
        <f>MASTER_AR_REPORT!C246</f>
        <v>46098</v>
      </c>
      <c r="D46" s="5" t="str">
        <f>IF(MASTER_AR_REPORT!D246="","",MASTER_AR_REPORT!D246)</f>
        <v>C-SLG/2399/25-26</v>
      </c>
      <c r="E46" s="5" t="str">
        <f>IF(MASTER_AR_REPORT!E246="","",MASTER_AR_REPORT!E246)</f>
        <v>SRI SAI SARASWATHI STATIONARY</v>
      </c>
      <c r="F46" s="6">
        <f>MASTER_AR_REPORT!F246</f>
        <v>886</v>
      </c>
      <c r="G46" s="11">
        <f>MASTER_AR_REPORT!G246</f>
        <v>46123</v>
      </c>
      <c r="H46" s="6">
        <f>MASTER_AR_REPORT!H246</f>
        <v>0</v>
      </c>
      <c r="I46" s="6">
        <f>MASTER_AR_REPORT!I246</f>
        <v>886</v>
      </c>
      <c r="J46" s="5">
        <f ca="1">MASTER_AR_REPORT!J246</f>
        <v>41</v>
      </c>
      <c r="K46" s="5" t="str">
        <f ca="1">MASTER_AR_REPORT!K246</f>
        <v>31-60 Days</v>
      </c>
      <c r="L46" s="5" t="str">
        <f ca="1">MASTER_AR_REPORT!L246</f>
        <v>Low-Medium</v>
      </c>
      <c r="M46" s="5" t="str">
        <f ca="1">MASTER_AR_REPORT!M246</f>
        <v>Medium</v>
      </c>
      <c r="N46" s="5" t="str">
        <f>MASTER_AR_REPORT!N246</f>
        <v>Pending</v>
      </c>
      <c r="O46" s="5">
        <f>MASTER_AR_REPORT!O246</f>
        <v>0</v>
      </c>
    </row>
    <row r="47" spans="1:15">
      <c r="A47" s="2">
        <v>43</v>
      </c>
      <c r="B47" s="2" t="str">
        <f>IF(MASTER_AR_REPORT!B247="","",MASTER_AR_REPORT!B247)</f>
        <v>Vinod</v>
      </c>
      <c r="C47" s="12">
        <f>MASTER_AR_REPORT!C247</f>
        <v>46013</v>
      </c>
      <c r="D47" s="2" t="str">
        <f>IF(MASTER_AR_REPORT!D247="","",MASTER_AR_REPORT!D247)</f>
        <v>C-SLG/1957/25-26</v>
      </c>
      <c r="E47" s="2" t="str">
        <f>IF(MASTER_AR_REPORT!E247="","",MASTER_AR_REPORT!E247)</f>
        <v>Sri Sai Tirumala Book &amp; Guides - Badangpet</v>
      </c>
      <c r="F47" s="3">
        <f>MASTER_AR_REPORT!F247</f>
        <v>2232</v>
      </c>
      <c r="G47" s="12">
        <f>MASTER_AR_REPORT!G247</f>
        <v>46038</v>
      </c>
      <c r="H47" s="3">
        <f>MASTER_AR_REPORT!H247</f>
        <v>0</v>
      </c>
      <c r="I47" s="3">
        <f>MASTER_AR_REPORT!I247</f>
        <v>2232</v>
      </c>
      <c r="J47" s="2">
        <f ca="1">MASTER_AR_REPORT!J247</f>
        <v>126</v>
      </c>
      <c r="K47" s="2" t="str">
        <f ca="1">MASTER_AR_REPORT!K247</f>
        <v>90+ Days</v>
      </c>
      <c r="L47" s="2" t="str">
        <f ca="1">MASTER_AR_REPORT!L247</f>
        <v>HIGH RISK</v>
      </c>
      <c r="M47" s="2" t="str">
        <f ca="1">MASTER_AR_REPORT!M247</f>
        <v>Immediate Action</v>
      </c>
      <c r="N47" s="2" t="str">
        <f>MASTER_AR_REPORT!N247</f>
        <v>Pending</v>
      </c>
      <c r="O47" s="2">
        <f>MASTER_AR_REPORT!O247</f>
        <v>0</v>
      </c>
    </row>
    <row r="48" spans="1:15">
      <c r="A48" s="5">
        <v>44</v>
      </c>
      <c r="B48" s="5" t="str">
        <f>IF(MASTER_AR_REPORT!B248="","",MASTER_AR_REPORT!B248)</f>
        <v>Vinod</v>
      </c>
      <c r="C48" s="11">
        <f>MASTER_AR_REPORT!C248</f>
        <v>46129</v>
      </c>
      <c r="D48" s="5" t="str">
        <f>IF(MASTER_AR_REPORT!D248="","",MASTER_AR_REPORT!D248)</f>
        <v>C-SLG/0047/26-27</v>
      </c>
      <c r="E48" s="5" t="str">
        <f>IF(MASTER_AR_REPORT!E248="","",MASTER_AR_REPORT!E248)</f>
        <v>SRI SAI TIRUMALA BOOKS &amp; GUIDES (Santhosh Nagar)</v>
      </c>
      <c r="F48" s="6">
        <f>MASTER_AR_REPORT!F248</f>
        <v>4988</v>
      </c>
      <c r="G48" s="11">
        <f>MASTER_AR_REPORT!G248</f>
        <v>46154</v>
      </c>
      <c r="H48" s="6">
        <f>MASTER_AR_REPORT!H248</f>
        <v>0</v>
      </c>
      <c r="I48" s="6">
        <f>MASTER_AR_REPORT!I248</f>
        <v>4988</v>
      </c>
      <c r="J48" s="5">
        <f ca="1">MASTER_AR_REPORT!J248</f>
        <v>10</v>
      </c>
      <c r="K48" s="5" t="str">
        <f ca="1">MASTER_AR_REPORT!K248</f>
        <v>0-30 Days</v>
      </c>
      <c r="L48" s="5" t="str">
        <f ca="1">MASTER_AR_REPORT!L248</f>
        <v>Low</v>
      </c>
      <c r="M48" s="5" t="str">
        <f ca="1">MASTER_AR_REPORT!M248</f>
        <v>Normal</v>
      </c>
      <c r="N48" s="5" t="str">
        <f>MASTER_AR_REPORT!N248</f>
        <v>Pending</v>
      </c>
      <c r="O48" s="5">
        <f>MASTER_AR_REPORT!O248</f>
        <v>0</v>
      </c>
    </row>
    <row r="49" spans="1:15">
      <c r="A49" s="2">
        <v>45</v>
      </c>
      <c r="B49" s="2" t="str">
        <f>IF(MASTER_AR_REPORT!B249="","",MASTER_AR_REPORT!B249)</f>
        <v>Vinod</v>
      </c>
      <c r="C49" s="12">
        <f>MASTER_AR_REPORT!C249</f>
        <v>46050</v>
      </c>
      <c r="D49" s="2" t="str">
        <f>IF(MASTER_AR_REPORT!D249="","",MASTER_AR_REPORT!D249)</f>
        <v>C-SLG/2124/25-26</v>
      </c>
      <c r="E49" s="2" t="str">
        <f>IF(MASTER_AR_REPORT!E249="","",MASTER_AR_REPORT!E249)</f>
        <v>Sri Siddi Vinayaka Book Center</v>
      </c>
      <c r="F49" s="3">
        <f>MASTER_AR_REPORT!F249</f>
        <v>6200</v>
      </c>
      <c r="G49" s="12">
        <f>MASTER_AR_REPORT!G249</f>
        <v>46075</v>
      </c>
      <c r="H49" s="3">
        <f>MASTER_AR_REPORT!H249</f>
        <v>0</v>
      </c>
      <c r="I49" s="3">
        <f>MASTER_AR_REPORT!I249</f>
        <v>6200</v>
      </c>
      <c r="J49" s="2">
        <f ca="1">MASTER_AR_REPORT!J249</f>
        <v>89</v>
      </c>
      <c r="K49" s="2" t="str">
        <f ca="1">MASTER_AR_REPORT!K249</f>
        <v>61-90 Days</v>
      </c>
      <c r="L49" s="2" t="str">
        <f ca="1">MASTER_AR_REPORT!L249</f>
        <v>Medium</v>
      </c>
      <c r="M49" s="2" t="str">
        <f ca="1">MASTER_AR_REPORT!M249</f>
        <v>Urgent</v>
      </c>
      <c r="N49" s="2" t="str">
        <f>MASTER_AR_REPORT!N249</f>
        <v>Pending</v>
      </c>
      <c r="O49" s="2">
        <f>MASTER_AR_REPORT!O249</f>
        <v>0</v>
      </c>
    </row>
    <row r="50" spans="1:15">
      <c r="A50" s="5">
        <v>46</v>
      </c>
      <c r="B50" s="5" t="str">
        <f>IF(MASTER_AR_REPORT!B250="","",MASTER_AR_REPORT!B250)</f>
        <v>Vinod</v>
      </c>
      <c r="C50" s="11">
        <f>MASTER_AR_REPORT!C250</f>
        <v>46129</v>
      </c>
      <c r="D50" s="5" t="str">
        <f>IF(MASTER_AR_REPORT!D250="","",MASTER_AR_REPORT!D250)</f>
        <v>C-SLG/0051/26-27</v>
      </c>
      <c r="E50" s="5" t="str">
        <f>IF(MASTER_AR_REPORT!E250="","",MASTER_AR_REPORT!E250)</f>
        <v>Sri Venkateshwara Book Centre.I S</v>
      </c>
      <c r="F50" s="6">
        <f>MASTER_AR_REPORT!F250</f>
        <v>2214</v>
      </c>
      <c r="G50" s="11">
        <f>MASTER_AR_REPORT!G250</f>
        <v>46154</v>
      </c>
      <c r="H50" s="6">
        <f>MASTER_AR_REPORT!H250</f>
        <v>0</v>
      </c>
      <c r="I50" s="6">
        <f>MASTER_AR_REPORT!I250</f>
        <v>2214</v>
      </c>
      <c r="J50" s="5">
        <f ca="1">MASTER_AR_REPORT!J250</f>
        <v>10</v>
      </c>
      <c r="K50" s="5" t="str">
        <f ca="1">MASTER_AR_REPORT!K250</f>
        <v>0-30 Days</v>
      </c>
      <c r="L50" s="5" t="str">
        <f ca="1">MASTER_AR_REPORT!L250</f>
        <v>Low</v>
      </c>
      <c r="M50" s="5" t="str">
        <f ca="1">MASTER_AR_REPORT!M250</f>
        <v>Normal</v>
      </c>
      <c r="N50" s="5" t="str">
        <f>MASTER_AR_REPORT!N250</f>
        <v>Pending</v>
      </c>
      <c r="O50" s="5">
        <f>MASTER_AR_REPORT!O250</f>
        <v>0</v>
      </c>
    </row>
    <row r="51" spans="1:15">
      <c r="A51" s="2">
        <v>47</v>
      </c>
      <c r="B51" s="2" t="str">
        <f>IF(MASTER_AR_REPORT!B251="","",MASTER_AR_REPORT!B251)</f>
        <v>Vinod</v>
      </c>
      <c r="C51" s="12">
        <f>MASTER_AR_REPORT!C251</f>
        <v>46099</v>
      </c>
      <c r="D51" s="2" t="str">
        <f>IF(MASTER_AR_REPORT!D251="","",MASTER_AR_REPORT!D251)</f>
        <v>C-SLG/2406/25-26</v>
      </c>
      <c r="E51" s="2" t="str">
        <f>IF(MASTER_AR_REPORT!E251="","",MASTER_AR_REPORT!E251)</f>
        <v>Sri Venkatheswara Book World</v>
      </c>
      <c r="F51" s="3">
        <f>MASTER_AR_REPORT!F251</f>
        <v>104942</v>
      </c>
      <c r="G51" s="12">
        <f>MASTER_AR_REPORT!G251</f>
        <v>46124</v>
      </c>
      <c r="H51" s="3">
        <f>MASTER_AR_REPORT!H251</f>
        <v>0</v>
      </c>
      <c r="I51" s="3">
        <f>MASTER_AR_REPORT!I251</f>
        <v>104942</v>
      </c>
      <c r="J51" s="2">
        <f ca="1">MASTER_AR_REPORT!J251</f>
        <v>40</v>
      </c>
      <c r="K51" s="2" t="str">
        <f ca="1">MASTER_AR_REPORT!K251</f>
        <v>31-60 Days</v>
      </c>
      <c r="L51" s="2" t="str">
        <f ca="1">MASTER_AR_REPORT!L251</f>
        <v>Low-Medium</v>
      </c>
      <c r="M51" s="2" t="str">
        <f ca="1">MASTER_AR_REPORT!M251</f>
        <v>Medium</v>
      </c>
      <c r="N51" s="2" t="str">
        <f>MASTER_AR_REPORT!N251</f>
        <v>Pending</v>
      </c>
      <c r="O51" s="2">
        <f>MASTER_AR_REPORT!O251</f>
        <v>0</v>
      </c>
    </row>
    <row r="52" spans="1:15">
      <c r="A52" s="5">
        <v>48</v>
      </c>
      <c r="B52" s="5" t="str">
        <f>IF(MASTER_AR_REPORT!B252="","",MASTER_AR_REPORT!B252)</f>
        <v>Vinod</v>
      </c>
      <c r="C52" s="11">
        <f>MASTER_AR_REPORT!C252</f>
        <v>46092</v>
      </c>
      <c r="D52" s="5" t="str">
        <f>IF(MASTER_AR_REPORT!D252="","",MASTER_AR_REPORT!D252)</f>
        <v>C-SLG/2372/25-26</v>
      </c>
      <c r="E52" s="5" t="str">
        <f>IF(MASTER_AR_REPORT!E252="","",MASTER_AR_REPORT!E252)</f>
        <v>SR VENKATESHWARA BOOK WORLD</v>
      </c>
      <c r="F52" s="6">
        <f>MASTER_AR_REPORT!F252</f>
        <v>11511</v>
      </c>
      <c r="G52" s="11">
        <f>MASTER_AR_REPORT!G252</f>
        <v>46117</v>
      </c>
      <c r="H52" s="6">
        <f>MASTER_AR_REPORT!H252</f>
        <v>11511</v>
      </c>
      <c r="I52" s="6">
        <f>MASTER_AR_REPORT!I252</f>
        <v>0</v>
      </c>
      <c r="J52" s="5">
        <f ca="1">MASTER_AR_REPORT!J252</f>
        <v>47</v>
      </c>
      <c r="K52" s="5" t="str">
        <f>MASTER_AR_REPORT!K252</f>
        <v>Current</v>
      </c>
      <c r="L52" s="5" t="str">
        <f>MASTER_AR_REPORT!L252</f>
        <v>-</v>
      </c>
      <c r="M52" s="5" t="str">
        <f>MASTER_AR_REPORT!M252</f>
        <v>-</v>
      </c>
      <c r="N52" s="5" t="str">
        <f>MASTER_AR_REPORT!N252</f>
        <v>Paid</v>
      </c>
      <c r="O52" s="5" t="str">
        <f>MASTER_AR_REPORT!O252</f>
        <v>Paid Online - Full Amount</v>
      </c>
    </row>
    <row r="53" spans="1:15">
      <c r="A53" s="2">
        <v>49</v>
      </c>
      <c r="B53" s="2" t="str">
        <f>IF(MASTER_AR_REPORT!B253="","",MASTER_AR_REPORT!B253)</f>
        <v>Vinod</v>
      </c>
      <c r="C53" s="12">
        <f>MASTER_AR_REPORT!C253</f>
        <v>46153</v>
      </c>
      <c r="D53" s="2" t="str">
        <f>IF(MASTER_AR_REPORT!D253="","",MASTER_AR_REPORT!D253)</f>
        <v>C-SLG/0114/26-27</v>
      </c>
      <c r="E53" s="2" t="str">
        <f>IF(MASTER_AR_REPORT!E253="","",MASTER_AR_REPORT!E253)</f>
        <v>SR VENKATESHWARA BOOK WORLD</v>
      </c>
      <c r="F53" s="3">
        <f>MASTER_AR_REPORT!F253</f>
        <v>5201</v>
      </c>
      <c r="G53" s="12">
        <f>MASTER_AR_REPORT!G253</f>
        <v>46178</v>
      </c>
      <c r="H53" s="3">
        <f>MASTER_AR_REPORT!H253</f>
        <v>0</v>
      </c>
      <c r="I53" s="3">
        <f>MASTER_AR_REPORT!I253</f>
        <v>5201</v>
      </c>
      <c r="J53" s="2">
        <f ca="1">MASTER_AR_REPORT!J253</f>
        <v>0</v>
      </c>
      <c r="K53" s="2" t="str">
        <f ca="1">MASTER_AR_REPORT!K253</f>
        <v>0-30 Days</v>
      </c>
      <c r="L53" s="2" t="str">
        <f ca="1">MASTER_AR_REPORT!L253</f>
        <v>Low</v>
      </c>
      <c r="M53" s="2" t="str">
        <f ca="1">MASTER_AR_REPORT!M253</f>
        <v>Normal</v>
      </c>
      <c r="N53" s="2" t="str">
        <f>MASTER_AR_REPORT!N253</f>
        <v>Pending</v>
      </c>
      <c r="O53" s="2">
        <f>MASTER_AR_REPORT!O253</f>
        <v>0</v>
      </c>
    </row>
    <row r="54" spans="1:15">
      <c r="A54" s="5">
        <v>50</v>
      </c>
      <c r="B54" s="5" t="str">
        <f>IF(MASTER_AR_REPORT!B254="","",MASTER_AR_REPORT!B254)</f>
        <v>Vinod</v>
      </c>
      <c r="C54" s="11">
        <f>MASTER_AR_REPORT!C254</f>
        <v>46015</v>
      </c>
      <c r="D54" s="5" t="str">
        <f>IF(MASTER_AR_REPORT!D254="","",MASTER_AR_REPORT!D254)</f>
        <v>C-SLG/1969/25-26</v>
      </c>
      <c r="E54" s="5" t="str">
        <f>IF(MASTER_AR_REPORT!E254="","",MASTER_AR_REPORT!E254)</f>
        <v>Sun Electronics Times</v>
      </c>
      <c r="F54" s="6">
        <f>MASTER_AR_REPORT!F254</f>
        <v>6182</v>
      </c>
      <c r="G54" s="11">
        <f>MASTER_AR_REPORT!G254</f>
        <v>46040</v>
      </c>
      <c r="H54" s="6">
        <f>MASTER_AR_REPORT!H254</f>
        <v>0</v>
      </c>
      <c r="I54" s="6">
        <f>MASTER_AR_REPORT!I254</f>
        <v>6182</v>
      </c>
      <c r="J54" s="5">
        <f ca="1">MASTER_AR_REPORT!J254</f>
        <v>124</v>
      </c>
      <c r="K54" s="5" t="str">
        <f ca="1">MASTER_AR_REPORT!K254</f>
        <v>90+ Days</v>
      </c>
      <c r="L54" s="5" t="str">
        <f ca="1">MASTER_AR_REPORT!L254</f>
        <v>HIGH RISK</v>
      </c>
      <c r="M54" s="5" t="str">
        <f ca="1">MASTER_AR_REPORT!M254</f>
        <v>Immediate Action</v>
      </c>
      <c r="N54" s="5" t="str">
        <f>MASTER_AR_REPORT!N254</f>
        <v>Pending</v>
      </c>
      <c r="O54" s="5">
        <f>MASTER_AR_REPORT!O254</f>
        <v>0</v>
      </c>
    </row>
    <row r="55" spans="1:15">
      <c r="A55" s="2">
        <v>51</v>
      </c>
      <c r="B55" s="2" t="str">
        <f>IF(MASTER_AR_REPORT!B255="","",MASTER_AR_REPORT!B255)</f>
        <v>Vinod</v>
      </c>
      <c r="C55" s="12">
        <f>MASTER_AR_REPORT!C255</f>
        <v>46121</v>
      </c>
      <c r="D55" s="2" t="str">
        <f>IF(MASTER_AR_REPORT!D255="","",MASTER_AR_REPORT!D255)</f>
        <v>C-SLG/009/26-27</v>
      </c>
      <c r="E55" s="2" t="str">
        <f>IF(MASTER_AR_REPORT!E255="","",MASTER_AR_REPORT!E255)</f>
        <v>S.V.TRADERS DSNR</v>
      </c>
      <c r="F55" s="3">
        <f>MASTER_AR_REPORT!F255</f>
        <v>17710</v>
      </c>
      <c r="G55" s="12">
        <f>MASTER_AR_REPORT!G255</f>
        <v>46146</v>
      </c>
      <c r="H55" s="3">
        <f>MASTER_AR_REPORT!H255</f>
        <v>0</v>
      </c>
      <c r="I55" s="3">
        <f>MASTER_AR_REPORT!I255</f>
        <v>17710</v>
      </c>
      <c r="J55" s="2">
        <f ca="1">MASTER_AR_REPORT!J255</f>
        <v>18</v>
      </c>
      <c r="K55" s="2" t="str">
        <f ca="1">MASTER_AR_REPORT!K255</f>
        <v>0-30 Days</v>
      </c>
      <c r="L55" s="2" t="str">
        <f ca="1">MASTER_AR_REPORT!L255</f>
        <v>Low</v>
      </c>
      <c r="M55" s="2" t="str">
        <f ca="1">MASTER_AR_REPORT!M255</f>
        <v>Normal</v>
      </c>
      <c r="N55" s="2" t="str">
        <f>MASTER_AR_REPORT!N255</f>
        <v>Pending</v>
      </c>
      <c r="O55" s="2">
        <f>MASTER_AR_REPORT!O255</f>
        <v>0</v>
      </c>
    </row>
    <row r="56" spans="1:15">
      <c r="A56" s="5">
        <v>52</v>
      </c>
      <c r="B56" s="5" t="str">
        <f>IF(MASTER_AR_REPORT!B256="","",MASTER_AR_REPORT!B256)</f>
        <v>Vinod</v>
      </c>
      <c r="C56" s="11">
        <f>MASTER_AR_REPORT!C256</f>
        <v>46122</v>
      </c>
      <c r="D56" s="5" t="str">
        <f>IF(MASTER_AR_REPORT!D256="","",MASTER_AR_REPORT!D256)</f>
        <v>C-SLG/0026/26-27</v>
      </c>
      <c r="E56" s="5" t="str">
        <f>IF(MASTER_AR_REPORT!E256="","",MASTER_AR_REPORT!E256)</f>
        <v>S.V.TRADERS DSNR</v>
      </c>
      <c r="F56" s="6">
        <f>MASTER_AR_REPORT!F256</f>
        <v>8855</v>
      </c>
      <c r="G56" s="11">
        <f>MASTER_AR_REPORT!G256</f>
        <v>46147</v>
      </c>
      <c r="H56" s="6">
        <f>MASTER_AR_REPORT!H256</f>
        <v>0</v>
      </c>
      <c r="I56" s="6">
        <f>MASTER_AR_REPORT!I256</f>
        <v>8855</v>
      </c>
      <c r="J56" s="5">
        <f ca="1">MASTER_AR_REPORT!J256</f>
        <v>17</v>
      </c>
      <c r="K56" s="5" t="str">
        <f ca="1">MASTER_AR_REPORT!K256</f>
        <v>0-30 Days</v>
      </c>
      <c r="L56" s="5" t="str">
        <f ca="1">MASTER_AR_REPORT!L256</f>
        <v>Low</v>
      </c>
      <c r="M56" s="5" t="str">
        <f ca="1">MASTER_AR_REPORT!M256</f>
        <v>Normal</v>
      </c>
      <c r="N56" s="5" t="str">
        <f>MASTER_AR_REPORT!N256</f>
        <v>Pending</v>
      </c>
      <c r="O56" s="5">
        <f>MASTER_AR_REPORT!O256</f>
        <v>0</v>
      </c>
    </row>
    <row r="57" spans="1:15">
      <c r="A57" s="2">
        <v>53</v>
      </c>
      <c r="B57" s="2" t="str">
        <f>IF(MASTER_AR_REPORT!B257="","",MASTER_AR_REPORT!B257)</f>
        <v>Vinod</v>
      </c>
      <c r="C57" s="12">
        <f>MASTER_AR_REPORT!C257</f>
        <v>46130</v>
      </c>
      <c r="D57" s="2" t="str">
        <f>IF(MASTER_AR_REPORT!D257="","",MASTER_AR_REPORT!D257)</f>
        <v>C-SLG/0054/26-27</v>
      </c>
      <c r="E57" s="2" t="str">
        <f>IF(MASTER_AR_REPORT!E257="","",MASTER_AR_REPORT!E257)</f>
        <v>S.V.TRADERS DSNR</v>
      </c>
      <c r="F57" s="3">
        <f>MASTER_AR_REPORT!F257</f>
        <v>5572</v>
      </c>
      <c r="G57" s="12">
        <f>MASTER_AR_REPORT!G257</f>
        <v>46155</v>
      </c>
      <c r="H57" s="3">
        <f>MASTER_AR_REPORT!H257</f>
        <v>0</v>
      </c>
      <c r="I57" s="3">
        <f>MASTER_AR_REPORT!I257</f>
        <v>5572</v>
      </c>
      <c r="J57" s="2">
        <f ca="1">MASTER_AR_REPORT!J257</f>
        <v>9</v>
      </c>
      <c r="K57" s="2" t="str">
        <f ca="1">MASTER_AR_REPORT!K257</f>
        <v>0-30 Days</v>
      </c>
      <c r="L57" s="2" t="str">
        <f ca="1">MASTER_AR_REPORT!L257</f>
        <v>Low</v>
      </c>
      <c r="M57" s="2" t="str">
        <f ca="1">MASTER_AR_REPORT!M257</f>
        <v>Normal</v>
      </c>
      <c r="N57" s="2" t="str">
        <f>MASTER_AR_REPORT!N257</f>
        <v>Pending</v>
      </c>
      <c r="O57" s="2">
        <f>MASTER_AR_REPORT!O257</f>
        <v>0</v>
      </c>
    </row>
    <row r="58" spans="1:15">
      <c r="A58" s="5">
        <v>54</v>
      </c>
      <c r="B58" s="5" t="str">
        <f>IF(MASTER_AR_REPORT!B258="","",MASTER_AR_REPORT!B258)</f>
        <v>Vinod</v>
      </c>
      <c r="C58" s="11">
        <f>MASTER_AR_REPORT!C258</f>
        <v>46142</v>
      </c>
      <c r="D58" s="5" t="str">
        <f>IF(MASTER_AR_REPORT!D258="","",MASTER_AR_REPORT!D258)</f>
        <v>C-SLG/0083/26-27</v>
      </c>
      <c r="E58" s="5" t="str">
        <f>IF(MASTER_AR_REPORT!E258="","",MASTER_AR_REPORT!E258)</f>
        <v>S.V.TRADERS DSNR</v>
      </c>
      <c r="F58" s="6">
        <f>MASTER_AR_REPORT!F258</f>
        <v>5144</v>
      </c>
      <c r="G58" s="11">
        <f>MASTER_AR_REPORT!G258</f>
        <v>46167</v>
      </c>
      <c r="H58" s="6">
        <f>MASTER_AR_REPORT!H258</f>
        <v>0</v>
      </c>
      <c r="I58" s="6">
        <f>MASTER_AR_REPORT!I258</f>
        <v>5144</v>
      </c>
      <c r="J58" s="5">
        <f ca="1">MASTER_AR_REPORT!J258</f>
        <v>0</v>
      </c>
      <c r="K58" s="5" t="str">
        <f ca="1">MASTER_AR_REPORT!K258</f>
        <v>0-30 Days</v>
      </c>
      <c r="L58" s="5" t="str">
        <f ca="1">MASTER_AR_REPORT!L258</f>
        <v>Low</v>
      </c>
      <c r="M58" s="5" t="str">
        <f ca="1">MASTER_AR_REPORT!M258</f>
        <v>Normal</v>
      </c>
      <c r="N58" s="5" t="str">
        <f>MASTER_AR_REPORT!N258</f>
        <v>Pending</v>
      </c>
      <c r="O58" s="5">
        <f>MASTER_AR_REPORT!O258</f>
        <v>0</v>
      </c>
    </row>
    <row r="59" spans="1:15">
      <c r="A59" s="2">
        <v>55</v>
      </c>
      <c r="B59" s="2" t="str">
        <f>IF(MASTER_AR_REPORT!B259="","",MASTER_AR_REPORT!B259)</f>
        <v>Vinod</v>
      </c>
      <c r="C59" s="12">
        <f>MASTER_AR_REPORT!C259</f>
        <v>46148</v>
      </c>
      <c r="D59" s="2" t="str">
        <f>IF(MASTER_AR_REPORT!D259="","",MASTER_AR_REPORT!D259)</f>
        <v>C-SLG/0094/26-27</v>
      </c>
      <c r="E59" s="2" t="str">
        <f>IF(MASTER_AR_REPORT!E259="","",MASTER_AR_REPORT!E259)</f>
        <v>S.V.TRADERS DSNR</v>
      </c>
      <c r="F59" s="3">
        <f>MASTER_AR_REPORT!F259</f>
        <v>2291</v>
      </c>
      <c r="G59" s="12">
        <f>MASTER_AR_REPORT!G259</f>
        <v>46173</v>
      </c>
      <c r="H59" s="3">
        <f>MASTER_AR_REPORT!H259</f>
        <v>0</v>
      </c>
      <c r="I59" s="3">
        <f>MASTER_AR_REPORT!I259</f>
        <v>2291</v>
      </c>
      <c r="J59" s="2">
        <f ca="1">MASTER_AR_REPORT!J259</f>
        <v>0</v>
      </c>
      <c r="K59" s="2" t="str">
        <f ca="1">MASTER_AR_REPORT!K259</f>
        <v>0-30 Days</v>
      </c>
      <c r="L59" s="2" t="str">
        <f ca="1">MASTER_AR_REPORT!L259</f>
        <v>Low</v>
      </c>
      <c r="M59" s="2" t="str">
        <f ca="1">MASTER_AR_REPORT!M259</f>
        <v>Normal</v>
      </c>
      <c r="N59" s="2" t="str">
        <f>MASTER_AR_REPORT!N259</f>
        <v>Pending</v>
      </c>
      <c r="O59" s="2">
        <f>MASTER_AR_REPORT!O259</f>
        <v>0</v>
      </c>
    </row>
    <row r="60" spans="1:15">
      <c r="A60" s="5">
        <v>56</v>
      </c>
      <c r="B60" s="5" t="str">
        <f>IF(MASTER_AR_REPORT!B260="","",MASTER_AR_REPORT!B260)</f>
        <v>Vinod</v>
      </c>
      <c r="C60" s="11">
        <f>MASTER_AR_REPORT!C260</f>
        <v>46150</v>
      </c>
      <c r="D60" s="5" t="str">
        <f>IF(MASTER_AR_REPORT!D260="","",MASTER_AR_REPORT!D260)</f>
        <v>C-SLG/0101/26-27</v>
      </c>
      <c r="E60" s="5" t="str">
        <f>IF(MASTER_AR_REPORT!E260="","",MASTER_AR_REPORT!E260)</f>
        <v>S.V.TRADERS DSNR</v>
      </c>
      <c r="F60" s="6">
        <f>MASTER_AR_REPORT!F260</f>
        <v>21163</v>
      </c>
      <c r="G60" s="11">
        <f>MASTER_AR_REPORT!G260</f>
        <v>46175</v>
      </c>
      <c r="H60" s="6">
        <f>MASTER_AR_REPORT!H260</f>
        <v>0</v>
      </c>
      <c r="I60" s="6">
        <f>MASTER_AR_REPORT!I260</f>
        <v>21163</v>
      </c>
      <c r="J60" s="5">
        <f ca="1">MASTER_AR_REPORT!J260</f>
        <v>0</v>
      </c>
      <c r="K60" s="5" t="str">
        <f ca="1">MASTER_AR_REPORT!K260</f>
        <v>0-30 Days</v>
      </c>
      <c r="L60" s="5" t="str">
        <f ca="1">MASTER_AR_REPORT!L260</f>
        <v>Low</v>
      </c>
      <c r="M60" s="5" t="str">
        <f ca="1">MASTER_AR_REPORT!M260</f>
        <v>Normal</v>
      </c>
      <c r="N60" s="5" t="str">
        <f>MASTER_AR_REPORT!N260</f>
        <v>Pending</v>
      </c>
      <c r="O60" s="5">
        <f>MASTER_AR_REPORT!O260</f>
        <v>0</v>
      </c>
    </row>
    <row r="61" spans="1:15">
      <c r="A61" s="2">
        <v>57</v>
      </c>
      <c r="B61" s="2" t="str">
        <f>IF(MASTER_AR_REPORT!B261="","",MASTER_AR_REPORT!B261)</f>
        <v>Vinod</v>
      </c>
      <c r="C61" s="12">
        <f>MASTER_AR_REPORT!C261</f>
        <v>46156</v>
      </c>
      <c r="D61" s="2" t="str">
        <f>IF(MASTER_AR_REPORT!D261="","",MASTER_AR_REPORT!D261)</f>
        <v>C-SLG/0132/26-27</v>
      </c>
      <c r="E61" s="2" t="str">
        <f>IF(MASTER_AR_REPORT!E261="","",MASTER_AR_REPORT!E261)</f>
        <v>S.V.TRADERS DSNR</v>
      </c>
      <c r="F61" s="3">
        <f>MASTER_AR_REPORT!F261</f>
        <v>7384</v>
      </c>
      <c r="G61" s="12">
        <f>MASTER_AR_REPORT!G261</f>
        <v>46181</v>
      </c>
      <c r="H61" s="3">
        <f>MASTER_AR_REPORT!H261</f>
        <v>0</v>
      </c>
      <c r="I61" s="3">
        <f>MASTER_AR_REPORT!I261</f>
        <v>7384</v>
      </c>
      <c r="J61" s="2">
        <f ca="1">MASTER_AR_REPORT!J261</f>
        <v>0</v>
      </c>
      <c r="K61" s="2" t="str">
        <f ca="1">MASTER_AR_REPORT!K261</f>
        <v>0-30 Days</v>
      </c>
      <c r="L61" s="2" t="str">
        <f ca="1">MASTER_AR_REPORT!L261</f>
        <v>Low</v>
      </c>
      <c r="M61" s="2" t="str">
        <f ca="1">MASTER_AR_REPORT!M261</f>
        <v>Normal</v>
      </c>
      <c r="N61" s="2" t="str">
        <f>MASTER_AR_REPORT!N261</f>
        <v>Pending</v>
      </c>
      <c r="O61" s="2">
        <f>MASTER_AR_REPORT!O261</f>
        <v>0</v>
      </c>
    </row>
    <row r="62" spans="1:15">
      <c r="A62" s="5">
        <v>58</v>
      </c>
      <c r="B62" s="5" t="str">
        <f>IF(MASTER_AR_REPORT!B262="","",MASTER_AR_REPORT!B262)</f>
        <v>Vinod</v>
      </c>
      <c r="C62" s="11">
        <f>MASTER_AR_REPORT!C262</f>
        <v>46115</v>
      </c>
      <c r="D62" s="5" t="str">
        <f>IF(MASTER_AR_REPORT!D262="","",MASTER_AR_REPORT!D262)</f>
        <v>C-SLG/005/26-27</v>
      </c>
      <c r="E62" s="5" t="str">
        <f>IF(MASTER_AR_REPORT!E262="","",MASTER_AR_REPORT!E262)</f>
        <v>VANI BOOKS &amp; STATIONERY</v>
      </c>
      <c r="F62" s="6">
        <f>MASTER_AR_REPORT!F262</f>
        <v>22</v>
      </c>
      <c r="G62" s="11">
        <f>MASTER_AR_REPORT!G262</f>
        <v>46140</v>
      </c>
      <c r="H62" s="6">
        <f>MASTER_AR_REPORT!H262</f>
        <v>0</v>
      </c>
      <c r="I62" s="6">
        <f>MASTER_AR_REPORT!I262</f>
        <v>22</v>
      </c>
      <c r="J62" s="5">
        <f ca="1">MASTER_AR_REPORT!J262</f>
        <v>24</v>
      </c>
      <c r="K62" s="5" t="str">
        <f ca="1">MASTER_AR_REPORT!K262</f>
        <v>0-30 Days</v>
      </c>
      <c r="L62" s="5" t="str">
        <f ca="1">MASTER_AR_REPORT!L262</f>
        <v>Low</v>
      </c>
      <c r="M62" s="5" t="str">
        <f ca="1">MASTER_AR_REPORT!M262</f>
        <v>Normal</v>
      </c>
      <c r="N62" s="5" t="str">
        <f>MASTER_AR_REPORT!N262</f>
        <v>Pending</v>
      </c>
      <c r="O62" s="5">
        <f>MASTER_AR_REPORT!O262</f>
        <v>0</v>
      </c>
    </row>
    <row r="63" spans="1:15">
      <c r="A63" s="2">
        <v>59</v>
      </c>
      <c r="B63" s="2" t="str">
        <f>IF(MASTER_AR_REPORT!B263="","",MASTER_AR_REPORT!B263)</f>
        <v>Vinod</v>
      </c>
      <c r="C63" s="12">
        <f>MASTER_AR_REPORT!C263</f>
        <v>46125</v>
      </c>
      <c r="D63" s="2" t="str">
        <f>IF(MASTER_AR_REPORT!D263="","",MASTER_AR_REPORT!D263)</f>
        <v>C-SLG/0032/26-27</v>
      </c>
      <c r="E63" s="2" t="str">
        <f>IF(MASTER_AR_REPORT!E263="","",MASTER_AR_REPORT!E263)</f>
        <v>VANI BOOKS &amp; STATIONERY</v>
      </c>
      <c r="F63" s="3">
        <f>MASTER_AR_REPORT!F263</f>
        <v>16</v>
      </c>
      <c r="G63" s="12">
        <f>MASTER_AR_REPORT!G263</f>
        <v>46150</v>
      </c>
      <c r="H63" s="3">
        <f>MASTER_AR_REPORT!H263</f>
        <v>0</v>
      </c>
      <c r="I63" s="3">
        <f>MASTER_AR_REPORT!I263</f>
        <v>16</v>
      </c>
      <c r="J63" s="2">
        <f ca="1">MASTER_AR_REPORT!J263</f>
        <v>14</v>
      </c>
      <c r="K63" s="2" t="str">
        <f ca="1">MASTER_AR_REPORT!K263</f>
        <v>0-30 Days</v>
      </c>
      <c r="L63" s="2" t="str">
        <f ca="1">MASTER_AR_REPORT!L263</f>
        <v>Low</v>
      </c>
      <c r="M63" s="2" t="str">
        <f ca="1">MASTER_AR_REPORT!M263</f>
        <v>Normal</v>
      </c>
      <c r="N63" s="2" t="str">
        <f>MASTER_AR_REPORT!N263</f>
        <v>Pending</v>
      </c>
      <c r="O63" s="2">
        <f>MASTER_AR_REPORT!O263</f>
        <v>0</v>
      </c>
    </row>
    <row r="64" spans="1:15">
      <c r="A64" s="5">
        <v>60</v>
      </c>
      <c r="B64" s="5" t="str">
        <f>IF(MASTER_AR_REPORT!B264="","",MASTER_AR_REPORT!B264)</f>
        <v>Vinod</v>
      </c>
      <c r="C64" s="11">
        <f>MASTER_AR_REPORT!C264</f>
        <v>46146</v>
      </c>
      <c r="D64" s="5" t="str">
        <f>IF(MASTER_AR_REPORT!D264="","",MASTER_AR_REPORT!D264)</f>
        <v>C-SLG/0087/26-27</v>
      </c>
      <c r="E64" s="5" t="str">
        <f>IF(MASTER_AR_REPORT!E264="","",MASTER_AR_REPORT!E264)</f>
        <v>VANI BOOKS &amp; STATIONERY</v>
      </c>
      <c r="F64" s="6">
        <f>MASTER_AR_REPORT!F264</f>
        <v>3660</v>
      </c>
      <c r="G64" s="11">
        <f>MASTER_AR_REPORT!G264</f>
        <v>46171</v>
      </c>
      <c r="H64" s="6">
        <f>MASTER_AR_REPORT!H264</f>
        <v>0</v>
      </c>
      <c r="I64" s="6">
        <f>MASTER_AR_REPORT!I264</f>
        <v>3660</v>
      </c>
      <c r="J64" s="5">
        <f ca="1">MASTER_AR_REPORT!J264</f>
        <v>0</v>
      </c>
      <c r="K64" s="5" t="str">
        <f ca="1">MASTER_AR_REPORT!K264</f>
        <v>0-30 Days</v>
      </c>
      <c r="L64" s="5" t="str">
        <f ca="1">MASTER_AR_REPORT!L264</f>
        <v>Low</v>
      </c>
      <c r="M64" s="5" t="str">
        <f ca="1">MASTER_AR_REPORT!M264</f>
        <v>Normal</v>
      </c>
      <c r="N64" s="5" t="str">
        <f>MASTER_AR_REPORT!N264</f>
        <v>Pending</v>
      </c>
      <c r="O64" s="5">
        <f>MASTER_AR_REPORT!O264</f>
        <v>0</v>
      </c>
    </row>
    <row r="65" spans="1:15">
      <c r="A65" s="2">
        <v>61</v>
      </c>
      <c r="B65" s="2" t="str">
        <f>IF(MASTER_AR_REPORT!B265="","",MASTER_AR_REPORT!B265)</f>
        <v>Vinod</v>
      </c>
      <c r="C65" s="12">
        <f>MASTER_AR_REPORT!C265</f>
        <v>46111</v>
      </c>
      <c r="D65" s="2" t="str">
        <f>IF(MASTER_AR_REPORT!D265="","",MASTER_AR_REPORT!D265)</f>
        <v>C-SLG/2475/25-26</v>
      </c>
      <c r="E65" s="2" t="str">
        <f>IF(MASTER_AR_REPORT!E265="","",MASTER_AR_REPORT!E265)</f>
        <v>Venkateswara Book Bank</v>
      </c>
      <c r="F65" s="3">
        <f>MASTER_AR_REPORT!F265</f>
        <v>1655</v>
      </c>
      <c r="G65" s="12">
        <f>MASTER_AR_REPORT!G265</f>
        <v>46136</v>
      </c>
      <c r="H65" s="3">
        <f>MASTER_AR_REPORT!H265</f>
        <v>0</v>
      </c>
      <c r="I65" s="3">
        <f>MASTER_AR_REPORT!I265</f>
        <v>1655</v>
      </c>
      <c r="J65" s="2">
        <f ca="1">MASTER_AR_REPORT!J265</f>
        <v>28</v>
      </c>
      <c r="K65" s="2" t="str">
        <f ca="1">MASTER_AR_REPORT!K265</f>
        <v>0-30 Days</v>
      </c>
      <c r="L65" s="2" t="str">
        <f ca="1">MASTER_AR_REPORT!L265</f>
        <v>Low</v>
      </c>
      <c r="M65" s="2" t="str">
        <f ca="1">MASTER_AR_REPORT!M265</f>
        <v>Normal</v>
      </c>
      <c r="N65" s="2" t="str">
        <f>MASTER_AR_REPORT!N265</f>
        <v>Pending</v>
      </c>
      <c r="O65" s="2">
        <f>MASTER_AR_REPORT!O265</f>
        <v>0</v>
      </c>
    </row>
    <row r="66" spans="1:15">
      <c r="A66" s="5">
        <v>62</v>
      </c>
      <c r="B66" s="5" t="str">
        <f>IF(MASTER_AR_REPORT!B266="","",MASTER_AR_REPORT!B266)</f>
        <v>Vinod</v>
      </c>
      <c r="C66" s="11">
        <f>MASTER_AR_REPORT!C266</f>
        <v>46121</v>
      </c>
      <c r="D66" s="5" t="str">
        <f>IF(MASTER_AR_REPORT!D266="","",MASTER_AR_REPORT!D266)</f>
        <v>C-SLG/0019/26-27</v>
      </c>
      <c r="E66" s="5" t="str">
        <f>IF(MASTER_AR_REPORT!E266="","",MASTER_AR_REPORT!E266)</f>
        <v>Venkateswara Book Bank</v>
      </c>
      <c r="F66" s="6">
        <f>MASTER_AR_REPORT!F266</f>
        <v>251</v>
      </c>
      <c r="G66" s="11">
        <f>MASTER_AR_REPORT!G266</f>
        <v>46146</v>
      </c>
      <c r="H66" s="6">
        <f>MASTER_AR_REPORT!H266</f>
        <v>0</v>
      </c>
      <c r="I66" s="6">
        <f>MASTER_AR_REPORT!I266</f>
        <v>251</v>
      </c>
      <c r="J66" s="5">
        <f ca="1">MASTER_AR_REPORT!J266</f>
        <v>18</v>
      </c>
      <c r="K66" s="5" t="str">
        <f ca="1">MASTER_AR_REPORT!K266</f>
        <v>0-30 Days</v>
      </c>
      <c r="L66" s="5" t="str">
        <f ca="1">MASTER_AR_REPORT!L266</f>
        <v>Low</v>
      </c>
      <c r="M66" s="5" t="str">
        <f ca="1">MASTER_AR_REPORT!M266</f>
        <v>Normal</v>
      </c>
      <c r="N66" s="5" t="str">
        <f>MASTER_AR_REPORT!N266</f>
        <v>Pending</v>
      </c>
      <c r="O66" s="5">
        <f>MASTER_AR_REPORT!O266</f>
        <v>0</v>
      </c>
    </row>
    <row r="67" spans="1:15">
      <c r="A67" s="13"/>
      <c r="B67" s="13"/>
      <c r="C67" s="13"/>
      <c r="D67" s="13"/>
      <c r="E67" s="8" t="s">
        <v>17</v>
      </c>
      <c r="F67" s="9">
        <f>SUM(F5:F66)</f>
        <v>712672</v>
      </c>
      <c r="G67" s="13"/>
      <c r="H67" s="9">
        <f>SUM(H5:H66)</f>
        <v>73246</v>
      </c>
      <c r="I67" s="9">
        <f>SUM(I5:I66)</f>
        <v>639426</v>
      </c>
      <c r="J67" s="13"/>
      <c r="K67" s="13"/>
      <c r="L67" s="13"/>
      <c r="M67" s="13"/>
      <c r="N67" s="13"/>
      <c r="O67" s="13"/>
    </row>
  </sheetData>
  <autoFilter ref="A4:O67" xr:uid="{00000000-0009-0000-0000-000006000000}"/>
  <mergeCells count="2">
    <mergeCell ref="A1:O1"/>
    <mergeCell ref="A2:O2"/>
  </mergeCells>
  <conditionalFormatting sqref="A5:O66">
    <cfRule type="expression" dxfId="3" priority="1">
      <formula>AND($J5&gt;=90,$I5&gt;0)</formula>
    </cfRule>
    <cfRule type="expression" dxfId="2" priority="2">
      <formula>AND($J5&gt;=61,$J5&lt;90,$I5&gt;0)</formula>
    </cfRule>
    <cfRule type="expression" dxfId="1" priority="3">
      <formula>AND($J5&gt;=31,$J5&lt;61,$I5&gt;0)</formula>
    </cfRule>
    <cfRule type="expression" dxfId="0" priority="4">
      <formula>AND($J5&gt;=1,$J5&lt;31,$I5&gt;0)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7"/>
  <sheetViews>
    <sheetView topLeftCell="A9" workbookViewId="0">
      <selection activeCell="J23" sqref="J23"/>
    </sheetView>
  </sheetViews>
  <sheetFormatPr defaultRowHeight="14.4"/>
  <cols>
    <col min="1" max="1" width="10.109375" customWidth="1"/>
    <col min="2" max="2" width="20.6640625" customWidth="1"/>
    <col min="3" max="3" width="37" customWidth="1"/>
    <col min="4" max="4" width="13.109375" customWidth="1"/>
    <col min="5" max="5" width="10.6640625" customWidth="1"/>
    <col min="6" max="6" width="12.109375" customWidth="1"/>
    <col min="7" max="7" width="14.33203125" customWidth="1"/>
    <col min="8" max="8" width="17.33203125" customWidth="1"/>
    <col min="9" max="9" width="26.6640625" customWidth="1"/>
    <col min="10" max="10" width="9.33203125" customWidth="1"/>
  </cols>
  <sheetData>
    <row r="1" spans="1:10" ht="11.1" customHeight="1">
      <c r="A1" s="14" t="s">
        <v>489</v>
      </c>
      <c r="B1" s="135" t="s">
        <v>490</v>
      </c>
      <c r="C1" s="136"/>
      <c r="D1" s="137"/>
      <c r="E1" s="138"/>
      <c r="F1" s="138"/>
      <c r="G1" s="138"/>
    </row>
    <row r="2" spans="1:10" ht="11.1" customHeight="1">
      <c r="A2" s="14" t="s">
        <v>491</v>
      </c>
      <c r="B2" s="135" t="s">
        <v>492</v>
      </c>
      <c r="C2" s="136"/>
      <c r="D2" s="15" t="s">
        <v>493</v>
      </c>
      <c r="E2" s="16">
        <f ca="1">TODAY()</f>
        <v>46164</v>
      </c>
      <c r="F2" s="17"/>
      <c r="G2" s="18"/>
    </row>
    <row r="3" spans="1:10" ht="6" customHeight="1"/>
    <row r="4" spans="1:10">
      <c r="A4" s="19" t="s">
        <v>4</v>
      </c>
      <c r="B4" s="19" t="s">
        <v>494</v>
      </c>
      <c r="C4" s="19" t="s">
        <v>495</v>
      </c>
      <c r="D4" s="19" t="s">
        <v>28</v>
      </c>
      <c r="E4" s="19" t="s">
        <v>496</v>
      </c>
      <c r="F4" s="20" t="s">
        <v>11</v>
      </c>
      <c r="G4" s="21" t="s">
        <v>9</v>
      </c>
      <c r="H4" s="20" t="s">
        <v>497</v>
      </c>
      <c r="I4" s="20" t="s">
        <v>498</v>
      </c>
      <c r="J4" s="112" t="s">
        <v>16</v>
      </c>
    </row>
    <row r="5" spans="1:10">
      <c r="A5" s="22"/>
      <c r="B5" s="22"/>
      <c r="C5" s="22"/>
      <c r="D5" s="23"/>
      <c r="E5" s="22"/>
      <c r="F5" s="24"/>
      <c r="G5" s="25"/>
      <c r="H5" s="26"/>
      <c r="I5" s="26"/>
    </row>
    <row r="6" spans="1:10">
      <c r="A6" s="22"/>
      <c r="B6" s="22"/>
      <c r="C6" s="27" t="s">
        <v>62</v>
      </c>
      <c r="D6" s="22"/>
      <c r="E6" s="22"/>
      <c r="F6" s="22"/>
      <c r="G6" s="25"/>
      <c r="H6" s="26"/>
      <c r="I6" s="26"/>
    </row>
    <row r="7" spans="1:10">
      <c r="A7" s="28">
        <v>46144</v>
      </c>
      <c r="B7" s="29" t="s">
        <v>61</v>
      </c>
      <c r="C7" s="22"/>
      <c r="D7" s="30">
        <v>1400</v>
      </c>
      <c r="E7" s="31">
        <v>46144</v>
      </c>
      <c r="F7" s="32">
        <f ca="1">$E$2-E7</f>
        <v>20</v>
      </c>
      <c r="G7" s="25"/>
      <c r="H7" s="26"/>
      <c r="I7" s="26" t="s">
        <v>64</v>
      </c>
    </row>
    <row r="8" spans="1:10">
      <c r="A8" s="22"/>
      <c r="B8" s="22"/>
      <c r="C8" s="22"/>
      <c r="D8" s="30">
        <v>1400</v>
      </c>
      <c r="E8" s="22"/>
      <c r="F8" s="22"/>
      <c r="G8" s="25"/>
      <c r="H8" s="26"/>
    </row>
    <row r="9" spans="1:10">
      <c r="A9" s="22"/>
      <c r="B9" s="22"/>
      <c r="C9" s="27" t="s">
        <v>66</v>
      </c>
      <c r="D9" s="22"/>
      <c r="E9" s="22"/>
      <c r="F9" s="22"/>
      <c r="G9" s="25"/>
      <c r="H9" s="26"/>
      <c r="I9" s="26"/>
    </row>
    <row r="10" spans="1:10">
      <c r="A10" s="28">
        <v>45716</v>
      </c>
      <c r="B10" s="33" t="s">
        <v>65</v>
      </c>
      <c r="C10" s="22"/>
      <c r="D10" s="30">
        <v>159.66999999999999</v>
      </c>
      <c r="E10" s="31">
        <v>45716</v>
      </c>
      <c r="F10" s="32">
        <f ca="1">$E$2-E10</f>
        <v>448</v>
      </c>
      <c r="G10" s="25"/>
      <c r="H10" s="26"/>
      <c r="I10" s="26" t="s">
        <v>67</v>
      </c>
    </row>
    <row r="11" spans="1:10">
      <c r="A11" s="28">
        <v>46013</v>
      </c>
      <c r="B11" s="33" t="s">
        <v>68</v>
      </c>
      <c r="C11" s="22"/>
      <c r="D11" s="30">
        <v>383</v>
      </c>
      <c r="E11" s="31">
        <v>46043</v>
      </c>
      <c r="F11" s="32">
        <f ca="1">$E$2-E11</f>
        <v>121</v>
      </c>
      <c r="G11" s="25"/>
      <c r="H11" s="26"/>
      <c r="I11" s="26" t="s">
        <v>499</v>
      </c>
    </row>
    <row r="12" spans="1:10">
      <c r="A12" s="22"/>
      <c r="B12" s="22"/>
      <c r="C12" s="22"/>
      <c r="D12" s="30">
        <v>542.66999999999996</v>
      </c>
      <c r="E12" s="22"/>
      <c r="F12" s="22"/>
      <c r="G12" s="25"/>
      <c r="H12" s="26"/>
      <c r="I12" s="26"/>
    </row>
    <row r="13" spans="1:10">
      <c r="A13" s="22"/>
      <c r="B13" s="22"/>
      <c r="C13" s="27" t="s">
        <v>50</v>
      </c>
      <c r="D13" s="22"/>
      <c r="E13" s="22"/>
      <c r="F13" s="22"/>
      <c r="G13" s="25"/>
      <c r="H13" s="26"/>
      <c r="I13" s="26"/>
    </row>
    <row r="14" spans="1:10">
      <c r="A14" s="28">
        <v>45996</v>
      </c>
      <c r="B14" s="29" t="s">
        <v>70</v>
      </c>
      <c r="C14" s="22"/>
      <c r="D14" s="30">
        <v>2852</v>
      </c>
      <c r="E14" s="31">
        <v>46041</v>
      </c>
      <c r="F14" s="32">
        <f ca="1">$E$2-E14</f>
        <v>123</v>
      </c>
      <c r="G14" s="25"/>
      <c r="H14" s="26"/>
      <c r="I14" s="26" t="s">
        <v>71</v>
      </c>
    </row>
    <row r="15" spans="1:10">
      <c r="A15" s="28">
        <v>46139</v>
      </c>
      <c r="B15" s="29" t="s">
        <v>72</v>
      </c>
      <c r="C15" s="22"/>
      <c r="D15" s="34">
        <v>196667</v>
      </c>
      <c r="E15" s="31">
        <v>46184</v>
      </c>
      <c r="F15" s="32"/>
      <c r="G15" s="25"/>
      <c r="H15" s="26"/>
      <c r="I15" s="26"/>
    </row>
    <row r="16" spans="1:10">
      <c r="A16" s="28">
        <v>46144</v>
      </c>
      <c r="B16" s="29" t="s">
        <v>73</v>
      </c>
      <c r="C16" s="22"/>
      <c r="D16" s="34">
        <v>9035</v>
      </c>
      <c r="E16" s="31">
        <v>46189</v>
      </c>
      <c r="F16" s="22"/>
      <c r="G16" s="25"/>
      <c r="H16" s="26"/>
      <c r="I16" s="26"/>
    </row>
    <row r="17" spans="1:9">
      <c r="A17" s="28">
        <v>46148</v>
      </c>
      <c r="B17" s="29" t="s">
        <v>74</v>
      </c>
      <c r="C17" s="22"/>
      <c r="D17" s="34">
        <v>19731</v>
      </c>
      <c r="E17" s="31">
        <v>46193</v>
      </c>
      <c r="F17" s="22"/>
      <c r="G17" s="25"/>
      <c r="H17" s="26"/>
      <c r="I17" s="26"/>
    </row>
    <row r="18" spans="1:9">
      <c r="A18" s="22"/>
      <c r="B18" s="22"/>
      <c r="C18" s="22"/>
      <c r="D18" s="30">
        <v>228285</v>
      </c>
      <c r="E18" s="22"/>
      <c r="F18" s="22"/>
      <c r="G18" s="25"/>
      <c r="H18" s="26"/>
      <c r="I18" s="26"/>
    </row>
    <row r="19" spans="1:9">
      <c r="A19" s="22"/>
      <c r="B19" s="22"/>
      <c r="C19" s="27" t="s">
        <v>60</v>
      </c>
      <c r="D19" s="22"/>
      <c r="E19" s="22"/>
      <c r="F19" s="22"/>
      <c r="G19" s="25"/>
      <c r="H19" s="26"/>
      <c r="I19" s="26"/>
    </row>
    <row r="20" spans="1:9">
      <c r="A20" s="28">
        <v>46136</v>
      </c>
      <c r="B20" s="29" t="s">
        <v>75</v>
      </c>
      <c r="C20" s="22"/>
      <c r="D20" s="34">
        <v>13163</v>
      </c>
      <c r="E20" s="31">
        <v>46181</v>
      </c>
      <c r="F20" s="22"/>
      <c r="G20" s="25"/>
      <c r="H20" s="26"/>
      <c r="I20" s="26"/>
    </row>
    <row r="21" spans="1:9">
      <c r="A21" s="28">
        <v>46142</v>
      </c>
      <c r="B21" s="29" t="s">
        <v>76</v>
      </c>
      <c r="C21" s="22"/>
      <c r="D21" s="34">
        <v>48979</v>
      </c>
      <c r="E21" s="31">
        <v>46187</v>
      </c>
      <c r="F21" s="22"/>
      <c r="G21" s="25"/>
      <c r="H21" s="26"/>
      <c r="I21" s="26"/>
    </row>
    <row r="22" spans="1:9">
      <c r="A22" s="28">
        <v>46144</v>
      </c>
      <c r="B22" s="29" t="s">
        <v>77</v>
      </c>
      <c r="C22" s="22"/>
      <c r="D22" s="34">
        <v>22969</v>
      </c>
      <c r="E22" s="31">
        <v>46189</v>
      </c>
      <c r="F22" s="22"/>
      <c r="G22" s="25"/>
      <c r="H22" s="26"/>
      <c r="I22" s="26"/>
    </row>
    <row r="23" spans="1:9">
      <c r="A23" s="28">
        <v>46149</v>
      </c>
      <c r="B23" s="29" t="s">
        <v>78</v>
      </c>
      <c r="C23" s="22"/>
      <c r="D23" s="30">
        <v>14355</v>
      </c>
      <c r="E23" s="31">
        <v>46150</v>
      </c>
      <c r="F23" s="32">
        <f ca="1">$E$2-E23</f>
        <v>14</v>
      </c>
      <c r="G23" s="25"/>
      <c r="H23" s="26"/>
      <c r="I23" s="26" t="s">
        <v>79</v>
      </c>
    </row>
    <row r="24" spans="1:9">
      <c r="A24" s="28">
        <v>46157</v>
      </c>
      <c r="B24" s="29" t="s">
        <v>80</v>
      </c>
      <c r="C24" s="22"/>
      <c r="D24" s="30">
        <v>3281</v>
      </c>
      <c r="E24" s="31">
        <v>46158</v>
      </c>
      <c r="F24" s="32">
        <f ca="1">$E$2-E24</f>
        <v>6</v>
      </c>
      <c r="G24" s="25"/>
      <c r="H24" s="26"/>
      <c r="I24" s="26" t="s">
        <v>79</v>
      </c>
    </row>
    <row r="25" spans="1:9">
      <c r="A25" s="28">
        <v>46158</v>
      </c>
      <c r="B25" s="29" t="s">
        <v>81</v>
      </c>
      <c r="C25" s="22"/>
      <c r="D25" s="34">
        <v>8756</v>
      </c>
      <c r="E25" s="31">
        <v>46159</v>
      </c>
      <c r="F25" s="32">
        <f ca="1">$E$2-E25</f>
        <v>5</v>
      </c>
      <c r="G25" s="25"/>
      <c r="H25" s="26"/>
      <c r="I25" s="26" t="s">
        <v>79</v>
      </c>
    </row>
    <row r="26" spans="1:9">
      <c r="A26" s="22"/>
      <c r="B26" s="22"/>
      <c r="C26" s="22"/>
      <c r="D26" s="30">
        <v>111503</v>
      </c>
      <c r="E26" s="22"/>
      <c r="F26" s="22"/>
      <c r="G26" s="25"/>
      <c r="H26" s="26"/>
      <c r="I26" s="26"/>
    </row>
    <row r="27" spans="1:9">
      <c r="A27" s="22"/>
      <c r="B27" s="22"/>
      <c r="C27" s="27" t="s">
        <v>83</v>
      </c>
      <c r="D27" s="22"/>
      <c r="E27" s="22"/>
      <c r="F27" s="22"/>
      <c r="G27" s="25"/>
      <c r="H27" s="26"/>
      <c r="I27" s="26"/>
    </row>
    <row r="28" spans="1:9">
      <c r="A28" s="28">
        <v>45705</v>
      </c>
      <c r="B28" s="29" t="s">
        <v>82</v>
      </c>
      <c r="C28" s="22"/>
      <c r="D28" s="30">
        <v>560</v>
      </c>
      <c r="E28" s="31">
        <v>45705</v>
      </c>
      <c r="F28" s="32">
        <f ca="1">$E$2-E28</f>
        <v>459</v>
      </c>
      <c r="G28" s="25"/>
      <c r="H28" s="26"/>
      <c r="I28" s="26" t="s">
        <v>84</v>
      </c>
    </row>
    <row r="29" spans="1:9">
      <c r="A29" s="28">
        <v>45708</v>
      </c>
      <c r="B29" s="29" t="s">
        <v>85</v>
      </c>
      <c r="C29" s="22"/>
      <c r="D29" s="30">
        <v>103.36</v>
      </c>
      <c r="E29" s="31">
        <v>45708</v>
      </c>
      <c r="F29" s="32">
        <f ca="1">$E$2-E29</f>
        <v>456</v>
      </c>
      <c r="G29" s="25"/>
      <c r="H29" s="26"/>
      <c r="I29" s="26" t="s">
        <v>84</v>
      </c>
    </row>
    <row r="30" spans="1:9">
      <c r="A30" s="22"/>
      <c r="B30" s="22"/>
      <c r="C30" s="22"/>
      <c r="D30" s="30">
        <v>663.36</v>
      </c>
      <c r="E30" s="22"/>
      <c r="F30" s="22"/>
      <c r="G30" s="25"/>
      <c r="H30" s="26"/>
      <c r="I30" s="26"/>
    </row>
    <row r="31" spans="1:9">
      <c r="A31" s="22"/>
      <c r="B31" s="22"/>
      <c r="C31" s="27" t="s">
        <v>87</v>
      </c>
      <c r="D31" s="22"/>
      <c r="E31" s="22"/>
      <c r="F31" s="22"/>
      <c r="G31" s="25"/>
      <c r="H31" s="26"/>
      <c r="I31" s="26"/>
    </row>
    <row r="32" spans="1:9">
      <c r="A32" s="28">
        <v>46144</v>
      </c>
      <c r="B32" s="29" t="s">
        <v>86</v>
      </c>
      <c r="C32" s="22"/>
      <c r="D32" s="34">
        <v>14781</v>
      </c>
      <c r="E32" s="31">
        <v>46174</v>
      </c>
      <c r="F32" s="22"/>
      <c r="G32" s="25"/>
      <c r="H32" s="26"/>
      <c r="I32" s="26"/>
    </row>
    <row r="33" spans="1:9">
      <c r="A33" s="28">
        <v>46150</v>
      </c>
      <c r="B33" s="29" t="s">
        <v>88</v>
      </c>
      <c r="C33" s="22"/>
      <c r="D33" s="30">
        <v>12783</v>
      </c>
      <c r="E33" s="31">
        <v>46151</v>
      </c>
      <c r="F33" s="32">
        <f ca="1">$E$2-E33</f>
        <v>13</v>
      </c>
      <c r="G33" s="25">
        <v>12783</v>
      </c>
      <c r="H33" s="25">
        <f>D33-G33</f>
        <v>0</v>
      </c>
      <c r="I33" s="26" t="s">
        <v>89</v>
      </c>
    </row>
    <row r="34" spans="1:9">
      <c r="A34" s="22"/>
      <c r="B34" s="22"/>
      <c r="C34" s="22"/>
      <c r="D34" s="30">
        <v>27564</v>
      </c>
      <c r="E34" s="22"/>
      <c r="F34" s="22"/>
      <c r="G34" s="25"/>
      <c r="H34" s="26"/>
      <c r="I34" s="26"/>
    </row>
    <row r="35" spans="1:9">
      <c r="A35" s="22"/>
      <c r="B35" s="22"/>
      <c r="C35" s="27" t="s">
        <v>43</v>
      </c>
      <c r="D35" s="22"/>
      <c r="E35" s="22"/>
      <c r="F35" s="22"/>
      <c r="G35" s="25"/>
      <c r="H35" s="26"/>
      <c r="I35" s="26"/>
    </row>
    <row r="36" spans="1:9">
      <c r="A36" s="28">
        <v>45667</v>
      </c>
      <c r="B36" s="29" t="s">
        <v>90</v>
      </c>
      <c r="C36" s="22"/>
      <c r="D36" s="30">
        <v>92000</v>
      </c>
      <c r="E36" s="31">
        <v>45667</v>
      </c>
      <c r="F36" s="32">
        <f t="shared" ref="F36:F46" ca="1" si="0">$E$2-E36</f>
        <v>497</v>
      </c>
      <c r="G36" s="25"/>
      <c r="H36" s="26"/>
      <c r="I36" s="26" t="s">
        <v>91</v>
      </c>
    </row>
    <row r="37" spans="1:9">
      <c r="A37" s="28">
        <v>46044</v>
      </c>
      <c r="B37" s="29" t="s">
        <v>92</v>
      </c>
      <c r="C37" s="22"/>
      <c r="D37" s="30">
        <v>74393</v>
      </c>
      <c r="E37" s="31">
        <v>46089</v>
      </c>
      <c r="F37" s="32">
        <f t="shared" ca="1" si="0"/>
        <v>75</v>
      </c>
      <c r="G37" s="25"/>
      <c r="H37" s="26"/>
      <c r="I37" s="26" t="s">
        <v>93</v>
      </c>
    </row>
    <row r="38" spans="1:9">
      <c r="A38" s="28">
        <v>46045</v>
      </c>
      <c r="B38" s="29" t="s">
        <v>94</v>
      </c>
      <c r="C38" s="22"/>
      <c r="D38" s="30">
        <v>263334</v>
      </c>
      <c r="E38" s="31">
        <v>46090</v>
      </c>
      <c r="F38" s="32">
        <f t="shared" ca="1" si="0"/>
        <v>74</v>
      </c>
      <c r="G38" s="25"/>
      <c r="H38" s="26"/>
      <c r="I38" s="26" t="s">
        <v>93</v>
      </c>
    </row>
    <row r="39" spans="1:9">
      <c r="A39" s="28">
        <v>46045</v>
      </c>
      <c r="B39" s="29" t="s">
        <v>95</v>
      </c>
      <c r="C39" s="22"/>
      <c r="D39" s="30">
        <v>60364</v>
      </c>
      <c r="E39" s="31">
        <v>46090</v>
      </c>
      <c r="F39" s="32">
        <f t="shared" ca="1" si="0"/>
        <v>74</v>
      </c>
      <c r="G39" s="25"/>
      <c r="H39" s="26"/>
      <c r="I39" s="26" t="s">
        <v>93</v>
      </c>
    </row>
    <row r="40" spans="1:9">
      <c r="A40" s="28">
        <v>46045</v>
      </c>
      <c r="B40" s="29" t="s">
        <v>96</v>
      </c>
      <c r="C40" s="22"/>
      <c r="D40" s="30">
        <v>30132</v>
      </c>
      <c r="E40" s="31">
        <v>46090</v>
      </c>
      <c r="F40" s="32">
        <f t="shared" ca="1" si="0"/>
        <v>74</v>
      </c>
      <c r="G40" s="25"/>
      <c r="H40" s="26"/>
      <c r="I40" s="26" t="s">
        <v>93</v>
      </c>
    </row>
    <row r="41" spans="1:9">
      <c r="A41" s="28">
        <v>46055</v>
      </c>
      <c r="B41" s="29" t="s">
        <v>97</v>
      </c>
      <c r="C41" s="22"/>
      <c r="D41" s="30">
        <v>304908</v>
      </c>
      <c r="E41" s="31">
        <v>46100</v>
      </c>
      <c r="F41" s="32">
        <f t="shared" ca="1" si="0"/>
        <v>64</v>
      </c>
      <c r="G41" s="25"/>
      <c r="H41" s="26"/>
      <c r="I41" s="26" t="s">
        <v>93</v>
      </c>
    </row>
    <row r="42" spans="1:9">
      <c r="A42" s="28">
        <v>46067</v>
      </c>
      <c r="B42" s="29" t="s">
        <v>98</v>
      </c>
      <c r="C42" s="22"/>
      <c r="D42" s="30">
        <v>51332</v>
      </c>
      <c r="E42" s="31">
        <v>46112</v>
      </c>
      <c r="F42" s="32">
        <f t="shared" ca="1" si="0"/>
        <v>52</v>
      </c>
      <c r="G42" s="25"/>
      <c r="H42" s="26"/>
      <c r="I42" s="26" t="s">
        <v>93</v>
      </c>
    </row>
    <row r="43" spans="1:9">
      <c r="A43" s="28">
        <v>46076</v>
      </c>
      <c r="B43" s="29" t="s">
        <v>99</v>
      </c>
      <c r="C43" s="22"/>
      <c r="D43" s="30">
        <v>11979</v>
      </c>
      <c r="E43" s="31">
        <v>46121</v>
      </c>
      <c r="F43" s="32">
        <f t="shared" ca="1" si="0"/>
        <v>43</v>
      </c>
      <c r="G43" s="25"/>
      <c r="H43" s="26"/>
      <c r="I43" s="26" t="s">
        <v>93</v>
      </c>
    </row>
    <row r="44" spans="1:9">
      <c r="A44" s="28">
        <v>46076</v>
      </c>
      <c r="B44" s="29" t="s">
        <v>100</v>
      </c>
      <c r="C44" s="22"/>
      <c r="D44" s="30">
        <v>6291</v>
      </c>
      <c r="E44" s="31">
        <v>46121</v>
      </c>
      <c r="F44" s="32">
        <f t="shared" ca="1" si="0"/>
        <v>43</v>
      </c>
      <c r="G44" s="25"/>
      <c r="H44" s="26"/>
      <c r="I44" s="26" t="s">
        <v>93</v>
      </c>
    </row>
    <row r="45" spans="1:9">
      <c r="A45" s="28">
        <v>46076</v>
      </c>
      <c r="B45" s="29" t="s">
        <v>101</v>
      </c>
      <c r="C45" s="22"/>
      <c r="D45" s="30">
        <v>7296</v>
      </c>
      <c r="E45" s="31">
        <v>46121</v>
      </c>
      <c r="F45" s="32">
        <f t="shared" ca="1" si="0"/>
        <v>43</v>
      </c>
      <c r="G45" s="25"/>
      <c r="H45" s="26"/>
      <c r="I45" s="26" t="s">
        <v>93</v>
      </c>
    </row>
    <row r="46" spans="1:9">
      <c r="A46" s="28">
        <v>46090</v>
      </c>
      <c r="B46" s="29" t="s">
        <v>102</v>
      </c>
      <c r="C46" s="22"/>
      <c r="D46" s="30">
        <v>17417</v>
      </c>
      <c r="E46" s="31">
        <v>46135</v>
      </c>
      <c r="F46" s="32">
        <f t="shared" ca="1" si="0"/>
        <v>29</v>
      </c>
      <c r="G46" s="25"/>
      <c r="H46" s="26"/>
      <c r="I46" s="26" t="s">
        <v>93</v>
      </c>
    </row>
    <row r="47" spans="1:9">
      <c r="A47" s="28">
        <v>46121</v>
      </c>
      <c r="B47" s="29" t="s">
        <v>103</v>
      </c>
      <c r="C47" s="22"/>
      <c r="D47" s="34">
        <v>188677</v>
      </c>
      <c r="E47" s="31">
        <v>46166</v>
      </c>
      <c r="F47" s="22"/>
      <c r="G47" s="25"/>
      <c r="H47" s="26"/>
      <c r="I47" s="26" t="s">
        <v>93</v>
      </c>
    </row>
    <row r="48" spans="1:9">
      <c r="A48" s="28">
        <v>46121</v>
      </c>
      <c r="B48" s="29" t="s">
        <v>104</v>
      </c>
      <c r="C48" s="22"/>
      <c r="D48" s="34">
        <v>125895</v>
      </c>
      <c r="E48" s="31">
        <v>46166</v>
      </c>
      <c r="F48" s="22"/>
      <c r="G48" s="25"/>
      <c r="H48" s="26"/>
      <c r="I48" s="26" t="s">
        <v>93</v>
      </c>
    </row>
    <row r="49" spans="1:9">
      <c r="A49" s="28">
        <v>46121</v>
      </c>
      <c r="B49" s="29" t="s">
        <v>105</v>
      </c>
      <c r="C49" s="22"/>
      <c r="D49" s="34">
        <v>176081</v>
      </c>
      <c r="E49" s="31">
        <v>46166</v>
      </c>
      <c r="F49" s="22"/>
      <c r="G49" s="25"/>
      <c r="H49" s="26"/>
      <c r="I49" s="26" t="s">
        <v>93</v>
      </c>
    </row>
    <row r="50" spans="1:9">
      <c r="A50" s="28">
        <v>46121</v>
      </c>
      <c r="B50" s="29" t="s">
        <v>106</v>
      </c>
      <c r="C50" s="22"/>
      <c r="D50" s="34">
        <v>101373</v>
      </c>
      <c r="E50" s="31">
        <v>46166</v>
      </c>
      <c r="F50" s="22"/>
      <c r="G50" s="25"/>
      <c r="H50" s="26"/>
      <c r="I50" s="26" t="s">
        <v>93</v>
      </c>
    </row>
    <row r="51" spans="1:9">
      <c r="A51" s="28">
        <v>46121</v>
      </c>
      <c r="B51" s="29" t="s">
        <v>107</v>
      </c>
      <c r="C51" s="22"/>
      <c r="D51" s="34">
        <v>16740</v>
      </c>
      <c r="E51" s="31">
        <v>46166</v>
      </c>
      <c r="F51" s="22"/>
      <c r="G51" s="25"/>
      <c r="H51" s="26"/>
      <c r="I51" s="26" t="s">
        <v>93</v>
      </c>
    </row>
    <row r="52" spans="1:9">
      <c r="A52" s="28">
        <v>46121</v>
      </c>
      <c r="B52" s="29" t="s">
        <v>108</v>
      </c>
      <c r="C52" s="22"/>
      <c r="D52" s="34">
        <v>34833</v>
      </c>
      <c r="E52" s="31">
        <v>46166</v>
      </c>
      <c r="F52" s="22"/>
      <c r="G52" s="25"/>
      <c r="H52" s="26"/>
      <c r="I52" s="26" t="s">
        <v>93</v>
      </c>
    </row>
    <row r="53" spans="1:9">
      <c r="A53" s="28">
        <v>46121</v>
      </c>
      <c r="B53" s="29" t="s">
        <v>109</v>
      </c>
      <c r="C53" s="22"/>
      <c r="D53" s="34">
        <v>743415</v>
      </c>
      <c r="E53" s="31">
        <v>46166</v>
      </c>
      <c r="F53" s="22"/>
      <c r="G53" s="25"/>
      <c r="H53" s="26"/>
      <c r="I53" s="26" t="s">
        <v>93</v>
      </c>
    </row>
    <row r="54" spans="1:9">
      <c r="A54" s="28">
        <v>46121</v>
      </c>
      <c r="B54" s="29" t="s">
        <v>110</v>
      </c>
      <c r="C54" s="22"/>
      <c r="D54" s="34">
        <v>371398</v>
      </c>
      <c r="E54" s="31">
        <v>46166</v>
      </c>
      <c r="F54" s="22"/>
      <c r="G54" s="25"/>
      <c r="H54" s="26"/>
      <c r="I54" s="26" t="s">
        <v>93</v>
      </c>
    </row>
    <row r="55" spans="1:9">
      <c r="A55" s="28">
        <v>46137</v>
      </c>
      <c r="B55" s="29" t="s">
        <v>111</v>
      </c>
      <c r="C55" s="22"/>
      <c r="D55" s="34">
        <v>111145</v>
      </c>
      <c r="E55" s="31">
        <v>46182</v>
      </c>
      <c r="F55" s="22"/>
      <c r="G55" s="25"/>
      <c r="H55" s="26"/>
      <c r="I55" s="26" t="s">
        <v>93</v>
      </c>
    </row>
    <row r="56" spans="1:9">
      <c r="A56" s="28">
        <v>46137</v>
      </c>
      <c r="B56" s="29" t="s">
        <v>112</v>
      </c>
      <c r="C56" s="22"/>
      <c r="D56" s="34">
        <v>119259</v>
      </c>
      <c r="E56" s="31">
        <v>46182</v>
      </c>
      <c r="F56" s="22"/>
      <c r="G56" s="25"/>
      <c r="H56" s="26"/>
      <c r="I56" s="26" t="s">
        <v>93</v>
      </c>
    </row>
    <row r="57" spans="1:9">
      <c r="A57" s="28">
        <v>46139</v>
      </c>
      <c r="B57" s="29" t="s">
        <v>113</v>
      </c>
      <c r="C57" s="22"/>
      <c r="D57" s="30">
        <v>547720</v>
      </c>
      <c r="E57" s="31">
        <v>46140</v>
      </c>
      <c r="F57" s="32">
        <f ca="1">$E$2-E57</f>
        <v>24</v>
      </c>
      <c r="G57" s="25"/>
      <c r="H57" s="26"/>
      <c r="I57" s="26" t="s">
        <v>93</v>
      </c>
    </row>
    <row r="58" spans="1:9">
      <c r="A58" s="28">
        <v>46140</v>
      </c>
      <c r="B58" s="29" t="s">
        <v>114</v>
      </c>
      <c r="C58" s="22"/>
      <c r="D58" s="34">
        <v>348093</v>
      </c>
      <c r="E58" s="31">
        <v>46185</v>
      </c>
      <c r="F58" s="22"/>
      <c r="G58" s="25"/>
      <c r="H58" s="26"/>
      <c r="I58" s="26" t="s">
        <v>93</v>
      </c>
    </row>
    <row r="59" spans="1:9">
      <c r="A59" s="28">
        <v>46140</v>
      </c>
      <c r="B59" s="29" t="s">
        <v>115</v>
      </c>
      <c r="C59" s="22"/>
      <c r="D59" s="30">
        <v>90650</v>
      </c>
      <c r="E59" s="31">
        <v>46141</v>
      </c>
      <c r="F59" s="32">
        <f ca="1">$E$2-E59</f>
        <v>23</v>
      </c>
      <c r="G59" s="25"/>
      <c r="H59" s="26"/>
      <c r="I59" s="26" t="s">
        <v>93</v>
      </c>
    </row>
    <row r="60" spans="1:9">
      <c r="A60" s="28">
        <v>46140</v>
      </c>
      <c r="B60" s="29" t="s">
        <v>116</v>
      </c>
      <c r="C60" s="22"/>
      <c r="D60" s="34">
        <v>292469</v>
      </c>
      <c r="E60" s="31">
        <v>46185</v>
      </c>
      <c r="F60" s="22"/>
      <c r="G60" s="25"/>
      <c r="H60" s="26"/>
      <c r="I60" s="26" t="s">
        <v>93</v>
      </c>
    </row>
    <row r="61" spans="1:9">
      <c r="A61" s="28">
        <v>46140</v>
      </c>
      <c r="B61" s="29" t="s">
        <v>117</v>
      </c>
      <c r="C61" s="22"/>
      <c r="D61" s="34">
        <v>132528</v>
      </c>
      <c r="E61" s="31">
        <v>46185</v>
      </c>
      <c r="F61" s="22"/>
      <c r="G61" s="25"/>
      <c r="H61" s="26"/>
      <c r="I61" s="26" t="s">
        <v>93</v>
      </c>
    </row>
    <row r="62" spans="1:9">
      <c r="A62" s="28">
        <v>46140</v>
      </c>
      <c r="B62" s="29" t="s">
        <v>118</v>
      </c>
      <c r="C62" s="22"/>
      <c r="D62" s="34">
        <v>240230</v>
      </c>
      <c r="E62" s="31">
        <v>46185</v>
      </c>
      <c r="F62" s="22"/>
      <c r="G62" s="25"/>
      <c r="H62" s="26"/>
      <c r="I62" s="26" t="s">
        <v>93</v>
      </c>
    </row>
    <row r="63" spans="1:9">
      <c r="A63" s="28">
        <v>46140</v>
      </c>
      <c r="B63" s="29" t="s">
        <v>119</v>
      </c>
      <c r="C63" s="22"/>
      <c r="D63" s="34">
        <v>204171</v>
      </c>
      <c r="E63" s="31">
        <v>46185</v>
      </c>
      <c r="F63" s="22"/>
      <c r="G63" s="25"/>
      <c r="H63" s="26"/>
      <c r="I63" s="26" t="s">
        <v>93</v>
      </c>
    </row>
    <row r="64" spans="1:9">
      <c r="A64" s="28">
        <v>46141</v>
      </c>
      <c r="B64" s="29" t="s">
        <v>120</v>
      </c>
      <c r="C64" s="22"/>
      <c r="D64" s="30">
        <v>65314</v>
      </c>
      <c r="E64" s="31">
        <v>46142</v>
      </c>
      <c r="F64" s="32">
        <f ca="1">$E$2-E64</f>
        <v>22</v>
      </c>
      <c r="G64" s="25"/>
      <c r="H64" s="26"/>
      <c r="I64" s="26" t="s">
        <v>93</v>
      </c>
    </row>
    <row r="65" spans="1:9">
      <c r="A65" s="28">
        <v>46141</v>
      </c>
      <c r="B65" s="29" t="s">
        <v>121</v>
      </c>
      <c r="C65" s="22"/>
      <c r="D65" s="30">
        <v>107008</v>
      </c>
      <c r="E65" s="31">
        <v>46142</v>
      </c>
      <c r="F65" s="32">
        <f ca="1">$E$2-E65</f>
        <v>22</v>
      </c>
      <c r="G65" s="25"/>
      <c r="H65" s="26"/>
      <c r="I65" s="26" t="s">
        <v>93</v>
      </c>
    </row>
    <row r="66" spans="1:9">
      <c r="A66" s="28">
        <v>46142</v>
      </c>
      <c r="B66" s="29" t="s">
        <v>122</v>
      </c>
      <c r="C66" s="22"/>
      <c r="D66" s="34">
        <v>105959</v>
      </c>
      <c r="E66" s="31">
        <v>46187</v>
      </c>
      <c r="F66" s="22"/>
      <c r="G66" s="25"/>
      <c r="H66" s="26"/>
      <c r="I66" s="26" t="s">
        <v>93</v>
      </c>
    </row>
    <row r="67" spans="1:9">
      <c r="A67" s="28">
        <v>46144</v>
      </c>
      <c r="B67" s="29" t="s">
        <v>123</v>
      </c>
      <c r="C67" s="22"/>
      <c r="D67" s="34">
        <v>84325</v>
      </c>
      <c r="E67" s="31">
        <v>46189</v>
      </c>
      <c r="F67" s="22"/>
      <c r="G67" s="25"/>
      <c r="H67" s="26"/>
      <c r="I67" s="26" t="s">
        <v>93</v>
      </c>
    </row>
    <row r="68" spans="1:9">
      <c r="A68" s="28">
        <v>46148</v>
      </c>
      <c r="B68" s="29" t="s">
        <v>124</v>
      </c>
      <c r="C68" s="22"/>
      <c r="D68" s="34">
        <v>9635</v>
      </c>
      <c r="E68" s="31">
        <v>46193</v>
      </c>
      <c r="F68" s="22"/>
      <c r="G68" s="25"/>
      <c r="H68" s="26"/>
      <c r="I68" s="26" t="s">
        <v>93</v>
      </c>
    </row>
    <row r="69" spans="1:9">
      <c r="A69" s="22"/>
      <c r="B69" s="22"/>
      <c r="C69" s="22"/>
      <c r="D69" s="30">
        <v>5136364</v>
      </c>
      <c r="E69" s="22"/>
      <c r="F69" s="22"/>
      <c r="G69" s="25">
        <v>10000</v>
      </c>
      <c r="H69" s="25">
        <f>D69-G69</f>
        <v>5126364</v>
      </c>
      <c r="I69" s="26"/>
    </row>
    <row r="70" spans="1:9">
      <c r="A70" s="22"/>
      <c r="B70" s="22"/>
      <c r="C70" s="27" t="s">
        <v>126</v>
      </c>
      <c r="D70" s="22"/>
      <c r="E70" s="22"/>
      <c r="F70" s="22"/>
      <c r="G70" s="25"/>
      <c r="H70" s="26"/>
      <c r="I70" s="26"/>
    </row>
    <row r="71" spans="1:9">
      <c r="A71" s="28">
        <v>45682</v>
      </c>
      <c r="B71" s="29" t="s">
        <v>125</v>
      </c>
      <c r="C71" s="22"/>
      <c r="D71" s="30">
        <v>271</v>
      </c>
      <c r="E71" s="31">
        <v>45682</v>
      </c>
      <c r="F71" s="32">
        <f ca="1">$E$2-E71</f>
        <v>482</v>
      </c>
      <c r="G71" s="25"/>
      <c r="H71" s="26"/>
      <c r="I71" s="26" t="s">
        <v>127</v>
      </c>
    </row>
    <row r="72" spans="1:9">
      <c r="A72" s="28">
        <v>45951</v>
      </c>
      <c r="B72" s="29" t="s">
        <v>128</v>
      </c>
      <c r="C72" s="22"/>
      <c r="D72" s="30">
        <v>272</v>
      </c>
      <c r="E72" s="31">
        <v>45952</v>
      </c>
      <c r="F72" s="32">
        <f ca="1">$E$2-E72</f>
        <v>212</v>
      </c>
      <c r="G72" s="25"/>
      <c r="H72" s="26"/>
      <c r="I72" s="26" t="s">
        <v>127</v>
      </c>
    </row>
    <row r="73" spans="1:9">
      <c r="A73" s="22"/>
      <c r="B73" s="22"/>
      <c r="C73" s="22"/>
      <c r="D73" s="30">
        <v>543</v>
      </c>
      <c r="E73" s="22"/>
      <c r="F73" s="22"/>
      <c r="G73" s="25"/>
      <c r="H73" s="26"/>
      <c r="I73" s="26"/>
    </row>
    <row r="74" spans="1:9">
      <c r="A74" s="22"/>
      <c r="B74" s="22"/>
      <c r="C74" s="27" t="s">
        <v>52</v>
      </c>
      <c r="D74" s="22"/>
      <c r="E74" s="22"/>
      <c r="F74" s="22"/>
      <c r="G74" s="25"/>
      <c r="H74" s="26"/>
      <c r="I74" s="26"/>
    </row>
    <row r="75" spans="1:9">
      <c r="A75" s="28">
        <v>46142</v>
      </c>
      <c r="B75" s="29" t="s">
        <v>129</v>
      </c>
      <c r="C75" s="22"/>
      <c r="D75" s="30">
        <v>149682</v>
      </c>
      <c r="E75" s="31">
        <v>46143</v>
      </c>
      <c r="F75" s="32">
        <f ca="1">$E$2-E75</f>
        <v>21</v>
      </c>
      <c r="G75" s="25"/>
      <c r="H75" s="26"/>
      <c r="I75" s="26" t="s">
        <v>131</v>
      </c>
    </row>
    <row r="76" spans="1:9">
      <c r="A76" s="22"/>
      <c r="B76" s="22"/>
      <c r="C76" s="22"/>
      <c r="D76" s="30">
        <v>149682</v>
      </c>
      <c r="E76" s="22"/>
      <c r="F76" s="22"/>
      <c r="G76" s="25"/>
      <c r="H76" s="26"/>
      <c r="I76" s="26"/>
    </row>
    <row r="77" spans="1:9">
      <c r="A77" s="22"/>
      <c r="B77" s="22"/>
      <c r="C77" s="27" t="s">
        <v>133</v>
      </c>
      <c r="D77" s="22"/>
      <c r="E77" s="22"/>
      <c r="F77" s="22"/>
      <c r="G77" s="25"/>
      <c r="H77" s="26"/>
      <c r="I77" s="26"/>
    </row>
    <row r="78" spans="1:9">
      <c r="A78" s="28">
        <v>46102</v>
      </c>
      <c r="B78" s="29" t="s">
        <v>132</v>
      </c>
      <c r="C78" s="22"/>
      <c r="D78" s="30">
        <v>12806</v>
      </c>
      <c r="E78" s="31">
        <v>46102</v>
      </c>
      <c r="F78" s="32">
        <f ca="1">$E$2-E78</f>
        <v>62</v>
      </c>
      <c r="G78" s="25"/>
      <c r="H78" s="26"/>
      <c r="I78" s="26"/>
    </row>
    <row r="79" spans="1:9">
      <c r="A79" s="22"/>
      <c r="B79" s="22"/>
      <c r="C79" s="22"/>
      <c r="D79" s="30">
        <v>12806</v>
      </c>
      <c r="E79" s="22"/>
      <c r="F79" s="22"/>
      <c r="G79" s="25"/>
      <c r="H79" s="26"/>
      <c r="I79" s="26" t="s">
        <v>135</v>
      </c>
    </row>
    <row r="80" spans="1:9">
      <c r="A80" s="22"/>
      <c r="B80" s="22"/>
      <c r="C80" s="27" t="s">
        <v>59</v>
      </c>
      <c r="D80" s="22"/>
      <c r="E80" s="22"/>
      <c r="F80" s="22"/>
      <c r="G80" s="25"/>
      <c r="H80" s="26"/>
      <c r="I80" s="26"/>
    </row>
    <row r="81" spans="1:9">
      <c r="A81" s="28">
        <v>46137</v>
      </c>
      <c r="B81" s="29" t="s">
        <v>134</v>
      </c>
      <c r="C81" s="22"/>
      <c r="D81" s="30">
        <v>111599</v>
      </c>
      <c r="E81" s="31">
        <v>46138</v>
      </c>
      <c r="F81" s="32">
        <f ca="1">$E$2-E81</f>
        <v>26</v>
      </c>
      <c r="G81" s="25"/>
      <c r="H81" s="26"/>
      <c r="I81" s="26" t="str">
        <f>I79</f>
        <v>Not Responding</v>
      </c>
    </row>
    <row r="82" spans="1:9">
      <c r="A82" s="28">
        <v>46144</v>
      </c>
      <c r="B82" s="29" t="s">
        <v>136</v>
      </c>
      <c r="C82" s="22"/>
      <c r="D82" s="34">
        <v>20227</v>
      </c>
      <c r="E82" s="31">
        <v>46169</v>
      </c>
      <c r="F82" s="22"/>
      <c r="G82" s="25"/>
      <c r="H82" s="26"/>
      <c r="I82" s="26"/>
    </row>
    <row r="83" spans="1:9">
      <c r="A83" s="22"/>
      <c r="B83" s="22"/>
      <c r="C83" s="22"/>
      <c r="D83" s="30">
        <v>131826</v>
      </c>
      <c r="E83" s="22"/>
      <c r="F83" s="22"/>
      <c r="G83" s="25"/>
      <c r="H83" s="26"/>
      <c r="I83" s="26"/>
    </row>
    <row r="84" spans="1:9">
      <c r="A84" s="22"/>
      <c r="B84" s="22"/>
      <c r="C84" s="27" t="s">
        <v>138</v>
      </c>
      <c r="D84" s="22"/>
      <c r="E84" s="22"/>
      <c r="F84" s="22"/>
      <c r="G84" s="25"/>
      <c r="H84" s="26"/>
      <c r="I84" s="26"/>
    </row>
    <row r="85" spans="1:9">
      <c r="A85" s="28">
        <v>46137</v>
      </c>
      <c r="B85" s="29" t="s">
        <v>137</v>
      </c>
      <c r="C85" s="22"/>
      <c r="D85" s="30">
        <v>70357</v>
      </c>
      <c r="E85" s="31">
        <v>46137</v>
      </c>
      <c r="F85" s="32">
        <f ca="1">$E$2-E85</f>
        <v>27</v>
      </c>
      <c r="G85" s="25"/>
      <c r="H85" s="26"/>
      <c r="I85" s="26" t="s">
        <v>139</v>
      </c>
    </row>
    <row r="86" spans="1:9">
      <c r="A86" s="22"/>
      <c r="B86" s="22"/>
      <c r="C86" s="22"/>
      <c r="D86" s="30">
        <v>70357</v>
      </c>
      <c r="E86" s="22"/>
      <c r="F86" s="22"/>
      <c r="G86" s="25"/>
      <c r="H86" s="26"/>
      <c r="I86" s="26"/>
    </row>
    <row r="87" spans="1:9">
      <c r="A87" s="22"/>
      <c r="B87" s="22"/>
      <c r="C87" s="35" t="s">
        <v>500</v>
      </c>
      <c r="D87" s="30">
        <v>7826037.0300000003</v>
      </c>
      <c r="E87" s="22"/>
      <c r="F87" s="22"/>
      <c r="G87" s="25" t="str">
        <f ca="1">SUM(G6:G87)</f>
        <v/>
      </c>
      <c r="H87" s="26">
        <f>SUM(H6:H86)</f>
        <v>5126364</v>
      </c>
      <c r="I87" s="26"/>
    </row>
  </sheetData>
  <mergeCells count="3">
    <mergeCell ref="B1:C1"/>
    <mergeCell ref="B2:C2"/>
    <mergeCell ref="D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8"/>
  <sheetViews>
    <sheetView workbookViewId="0"/>
  </sheetViews>
  <sheetFormatPr defaultRowHeight="14.4"/>
  <cols>
    <col min="1" max="1" width="10.33203125" customWidth="1"/>
    <col min="2" max="2" width="19.6640625" customWidth="1"/>
    <col min="3" max="3" width="46.109375" customWidth="1"/>
    <col min="4" max="4" width="12.6640625" customWidth="1"/>
    <col min="5" max="5" width="10.44140625" customWidth="1"/>
    <col min="6" max="6" width="8.44140625" customWidth="1"/>
    <col min="7" max="7" width="13.109375" customWidth="1"/>
    <col min="8" max="8" width="11" customWidth="1"/>
    <col min="9" max="9" width="14" customWidth="1"/>
    <col min="10" max="10" width="35.109375" customWidth="1"/>
    <col min="11" max="11" width="42.109375" customWidth="1"/>
  </cols>
  <sheetData>
    <row r="1" spans="1:12" ht="11.1" customHeight="1">
      <c r="A1" s="36" t="s">
        <v>489</v>
      </c>
      <c r="B1" s="139" t="s">
        <v>501</v>
      </c>
      <c r="C1" s="136"/>
      <c r="D1" s="140"/>
      <c r="E1" s="116"/>
      <c r="F1" s="116"/>
      <c r="G1" s="116"/>
    </row>
    <row r="2" spans="1:12" ht="11.1" customHeight="1">
      <c r="A2" s="36" t="s">
        <v>491</v>
      </c>
      <c r="B2" s="139" t="s">
        <v>492</v>
      </c>
      <c r="C2" s="136"/>
      <c r="D2" s="37" t="s">
        <v>493</v>
      </c>
      <c r="E2" s="38">
        <f ca="1">TODAY()</f>
        <v>46164</v>
      </c>
      <c r="F2" s="39"/>
      <c r="G2" s="39"/>
    </row>
    <row r="3" spans="1:12" s="116" customFormat="1" ht="4.5" customHeight="1"/>
    <row r="4" spans="1:12" ht="11.1" customHeight="1">
      <c r="A4" s="40" t="s">
        <v>4</v>
      </c>
      <c r="B4" s="41" t="s">
        <v>494</v>
      </c>
      <c r="C4" s="40" t="s">
        <v>495</v>
      </c>
      <c r="D4" s="40" t="s">
        <v>502</v>
      </c>
      <c r="E4" s="40" t="s">
        <v>503</v>
      </c>
      <c r="F4" s="40" t="s">
        <v>496</v>
      </c>
      <c r="G4" s="42" t="s">
        <v>11</v>
      </c>
      <c r="H4" s="43" t="s">
        <v>504</v>
      </c>
      <c r="I4" s="43" t="s">
        <v>505</v>
      </c>
      <c r="J4" s="44" t="s">
        <v>498</v>
      </c>
      <c r="K4" s="44" t="s">
        <v>506</v>
      </c>
      <c r="L4" s="113" t="s">
        <v>16</v>
      </c>
    </row>
    <row r="5" spans="1:12" ht="11.1" customHeight="1">
      <c r="A5" s="45"/>
      <c r="B5" s="22"/>
      <c r="C5" s="45"/>
      <c r="D5" s="46"/>
      <c r="E5" s="47"/>
      <c r="F5" s="45"/>
      <c r="G5" s="48"/>
      <c r="H5" s="49"/>
      <c r="I5" s="49"/>
      <c r="J5" s="50"/>
      <c r="K5" s="51"/>
    </row>
    <row r="6" spans="1:12" ht="11.1" customHeight="1">
      <c r="A6" s="45"/>
      <c r="B6" s="45"/>
      <c r="C6" s="52" t="s">
        <v>141</v>
      </c>
      <c r="D6" s="45"/>
      <c r="E6" s="53"/>
      <c r="F6" s="45"/>
      <c r="G6" s="45"/>
      <c r="H6" s="54"/>
      <c r="I6" s="54"/>
      <c r="J6" s="55"/>
      <c r="K6" s="56"/>
      <c r="L6" t="s">
        <v>507</v>
      </c>
    </row>
    <row r="7" spans="1:12" ht="11.1" customHeight="1">
      <c r="A7" s="57">
        <v>46095</v>
      </c>
      <c r="B7" s="58" t="s">
        <v>140</v>
      </c>
      <c r="C7" s="45"/>
      <c r="D7" s="59">
        <v>8075</v>
      </c>
      <c r="E7" s="60">
        <v>8075</v>
      </c>
      <c r="F7" s="61">
        <v>46120</v>
      </c>
      <c r="G7" s="62">
        <f ca="1">$E$2-F7</f>
        <v>44</v>
      </c>
      <c r="H7" s="54"/>
      <c r="I7" s="54">
        <f>E7-H7</f>
        <v>8075</v>
      </c>
      <c r="J7" s="54" t="s">
        <v>79</v>
      </c>
      <c r="K7" s="54" t="s">
        <v>79</v>
      </c>
    </row>
    <row r="8" spans="1:12" ht="11.1" customHeight="1">
      <c r="A8" s="45"/>
      <c r="B8" s="45"/>
      <c r="C8" s="45"/>
      <c r="D8" s="63">
        <v>8075</v>
      </c>
      <c r="E8" s="60">
        <v>8075</v>
      </c>
      <c r="F8" s="45"/>
      <c r="G8" s="45"/>
      <c r="H8" s="54"/>
      <c r="I8" s="54"/>
      <c r="J8" s="55"/>
      <c r="K8" s="56"/>
    </row>
    <row r="9" spans="1:12" ht="11.1" customHeight="1">
      <c r="A9" s="45"/>
      <c r="B9" s="45"/>
      <c r="C9" s="52" t="s">
        <v>143</v>
      </c>
      <c r="D9" s="45"/>
      <c r="E9" s="53"/>
      <c r="F9" s="45"/>
      <c r="G9" s="45"/>
      <c r="H9" s="54"/>
      <c r="I9" s="54"/>
      <c r="J9" s="55"/>
      <c r="K9" s="56"/>
      <c r="L9" t="s">
        <v>508</v>
      </c>
    </row>
    <row r="10" spans="1:12" ht="11.1" customHeight="1">
      <c r="A10" s="57">
        <v>45996</v>
      </c>
      <c r="B10" s="58" t="s">
        <v>142</v>
      </c>
      <c r="C10" s="45"/>
      <c r="D10" s="63">
        <v>30511</v>
      </c>
      <c r="E10" s="60">
        <v>30511</v>
      </c>
      <c r="F10" s="61">
        <v>46021</v>
      </c>
      <c r="G10" s="62">
        <f ca="1">$E$2-F10</f>
        <v>143</v>
      </c>
      <c r="H10" s="54"/>
      <c r="I10" s="54">
        <f>E10-H10</f>
        <v>30511</v>
      </c>
      <c r="J10" s="64" t="s">
        <v>144</v>
      </c>
      <c r="K10" s="56"/>
    </row>
    <row r="11" spans="1:12" ht="11.1" customHeight="1">
      <c r="A11" s="45"/>
      <c r="B11" s="45"/>
      <c r="C11" s="45"/>
      <c r="D11" s="63">
        <v>30511</v>
      </c>
      <c r="E11" s="60">
        <v>30511</v>
      </c>
      <c r="F11" s="45"/>
      <c r="G11" s="45"/>
      <c r="H11" s="54"/>
      <c r="I11" s="54"/>
      <c r="J11" s="55"/>
      <c r="K11" s="56"/>
    </row>
    <row r="12" spans="1:12" ht="11.1" customHeight="1">
      <c r="A12" s="45"/>
      <c r="B12" s="45"/>
      <c r="C12" s="52" t="s">
        <v>146</v>
      </c>
      <c r="D12" s="45"/>
      <c r="E12" s="53"/>
      <c r="F12" s="45"/>
      <c r="G12" s="45"/>
      <c r="H12" s="54"/>
      <c r="I12" s="54"/>
      <c r="J12" s="55"/>
      <c r="K12" s="56"/>
      <c r="L12" t="s">
        <v>509</v>
      </c>
    </row>
    <row r="13" spans="1:12" ht="11.1" customHeight="1">
      <c r="A13" s="57">
        <v>46105</v>
      </c>
      <c r="B13" s="58" t="s">
        <v>145</v>
      </c>
      <c r="C13" s="45"/>
      <c r="D13" s="63">
        <v>1186</v>
      </c>
      <c r="E13" s="60">
        <v>1186</v>
      </c>
      <c r="F13" s="61">
        <v>46130</v>
      </c>
      <c r="G13" s="62">
        <f ca="1">$E$2-F13</f>
        <v>34</v>
      </c>
      <c r="H13" s="54"/>
      <c r="I13" s="54"/>
      <c r="J13" s="55"/>
      <c r="K13" s="56"/>
    </row>
    <row r="14" spans="1:12" ht="11.1" customHeight="1">
      <c r="A14" s="57">
        <v>46156</v>
      </c>
      <c r="B14" s="58" t="s">
        <v>147</v>
      </c>
      <c r="C14" s="45"/>
      <c r="D14" s="63">
        <v>2941</v>
      </c>
      <c r="E14" s="60">
        <v>2941</v>
      </c>
      <c r="F14" s="61">
        <v>46181</v>
      </c>
      <c r="G14" s="45"/>
      <c r="H14" s="54"/>
      <c r="I14" s="54"/>
      <c r="J14" s="55"/>
      <c r="K14" s="56"/>
    </row>
    <row r="15" spans="1:12" ht="11.1" customHeight="1">
      <c r="A15" s="45"/>
      <c r="B15" s="45"/>
      <c r="C15" s="45"/>
      <c r="D15" s="63">
        <v>4127</v>
      </c>
      <c r="E15" s="60">
        <v>4127</v>
      </c>
      <c r="F15" s="45"/>
      <c r="G15" s="45"/>
      <c r="H15" s="54">
        <v>4127</v>
      </c>
      <c r="I15" s="54">
        <f>E15-H15</f>
        <v>0</v>
      </c>
      <c r="J15" s="55" t="s">
        <v>510</v>
      </c>
      <c r="K15" s="56"/>
    </row>
    <row r="16" spans="1:12" ht="11.1" customHeight="1">
      <c r="A16" s="45"/>
      <c r="B16" s="45"/>
      <c r="C16" s="52" t="s">
        <v>149</v>
      </c>
      <c r="D16" s="45"/>
      <c r="E16" s="53"/>
      <c r="F16" s="45"/>
      <c r="G16" s="45"/>
      <c r="H16" s="54"/>
      <c r="I16" s="54"/>
      <c r="J16" s="55"/>
      <c r="K16" s="56"/>
    </row>
    <row r="17" spans="1:12" ht="11.1" customHeight="1">
      <c r="A17" s="57">
        <v>46105</v>
      </c>
      <c r="B17" s="58" t="s">
        <v>148</v>
      </c>
      <c r="C17" s="45"/>
      <c r="D17" s="63">
        <v>5152</v>
      </c>
      <c r="E17" s="60">
        <v>5152</v>
      </c>
      <c r="F17" s="61">
        <v>46130</v>
      </c>
      <c r="G17" s="62">
        <f ca="1">$E$2-F17</f>
        <v>34</v>
      </c>
      <c r="H17" s="54"/>
      <c r="I17" s="54">
        <f>E17-H17</f>
        <v>5152</v>
      </c>
      <c r="J17" s="55" t="s">
        <v>150</v>
      </c>
      <c r="K17" s="56"/>
    </row>
    <row r="18" spans="1:12" ht="11.1" customHeight="1">
      <c r="A18" s="45"/>
      <c r="B18" s="45"/>
      <c r="C18" s="45"/>
      <c r="D18" s="63">
        <v>5152</v>
      </c>
      <c r="E18" s="60">
        <v>5152</v>
      </c>
      <c r="F18" s="45"/>
      <c r="G18" s="45"/>
      <c r="H18" s="54"/>
      <c r="I18" s="54"/>
      <c r="J18" s="55"/>
      <c r="K18" s="56"/>
    </row>
    <row r="19" spans="1:12" ht="11.1" customHeight="1">
      <c r="A19" s="45"/>
      <c r="B19" s="45"/>
      <c r="C19" s="52" t="s">
        <v>152</v>
      </c>
      <c r="D19" s="45"/>
      <c r="E19" s="53"/>
      <c r="F19" s="45"/>
      <c r="G19" s="45"/>
      <c r="H19" s="54"/>
      <c r="I19" s="54"/>
      <c r="J19" s="55"/>
      <c r="K19" s="56"/>
      <c r="L19" t="s">
        <v>511</v>
      </c>
    </row>
    <row r="20" spans="1:12" ht="11.1" customHeight="1">
      <c r="A20" s="57">
        <v>45975</v>
      </c>
      <c r="B20" s="58" t="s">
        <v>151</v>
      </c>
      <c r="C20" s="45"/>
      <c r="D20" s="63">
        <v>3540</v>
      </c>
      <c r="E20" s="60">
        <v>2900</v>
      </c>
      <c r="F20" s="61">
        <v>46000</v>
      </c>
      <c r="G20" s="62">
        <f ca="1">$E$2-F20</f>
        <v>164</v>
      </c>
      <c r="H20" s="54"/>
      <c r="I20" s="54">
        <f>E20-H20</f>
        <v>2900</v>
      </c>
      <c r="J20" s="55" t="s">
        <v>153</v>
      </c>
      <c r="K20" s="56"/>
    </row>
    <row r="21" spans="1:12" ht="11.1" customHeight="1">
      <c r="A21" s="57">
        <v>46069</v>
      </c>
      <c r="B21" s="58" t="s">
        <v>154</v>
      </c>
      <c r="C21" s="45"/>
      <c r="D21" s="63">
        <v>2044</v>
      </c>
      <c r="E21" s="60">
        <v>2044</v>
      </c>
      <c r="F21" s="61">
        <v>46094</v>
      </c>
      <c r="G21" s="62">
        <f ca="1">$E$2-F21</f>
        <v>70</v>
      </c>
      <c r="H21" s="54"/>
      <c r="I21" s="54">
        <f>E21-H21</f>
        <v>2044</v>
      </c>
      <c r="J21" s="55" t="s">
        <v>153</v>
      </c>
      <c r="K21" s="56"/>
    </row>
    <row r="22" spans="1:12" ht="11.1" customHeight="1">
      <c r="A22" s="45"/>
      <c r="B22" s="45"/>
      <c r="C22" s="45"/>
      <c r="D22" s="63">
        <v>5584</v>
      </c>
      <c r="E22" s="60">
        <v>4944</v>
      </c>
      <c r="F22" s="45"/>
      <c r="G22" s="45"/>
      <c r="H22" s="54"/>
      <c r="I22" s="54"/>
      <c r="J22" s="55"/>
      <c r="K22" s="56"/>
    </row>
    <row r="23" spans="1:12" ht="11.1" customHeight="1">
      <c r="A23" s="45"/>
      <c r="B23" s="45"/>
      <c r="C23" s="52" t="s">
        <v>156</v>
      </c>
      <c r="D23" s="45"/>
      <c r="E23" s="53"/>
      <c r="F23" s="45"/>
      <c r="G23" s="45"/>
      <c r="H23" s="54"/>
      <c r="I23" s="54"/>
      <c r="J23" s="55"/>
      <c r="K23" s="56"/>
    </row>
    <row r="24" spans="1:12" ht="11.1" customHeight="1">
      <c r="A24" s="57">
        <v>46088</v>
      </c>
      <c r="B24" s="58" t="s">
        <v>155</v>
      </c>
      <c r="C24" s="45"/>
      <c r="D24" s="63">
        <v>2472</v>
      </c>
      <c r="E24" s="60">
        <v>2472</v>
      </c>
      <c r="F24" s="61">
        <v>46113</v>
      </c>
      <c r="G24" s="62">
        <f ca="1">$E$2-F24</f>
        <v>51</v>
      </c>
      <c r="H24" s="54"/>
      <c r="I24" s="54">
        <f>E24-H24</f>
        <v>2472</v>
      </c>
      <c r="J24" s="55" t="s">
        <v>157</v>
      </c>
      <c r="K24" s="55" t="s">
        <v>512</v>
      </c>
    </row>
    <row r="25" spans="1:12" ht="11.1" customHeight="1">
      <c r="A25" s="45"/>
      <c r="B25" s="45"/>
      <c r="C25" s="45"/>
      <c r="D25" s="63">
        <v>2472</v>
      </c>
      <c r="E25" s="60">
        <v>2472</v>
      </c>
      <c r="F25" s="45"/>
      <c r="G25" s="45"/>
      <c r="H25" s="54"/>
      <c r="I25" s="54"/>
      <c r="J25" s="55"/>
      <c r="K25" s="56"/>
    </row>
    <row r="26" spans="1:12" ht="11.1" customHeight="1">
      <c r="A26" s="45"/>
      <c r="B26" s="45"/>
      <c r="C26" s="52" t="s">
        <v>159</v>
      </c>
      <c r="D26" s="45"/>
      <c r="E26" s="53"/>
      <c r="F26" s="45"/>
      <c r="G26" s="45"/>
      <c r="H26" s="54"/>
      <c r="I26" s="54"/>
      <c r="J26" s="55"/>
      <c r="K26" s="55" t="s">
        <v>79</v>
      </c>
    </row>
    <row r="27" spans="1:12" ht="11.1" customHeight="1">
      <c r="A27" s="57">
        <v>46105</v>
      </c>
      <c r="B27" s="58" t="s">
        <v>158</v>
      </c>
      <c r="C27" s="45"/>
      <c r="D27" s="63">
        <v>381</v>
      </c>
      <c r="E27" s="60">
        <v>381</v>
      </c>
      <c r="F27" s="61">
        <v>46130</v>
      </c>
      <c r="G27" s="62">
        <f ca="1">$E$2-F27</f>
        <v>34</v>
      </c>
      <c r="H27" s="54"/>
      <c r="I27" s="54">
        <f>E27-H27</f>
        <v>381</v>
      </c>
      <c r="J27" s="55"/>
      <c r="K27" s="55" t="s">
        <v>79</v>
      </c>
    </row>
    <row r="28" spans="1:12" ht="11.1" customHeight="1">
      <c r="A28" s="57">
        <v>46123</v>
      </c>
      <c r="B28" s="58" t="s">
        <v>160</v>
      </c>
      <c r="C28" s="45"/>
      <c r="D28" s="63">
        <v>8874</v>
      </c>
      <c r="E28" s="60">
        <v>8874</v>
      </c>
      <c r="F28" s="61">
        <v>46148</v>
      </c>
      <c r="G28" s="62">
        <f ca="1">$E$2-F28</f>
        <v>16</v>
      </c>
      <c r="H28" s="54"/>
      <c r="I28" s="54">
        <f>E28-H28</f>
        <v>8874</v>
      </c>
      <c r="J28" s="55"/>
      <c r="K28" s="55" t="s">
        <v>79</v>
      </c>
    </row>
    <row r="29" spans="1:12" ht="11.1" customHeight="1">
      <c r="A29" s="45"/>
      <c r="B29" s="45"/>
      <c r="C29" s="45"/>
      <c r="D29" s="63">
        <v>9255</v>
      </c>
      <c r="E29" s="60">
        <v>9255</v>
      </c>
      <c r="F29" s="45"/>
      <c r="G29" s="45"/>
      <c r="H29" s="54"/>
      <c r="I29" s="54"/>
      <c r="J29" s="55"/>
      <c r="K29" s="56"/>
    </row>
    <row r="30" spans="1:12" ht="11.1" customHeight="1">
      <c r="A30" s="45"/>
      <c r="B30" s="45"/>
      <c r="C30" s="52" t="s">
        <v>162</v>
      </c>
      <c r="D30" s="45"/>
      <c r="E30" s="53"/>
      <c r="F30" s="45"/>
      <c r="G30" s="45"/>
      <c r="H30" s="54"/>
      <c r="I30" s="54"/>
      <c r="J30" s="55"/>
      <c r="K30" s="56"/>
      <c r="L30" t="s">
        <v>513</v>
      </c>
    </row>
    <row r="31" spans="1:12" ht="11.1" customHeight="1">
      <c r="A31" s="57">
        <v>46104</v>
      </c>
      <c r="B31" s="58" t="s">
        <v>161</v>
      </c>
      <c r="C31" s="45"/>
      <c r="D31" s="63">
        <v>1982</v>
      </c>
      <c r="E31" s="60">
        <v>2</v>
      </c>
      <c r="F31" s="61">
        <v>46129</v>
      </c>
      <c r="G31" s="62">
        <f ca="1">$E$2-F31</f>
        <v>35</v>
      </c>
      <c r="H31" s="54"/>
      <c r="I31" s="54">
        <f>E31-H31</f>
        <v>2</v>
      </c>
      <c r="J31" s="55"/>
      <c r="K31" s="56"/>
    </row>
    <row r="32" spans="1:12" ht="11.1" customHeight="1">
      <c r="A32" s="45"/>
      <c r="B32" s="45"/>
      <c r="C32" s="45"/>
      <c r="D32" s="63">
        <v>1982</v>
      </c>
      <c r="E32" s="60">
        <v>2</v>
      </c>
      <c r="F32" s="45"/>
      <c r="G32" s="45"/>
      <c r="H32" s="54"/>
      <c r="I32" s="54"/>
      <c r="J32" s="55"/>
      <c r="K32" s="56"/>
    </row>
    <row r="33" spans="1:12" ht="11.1" customHeight="1">
      <c r="A33" s="45"/>
      <c r="B33" s="45"/>
      <c r="C33" s="52" t="s">
        <v>164</v>
      </c>
      <c r="D33" s="45"/>
      <c r="E33" s="53"/>
      <c r="F33" s="45"/>
      <c r="G33" s="45"/>
      <c r="H33" s="54"/>
      <c r="I33" s="54"/>
      <c r="J33" s="55"/>
      <c r="K33" s="56"/>
      <c r="L33" t="s">
        <v>514</v>
      </c>
    </row>
    <row r="34" spans="1:12" ht="11.1" customHeight="1">
      <c r="A34" s="57">
        <v>46095</v>
      </c>
      <c r="B34" s="58" t="s">
        <v>163</v>
      </c>
      <c r="C34" s="45"/>
      <c r="D34" s="63">
        <v>2561</v>
      </c>
      <c r="E34" s="60">
        <v>2561</v>
      </c>
      <c r="F34" s="61">
        <v>46120</v>
      </c>
      <c r="G34" s="62">
        <f ca="1">$E$2-F34</f>
        <v>44</v>
      </c>
      <c r="H34" s="54"/>
      <c r="I34" s="54">
        <f>E34-H34</f>
        <v>2561</v>
      </c>
      <c r="J34" s="55"/>
      <c r="K34" s="56"/>
    </row>
    <row r="35" spans="1:12" ht="11.1" customHeight="1">
      <c r="A35" s="45"/>
      <c r="B35" s="45"/>
      <c r="C35" s="45"/>
      <c r="D35" s="63">
        <v>2561</v>
      </c>
      <c r="E35" s="60">
        <v>2561</v>
      </c>
      <c r="F35" s="45"/>
      <c r="G35" s="45"/>
      <c r="H35" s="54"/>
      <c r="I35" s="54"/>
      <c r="J35" s="55"/>
      <c r="K35" s="56"/>
    </row>
    <row r="36" spans="1:12" ht="11.1" customHeight="1">
      <c r="A36" s="45"/>
      <c r="B36" s="45"/>
      <c r="C36" s="52" t="s">
        <v>166</v>
      </c>
      <c r="D36" s="45"/>
      <c r="E36" s="53"/>
      <c r="F36" s="45"/>
      <c r="G36" s="45"/>
      <c r="H36" s="54"/>
      <c r="I36" s="54"/>
      <c r="J36" s="55"/>
      <c r="K36" s="56"/>
      <c r="L36" t="s">
        <v>515</v>
      </c>
    </row>
    <row r="37" spans="1:12" ht="11.1" customHeight="1">
      <c r="A37" s="57">
        <v>46090</v>
      </c>
      <c r="B37" s="58" t="s">
        <v>165</v>
      </c>
      <c r="C37" s="45"/>
      <c r="D37" s="63">
        <v>4181</v>
      </c>
      <c r="E37" s="60">
        <v>4181</v>
      </c>
      <c r="F37" s="61">
        <v>46115</v>
      </c>
      <c r="G37" s="62">
        <f ca="1">$E$2-F37</f>
        <v>49</v>
      </c>
      <c r="H37" s="54"/>
      <c r="I37" s="54">
        <f>E37-H37</f>
        <v>4181</v>
      </c>
      <c r="J37" s="55"/>
      <c r="K37" s="56"/>
    </row>
    <row r="38" spans="1:12" ht="11.1" customHeight="1">
      <c r="A38" s="57">
        <v>46107</v>
      </c>
      <c r="B38" s="58" t="s">
        <v>167</v>
      </c>
      <c r="C38" s="45"/>
      <c r="D38" s="63">
        <v>947</v>
      </c>
      <c r="E38" s="60">
        <v>947</v>
      </c>
      <c r="F38" s="61">
        <v>46132</v>
      </c>
      <c r="G38" s="62">
        <f ca="1">$E$2-F38</f>
        <v>32</v>
      </c>
      <c r="H38" s="54"/>
      <c r="I38" s="54">
        <f>E38-H38</f>
        <v>947</v>
      </c>
      <c r="J38" s="55"/>
      <c r="K38" s="56"/>
    </row>
    <row r="39" spans="1:12" ht="11.1" customHeight="1">
      <c r="A39" s="45"/>
      <c r="B39" s="45"/>
      <c r="C39" s="45"/>
      <c r="D39" s="63">
        <v>5128</v>
      </c>
      <c r="E39" s="60">
        <v>5128</v>
      </c>
      <c r="F39" s="45"/>
      <c r="G39" s="45"/>
      <c r="H39" s="54"/>
      <c r="I39" s="54"/>
      <c r="J39" s="55"/>
      <c r="K39" s="55" t="s">
        <v>516</v>
      </c>
    </row>
    <row r="40" spans="1:12" ht="11.1" customHeight="1">
      <c r="A40" s="45"/>
      <c r="B40" s="45"/>
      <c r="C40" s="65" t="s">
        <v>169</v>
      </c>
      <c r="D40" s="45"/>
      <c r="E40" s="53"/>
      <c r="F40" s="45"/>
      <c r="G40" s="45"/>
      <c r="H40" s="54"/>
      <c r="I40" s="54"/>
      <c r="J40" s="55"/>
      <c r="K40" s="56"/>
    </row>
    <row r="41" spans="1:12" ht="11.1" customHeight="1">
      <c r="A41" s="57">
        <v>45489</v>
      </c>
      <c r="B41" s="58" t="s">
        <v>168</v>
      </c>
      <c r="C41" s="45"/>
      <c r="D41" s="63">
        <v>35769</v>
      </c>
      <c r="E41" s="60">
        <v>34687</v>
      </c>
      <c r="F41" s="61">
        <v>45514</v>
      </c>
      <c r="G41" s="62">
        <f ca="1">$E$2-F41</f>
        <v>650</v>
      </c>
      <c r="H41" s="54"/>
      <c r="I41" s="54">
        <f>E41-H41</f>
        <v>34687</v>
      </c>
      <c r="J41" s="55"/>
      <c r="K41" s="56"/>
    </row>
    <row r="42" spans="1:12" ht="11.1" customHeight="1">
      <c r="A42" s="57">
        <v>45510</v>
      </c>
      <c r="B42" s="58" t="s">
        <v>170</v>
      </c>
      <c r="C42" s="45"/>
      <c r="D42" s="63">
        <v>596</v>
      </c>
      <c r="E42" s="60">
        <v>596</v>
      </c>
      <c r="F42" s="61">
        <v>45535</v>
      </c>
      <c r="G42" s="62">
        <f ca="1">$E$2-F42</f>
        <v>629</v>
      </c>
      <c r="H42" s="54"/>
      <c r="I42" s="54">
        <f>E42-H42</f>
        <v>596</v>
      </c>
      <c r="J42" s="55"/>
      <c r="K42" s="56"/>
    </row>
    <row r="43" spans="1:12" ht="11.1" customHeight="1">
      <c r="A43" s="57">
        <v>45533</v>
      </c>
      <c r="B43" s="58" t="s">
        <v>171</v>
      </c>
      <c r="C43" s="45"/>
      <c r="D43" s="63">
        <v>43301</v>
      </c>
      <c r="E43" s="60">
        <v>24001</v>
      </c>
      <c r="F43" s="61">
        <v>45558</v>
      </c>
      <c r="G43" s="62">
        <f ca="1">$E$2-F43</f>
        <v>606</v>
      </c>
      <c r="H43" s="54"/>
      <c r="I43" s="54">
        <f>E43-H43</f>
        <v>24001</v>
      </c>
      <c r="J43" s="55"/>
      <c r="K43" s="56"/>
    </row>
    <row r="44" spans="1:12" ht="11.1" customHeight="1">
      <c r="A44" s="45"/>
      <c r="B44" s="45"/>
      <c r="C44" s="45"/>
      <c r="D44" s="63">
        <v>79666</v>
      </c>
      <c r="E44" s="60">
        <v>59284</v>
      </c>
      <c r="F44" s="45"/>
      <c r="G44" s="45"/>
      <c r="H44" s="54"/>
      <c r="I44" s="54"/>
      <c r="J44" s="55"/>
      <c r="K44" s="56"/>
    </row>
    <row r="45" spans="1:12" ht="11.1" customHeight="1">
      <c r="A45" s="45"/>
      <c r="B45" s="45"/>
      <c r="C45" s="52" t="s">
        <v>173</v>
      </c>
      <c r="D45" s="45"/>
      <c r="E45" s="53"/>
      <c r="F45" s="45"/>
      <c r="G45" s="45"/>
      <c r="H45" s="54"/>
      <c r="I45" s="54"/>
      <c r="J45" s="55"/>
      <c r="K45" s="56"/>
      <c r="L45" t="s">
        <v>517</v>
      </c>
    </row>
    <row r="46" spans="1:12" ht="11.1" customHeight="1">
      <c r="A46" s="57">
        <v>46120</v>
      </c>
      <c r="B46" s="58" t="s">
        <v>172</v>
      </c>
      <c r="C46" s="45"/>
      <c r="D46" s="63">
        <v>5566</v>
      </c>
      <c r="E46" s="60">
        <v>5566</v>
      </c>
      <c r="F46" s="61">
        <v>46145</v>
      </c>
      <c r="G46" s="62">
        <f ca="1">$E$2-F46</f>
        <v>19</v>
      </c>
      <c r="H46" s="54"/>
      <c r="I46" s="54"/>
      <c r="J46" s="55"/>
      <c r="K46" s="56"/>
    </row>
    <row r="47" spans="1:12" ht="11.1" customHeight="1">
      <c r="A47" s="45"/>
      <c r="B47" s="45"/>
      <c r="C47" s="45"/>
      <c r="D47" s="63">
        <v>5566</v>
      </c>
      <c r="E47" s="60">
        <v>5566</v>
      </c>
      <c r="F47" s="45"/>
      <c r="G47" s="45"/>
      <c r="H47" s="54">
        <v>5566</v>
      </c>
      <c r="I47" s="54">
        <f>E47-H47</f>
        <v>0</v>
      </c>
      <c r="J47" s="55"/>
      <c r="K47" s="56"/>
    </row>
    <row r="48" spans="1:12" ht="11.1" customHeight="1">
      <c r="A48" s="45"/>
      <c r="B48" s="45"/>
      <c r="C48" s="52" t="s">
        <v>175</v>
      </c>
      <c r="D48" s="45"/>
      <c r="E48" s="53"/>
      <c r="F48" s="45"/>
      <c r="G48" s="45"/>
      <c r="H48" s="54"/>
      <c r="I48" s="54"/>
      <c r="J48" s="55"/>
      <c r="K48" s="56"/>
    </row>
    <row r="49" spans="1:12" ht="11.1" customHeight="1">
      <c r="A49" s="57">
        <v>46129</v>
      </c>
      <c r="B49" s="58" t="s">
        <v>174</v>
      </c>
      <c r="C49" s="45"/>
      <c r="D49" s="63">
        <v>4427</v>
      </c>
      <c r="E49" s="60">
        <v>4427</v>
      </c>
      <c r="F49" s="61">
        <v>46154</v>
      </c>
      <c r="G49" s="62">
        <f ca="1">$E$2-F49</f>
        <v>10</v>
      </c>
      <c r="H49" s="54"/>
      <c r="I49" s="54"/>
      <c r="J49" s="55"/>
      <c r="K49" s="56"/>
    </row>
    <row r="50" spans="1:12" ht="11.1" customHeight="1">
      <c r="A50" s="57">
        <v>46149</v>
      </c>
      <c r="B50" s="58" t="s">
        <v>176</v>
      </c>
      <c r="C50" s="45"/>
      <c r="D50" s="63">
        <v>2945</v>
      </c>
      <c r="E50" s="59">
        <v>2945</v>
      </c>
      <c r="F50" s="61">
        <v>46174</v>
      </c>
      <c r="G50" s="45"/>
      <c r="H50" s="54"/>
      <c r="I50" s="54"/>
      <c r="J50" s="55"/>
      <c r="K50" s="56"/>
    </row>
    <row r="51" spans="1:12" ht="11.1" customHeight="1">
      <c r="A51" s="45"/>
      <c r="B51" s="45"/>
      <c r="C51" s="45"/>
      <c r="D51" s="63">
        <v>7372</v>
      </c>
      <c r="E51" s="60">
        <v>7372</v>
      </c>
      <c r="F51" s="45"/>
      <c r="G51" s="45"/>
      <c r="H51" s="54">
        <v>0</v>
      </c>
      <c r="I51" s="54">
        <f>E51-H51</f>
        <v>7372</v>
      </c>
      <c r="J51" s="66" t="s">
        <v>518</v>
      </c>
      <c r="K51" s="56"/>
    </row>
    <row r="52" spans="1:12" ht="11.1" customHeight="1">
      <c r="A52" s="45"/>
      <c r="B52" s="45"/>
      <c r="C52" s="52" t="s">
        <v>178</v>
      </c>
      <c r="D52" s="45"/>
      <c r="E52" s="53"/>
      <c r="F52" s="45"/>
      <c r="G52" s="45"/>
      <c r="H52" s="54"/>
      <c r="I52" s="54"/>
      <c r="J52" s="55"/>
      <c r="K52" s="56"/>
    </row>
    <row r="53" spans="1:12" ht="11.1" customHeight="1">
      <c r="A53" s="57">
        <v>45915</v>
      </c>
      <c r="B53" s="58" t="s">
        <v>177</v>
      </c>
      <c r="C53" s="45"/>
      <c r="D53" s="63">
        <v>137351</v>
      </c>
      <c r="E53" s="60">
        <v>1771</v>
      </c>
      <c r="F53" s="61">
        <v>45940</v>
      </c>
      <c r="G53" s="62">
        <f ca="1">$E$2-F53</f>
        <v>224</v>
      </c>
      <c r="H53" s="54"/>
      <c r="I53" s="54">
        <f>E53-H53</f>
        <v>1771</v>
      </c>
      <c r="J53" s="55" t="s">
        <v>179</v>
      </c>
      <c r="K53" s="56"/>
    </row>
    <row r="54" spans="1:12" ht="11.1" customHeight="1">
      <c r="A54" s="57">
        <v>46158</v>
      </c>
      <c r="B54" s="58" t="s">
        <v>180</v>
      </c>
      <c r="C54" s="45"/>
      <c r="D54" s="63">
        <v>7266</v>
      </c>
      <c r="E54" s="59">
        <v>7266</v>
      </c>
      <c r="F54" s="61">
        <v>46183</v>
      </c>
      <c r="G54" s="45"/>
      <c r="H54" s="54"/>
      <c r="I54" s="54"/>
      <c r="J54" s="55"/>
      <c r="K54" s="56"/>
    </row>
    <row r="55" spans="1:12" ht="11.1" customHeight="1">
      <c r="A55" s="57">
        <v>46158</v>
      </c>
      <c r="B55" s="58" t="s">
        <v>181</v>
      </c>
      <c r="C55" s="45"/>
      <c r="D55" s="63">
        <v>1244</v>
      </c>
      <c r="E55" s="59">
        <v>1244</v>
      </c>
      <c r="F55" s="61">
        <v>46183</v>
      </c>
      <c r="G55" s="45"/>
      <c r="H55" s="54"/>
      <c r="I55" s="54"/>
      <c r="J55" s="55"/>
      <c r="K55" s="56"/>
    </row>
    <row r="56" spans="1:12" ht="11.1" customHeight="1">
      <c r="A56" s="57">
        <v>46158</v>
      </c>
      <c r="B56" s="58" t="s">
        <v>182</v>
      </c>
      <c r="C56" s="45"/>
      <c r="D56" s="63">
        <v>830</v>
      </c>
      <c r="E56" s="59">
        <v>830</v>
      </c>
      <c r="F56" s="61">
        <v>46183</v>
      </c>
      <c r="G56" s="45"/>
      <c r="H56" s="54"/>
      <c r="I56" s="54"/>
      <c r="J56" s="55"/>
      <c r="K56" s="56"/>
    </row>
    <row r="57" spans="1:12" ht="11.1" customHeight="1">
      <c r="A57" s="45"/>
      <c r="B57" s="45"/>
      <c r="C57" s="45"/>
      <c r="D57" s="63">
        <v>146691</v>
      </c>
      <c r="E57" s="60">
        <v>11111</v>
      </c>
      <c r="F57" s="45"/>
      <c r="G57" s="45"/>
      <c r="H57" s="54"/>
      <c r="I57" s="54"/>
      <c r="J57" s="55"/>
      <c r="K57" s="56"/>
    </row>
    <row r="58" spans="1:12" ht="11.1" customHeight="1">
      <c r="A58" s="45"/>
      <c r="B58" s="45"/>
      <c r="C58" s="52" t="s">
        <v>184</v>
      </c>
      <c r="D58" s="45"/>
      <c r="E58" s="53"/>
      <c r="F58" s="45"/>
      <c r="G58" s="45"/>
      <c r="H58" s="54"/>
      <c r="I58" s="54"/>
      <c r="J58" s="55"/>
      <c r="K58" s="56"/>
      <c r="L58" t="s">
        <v>519</v>
      </c>
    </row>
    <row r="59" spans="1:12" ht="11.1" customHeight="1">
      <c r="A59" s="57">
        <v>45985</v>
      </c>
      <c r="B59" s="58" t="s">
        <v>183</v>
      </c>
      <c r="C59" s="45"/>
      <c r="D59" s="63">
        <v>10978</v>
      </c>
      <c r="E59" s="60">
        <v>180</v>
      </c>
      <c r="F59" s="61">
        <v>46010</v>
      </c>
      <c r="G59" s="62">
        <f ca="1">$E$2-F59</f>
        <v>154</v>
      </c>
      <c r="H59" s="54"/>
      <c r="I59" s="54">
        <f>E59-H59</f>
        <v>180</v>
      </c>
      <c r="J59" s="55"/>
      <c r="K59" s="56"/>
    </row>
    <row r="60" spans="1:12" ht="11.1" customHeight="1">
      <c r="A60" s="57">
        <v>46092</v>
      </c>
      <c r="B60" s="58" t="s">
        <v>185</v>
      </c>
      <c r="C60" s="45"/>
      <c r="D60" s="63">
        <v>22195</v>
      </c>
      <c r="E60" s="60">
        <v>22195</v>
      </c>
      <c r="F60" s="61">
        <v>46117</v>
      </c>
      <c r="G60" s="62">
        <f ca="1">$E$2-F60</f>
        <v>47</v>
      </c>
      <c r="H60" s="54"/>
      <c r="I60" s="54">
        <f>E60-H60</f>
        <v>22195</v>
      </c>
      <c r="J60" s="55"/>
      <c r="K60" s="56"/>
    </row>
    <row r="61" spans="1:12" ht="11.1" customHeight="1">
      <c r="A61" s="57">
        <v>46098</v>
      </c>
      <c r="B61" s="58" t="s">
        <v>186</v>
      </c>
      <c r="C61" s="45"/>
      <c r="D61" s="63">
        <v>15116</v>
      </c>
      <c r="E61" s="60">
        <v>15116</v>
      </c>
      <c r="F61" s="61">
        <v>46123</v>
      </c>
      <c r="G61" s="62">
        <f ca="1">$E$2-F61</f>
        <v>41</v>
      </c>
      <c r="H61" s="54"/>
      <c r="I61" s="54">
        <f>E61-H61</f>
        <v>15116</v>
      </c>
      <c r="J61" s="55"/>
      <c r="K61" s="56"/>
    </row>
    <row r="62" spans="1:12" ht="11.1" customHeight="1">
      <c r="A62" s="45"/>
      <c r="B62" s="45"/>
      <c r="C62" s="45"/>
      <c r="D62" s="63">
        <v>48289</v>
      </c>
      <c r="E62" s="60">
        <v>37491</v>
      </c>
      <c r="F62" s="45"/>
      <c r="G62" s="45"/>
      <c r="H62" s="54"/>
      <c r="I62" s="54"/>
      <c r="J62" s="58" t="s">
        <v>520</v>
      </c>
      <c r="K62" s="56"/>
    </row>
    <row r="63" spans="1:12" ht="11.1" customHeight="1">
      <c r="A63" s="45"/>
      <c r="B63" s="45"/>
      <c r="C63" s="52" t="s">
        <v>188</v>
      </c>
      <c r="D63" s="45"/>
      <c r="E63" s="53"/>
      <c r="F63" s="45"/>
      <c r="G63" s="45"/>
      <c r="H63" s="54"/>
      <c r="I63" s="54"/>
      <c r="J63" s="55"/>
      <c r="K63" s="56"/>
    </row>
    <row r="64" spans="1:12" ht="11.1" customHeight="1">
      <c r="A64" s="57">
        <v>46010</v>
      </c>
      <c r="B64" s="58" t="s">
        <v>187</v>
      </c>
      <c r="C64" s="45"/>
      <c r="D64" s="63">
        <v>500</v>
      </c>
      <c r="E64" s="60">
        <v>500</v>
      </c>
      <c r="F64" s="61">
        <v>46035</v>
      </c>
      <c r="G64" s="62">
        <f ca="1">$E$2-F64</f>
        <v>129</v>
      </c>
      <c r="H64" s="54"/>
      <c r="I64" s="54">
        <f>E64-H64</f>
        <v>500</v>
      </c>
      <c r="J64" s="55"/>
      <c r="K64" s="56"/>
    </row>
    <row r="65" spans="1:12" ht="11.1" customHeight="1">
      <c r="A65" s="45"/>
      <c r="B65" s="45"/>
      <c r="C65" s="45"/>
      <c r="D65" s="63">
        <v>500</v>
      </c>
      <c r="E65" s="60">
        <v>500</v>
      </c>
      <c r="F65" s="45"/>
      <c r="G65" s="45"/>
      <c r="H65" s="54"/>
      <c r="I65" s="54"/>
      <c r="J65" s="55"/>
      <c r="K65" s="56"/>
    </row>
    <row r="66" spans="1:12" ht="11.1" customHeight="1">
      <c r="A66" s="45"/>
      <c r="B66" s="45"/>
      <c r="C66" s="52" t="s">
        <v>190</v>
      </c>
      <c r="D66" s="45"/>
      <c r="E66" s="53"/>
      <c r="F66" s="45"/>
      <c r="G66" s="45"/>
      <c r="H66" s="54"/>
      <c r="I66" s="54"/>
      <c r="J66" s="55"/>
      <c r="K66" s="56"/>
    </row>
    <row r="67" spans="1:12" ht="11.1" customHeight="1">
      <c r="A67" s="57">
        <v>46098</v>
      </c>
      <c r="B67" s="58" t="s">
        <v>189</v>
      </c>
      <c r="C67" s="45"/>
      <c r="D67" s="63">
        <v>2440</v>
      </c>
      <c r="E67" s="60">
        <v>2440</v>
      </c>
      <c r="F67" s="61">
        <v>46123</v>
      </c>
      <c r="G67" s="62">
        <f ca="1">$E$2-F67</f>
        <v>41</v>
      </c>
      <c r="H67" s="54"/>
      <c r="I67" s="54">
        <f>E67-H67</f>
        <v>2440</v>
      </c>
      <c r="J67" s="55"/>
      <c r="K67" s="58" t="s">
        <v>521</v>
      </c>
    </row>
    <row r="68" spans="1:12" ht="11.1" customHeight="1">
      <c r="A68" s="45"/>
      <c r="B68" s="45"/>
      <c r="C68" s="45"/>
      <c r="D68" s="63">
        <v>2440</v>
      </c>
      <c r="E68" s="60">
        <v>2440</v>
      </c>
      <c r="F68" s="45"/>
      <c r="G68" s="45"/>
      <c r="H68" s="54"/>
      <c r="I68" s="54"/>
      <c r="J68" s="55"/>
      <c r="K68" s="58"/>
    </row>
    <row r="69" spans="1:12" ht="11.1" customHeight="1">
      <c r="A69" s="45"/>
      <c r="B69" s="45"/>
      <c r="C69" s="65" t="s">
        <v>192</v>
      </c>
      <c r="D69" s="45"/>
      <c r="E69" s="53"/>
      <c r="F69" s="45"/>
      <c r="G69" s="45"/>
      <c r="H69" s="54"/>
      <c r="I69" s="54"/>
      <c r="J69" s="55"/>
      <c r="K69" s="56"/>
    </row>
    <row r="70" spans="1:12" ht="11.1" customHeight="1">
      <c r="A70" s="57">
        <v>46112</v>
      </c>
      <c r="B70" s="58" t="s">
        <v>191</v>
      </c>
      <c r="C70" s="45"/>
      <c r="D70" s="63">
        <v>13321</v>
      </c>
      <c r="E70" s="60">
        <v>13321</v>
      </c>
      <c r="F70" s="61">
        <v>46137</v>
      </c>
      <c r="G70" s="62">
        <f ca="1">$E$2-F70</f>
        <v>27</v>
      </c>
      <c r="H70" s="54"/>
      <c r="I70" s="54">
        <f>E70-H70</f>
        <v>13321</v>
      </c>
      <c r="J70" s="55"/>
      <c r="K70" s="56"/>
    </row>
    <row r="71" spans="1:12" ht="11.1" customHeight="1">
      <c r="A71" s="45"/>
      <c r="B71" s="45"/>
      <c r="C71" s="45"/>
      <c r="D71" s="63">
        <v>13321</v>
      </c>
      <c r="E71" s="60">
        <v>13321</v>
      </c>
      <c r="F71" s="45"/>
      <c r="G71" s="45"/>
      <c r="H71" s="54"/>
      <c r="I71" s="54"/>
      <c r="J71" s="55"/>
      <c r="K71" s="56"/>
    </row>
    <row r="72" spans="1:12" ht="11.1" customHeight="1">
      <c r="A72" s="45"/>
      <c r="B72" s="45"/>
      <c r="C72" s="52" t="s">
        <v>194</v>
      </c>
      <c r="D72" s="45"/>
      <c r="E72" s="53"/>
      <c r="F72" s="45"/>
      <c r="G72" s="45"/>
      <c r="H72" s="54"/>
      <c r="I72" s="54"/>
      <c r="J72" s="55"/>
      <c r="K72" s="56"/>
      <c r="L72" t="s">
        <v>522</v>
      </c>
    </row>
    <row r="73" spans="1:12" ht="11.1" customHeight="1">
      <c r="A73" s="57">
        <v>46107</v>
      </c>
      <c r="B73" s="58" t="s">
        <v>193</v>
      </c>
      <c r="C73" s="45"/>
      <c r="D73" s="63">
        <v>8855</v>
      </c>
      <c r="E73" s="60">
        <v>8855</v>
      </c>
      <c r="F73" s="61">
        <v>46132</v>
      </c>
      <c r="G73" s="62">
        <f ca="1">$E$2-F73</f>
        <v>32</v>
      </c>
      <c r="H73" s="54"/>
      <c r="I73" s="54">
        <f>E73-H73</f>
        <v>8855</v>
      </c>
      <c r="J73" s="55"/>
      <c r="K73" s="58" t="s">
        <v>523</v>
      </c>
    </row>
    <row r="74" spans="1:12" ht="11.1" customHeight="1">
      <c r="A74" s="45"/>
      <c r="B74" s="45"/>
      <c r="C74" s="45"/>
      <c r="D74" s="63">
        <v>8855</v>
      </c>
      <c r="E74" s="60">
        <v>8855</v>
      </c>
      <c r="F74" s="45"/>
      <c r="G74" s="45"/>
      <c r="H74" s="54"/>
      <c r="I74" s="54"/>
      <c r="J74" s="55"/>
      <c r="K74" s="56"/>
    </row>
    <row r="75" spans="1:12" ht="11.1" customHeight="1">
      <c r="A75" s="45"/>
      <c r="B75" s="45"/>
      <c r="C75" s="52" t="s">
        <v>196</v>
      </c>
      <c r="D75" s="45"/>
      <c r="E75" s="53"/>
      <c r="F75" s="45"/>
      <c r="G75" s="45"/>
      <c r="H75" s="54"/>
      <c r="I75" s="54"/>
      <c r="J75" s="55"/>
      <c r="K75" s="56"/>
      <c r="L75" t="s">
        <v>524</v>
      </c>
    </row>
    <row r="76" spans="1:12" ht="11.1" customHeight="1">
      <c r="A76" s="57">
        <v>46099</v>
      </c>
      <c r="B76" s="58" t="s">
        <v>195</v>
      </c>
      <c r="C76" s="45"/>
      <c r="D76" s="63">
        <v>4079</v>
      </c>
      <c r="E76" s="60">
        <v>4079</v>
      </c>
      <c r="F76" s="61">
        <v>46124</v>
      </c>
      <c r="G76" s="62">
        <f ca="1">$E$2-F76</f>
        <v>40</v>
      </c>
      <c r="H76" s="54"/>
      <c r="I76" s="54">
        <f>E76-H76</f>
        <v>4079</v>
      </c>
      <c r="J76" s="55"/>
      <c r="K76" s="56"/>
    </row>
    <row r="77" spans="1:12" ht="11.1" customHeight="1">
      <c r="A77" s="45"/>
      <c r="B77" s="45"/>
      <c r="C77" s="45"/>
      <c r="D77" s="63">
        <v>4079</v>
      </c>
      <c r="E77" s="60">
        <v>4079</v>
      </c>
      <c r="F77" s="45"/>
      <c r="G77" s="45"/>
      <c r="H77" s="54"/>
      <c r="I77" s="54"/>
      <c r="J77" s="58" t="s">
        <v>525</v>
      </c>
      <c r="K77" s="56"/>
    </row>
    <row r="78" spans="1:12" ht="11.1" customHeight="1">
      <c r="A78" s="45"/>
      <c r="B78" s="45"/>
      <c r="C78" s="52" t="s">
        <v>198</v>
      </c>
      <c r="D78" s="45"/>
      <c r="E78" s="53"/>
      <c r="F78" s="45"/>
      <c r="G78" s="45"/>
      <c r="H78" s="54"/>
      <c r="I78" s="54"/>
      <c r="J78" s="55"/>
      <c r="K78" s="56"/>
      <c r="L78" t="s">
        <v>526</v>
      </c>
    </row>
    <row r="79" spans="1:12" ht="11.1" customHeight="1">
      <c r="A79" s="57">
        <v>45968</v>
      </c>
      <c r="B79" s="58" t="s">
        <v>197</v>
      </c>
      <c r="C79" s="45"/>
      <c r="D79" s="63">
        <v>1680</v>
      </c>
      <c r="E79" s="60">
        <v>1680</v>
      </c>
      <c r="F79" s="61">
        <v>45993</v>
      </c>
      <c r="G79" s="62">
        <f ca="1">$E$2-F79</f>
        <v>171</v>
      </c>
      <c r="H79" s="54"/>
      <c r="I79" s="54">
        <f>E79-H79</f>
        <v>1680</v>
      </c>
      <c r="J79" s="55" t="s">
        <v>199</v>
      </c>
      <c r="K79" s="56"/>
    </row>
    <row r="80" spans="1:12" ht="11.1" customHeight="1">
      <c r="A80" s="45"/>
      <c r="B80" s="45"/>
      <c r="C80" s="45"/>
      <c r="D80" s="63">
        <v>1680</v>
      </c>
      <c r="E80" s="60">
        <v>1680</v>
      </c>
      <c r="F80" s="45"/>
      <c r="G80" s="45"/>
      <c r="H80" s="54"/>
      <c r="I80" s="54"/>
      <c r="J80" s="55"/>
      <c r="K80" s="56"/>
    </row>
    <row r="81" spans="1:12" ht="11.1" customHeight="1">
      <c r="A81" s="45"/>
      <c r="B81" s="45"/>
      <c r="C81" s="52" t="s">
        <v>201</v>
      </c>
      <c r="D81" s="45"/>
      <c r="E81" s="53"/>
      <c r="F81" s="45"/>
      <c r="G81" s="45"/>
      <c r="H81" s="54"/>
      <c r="I81" s="54"/>
      <c r="J81" s="55"/>
      <c r="K81" s="56"/>
      <c r="L81" t="s">
        <v>527</v>
      </c>
    </row>
    <row r="82" spans="1:12" ht="11.1" customHeight="1">
      <c r="A82" s="57">
        <v>46097</v>
      </c>
      <c r="B82" s="58" t="s">
        <v>200</v>
      </c>
      <c r="C82" s="45"/>
      <c r="D82" s="63">
        <v>6289</v>
      </c>
      <c r="E82" s="60">
        <v>6289</v>
      </c>
      <c r="F82" s="61">
        <v>46122</v>
      </c>
      <c r="G82" s="62">
        <f ca="1">$E$2-F82</f>
        <v>42</v>
      </c>
      <c r="H82" s="54"/>
      <c r="I82" s="54">
        <f>E82-H82</f>
        <v>6289</v>
      </c>
      <c r="J82" s="55"/>
      <c r="K82" s="58" t="s">
        <v>528</v>
      </c>
    </row>
    <row r="83" spans="1:12" ht="11.1" customHeight="1">
      <c r="A83" s="45"/>
      <c r="B83" s="45"/>
      <c r="C83" s="45"/>
      <c r="D83" s="63">
        <v>6289</v>
      </c>
      <c r="E83" s="60">
        <v>6289</v>
      </c>
      <c r="F83" s="45"/>
      <c r="G83" s="45"/>
      <c r="H83" s="54"/>
      <c r="I83" s="54"/>
      <c r="J83" s="55"/>
      <c r="K83" s="56"/>
    </row>
    <row r="84" spans="1:12" ht="11.1" customHeight="1">
      <c r="A84" s="45"/>
      <c r="B84" s="45"/>
      <c r="C84" s="52" t="s">
        <v>203</v>
      </c>
      <c r="D84" s="45"/>
      <c r="E84" s="53"/>
      <c r="F84" s="45"/>
      <c r="G84" s="45"/>
      <c r="H84" s="54"/>
      <c r="I84" s="54"/>
      <c r="J84" s="55"/>
      <c r="K84" s="56"/>
      <c r="L84" t="s">
        <v>529</v>
      </c>
    </row>
    <row r="85" spans="1:12" ht="11.1" customHeight="1">
      <c r="A85" s="57">
        <v>46084</v>
      </c>
      <c r="B85" s="58" t="s">
        <v>202</v>
      </c>
      <c r="C85" s="45"/>
      <c r="D85" s="63">
        <v>9268</v>
      </c>
      <c r="E85" s="60">
        <v>9268</v>
      </c>
      <c r="F85" s="61">
        <v>46109</v>
      </c>
      <c r="G85" s="62">
        <f ca="1">$E$2-F85</f>
        <v>55</v>
      </c>
      <c r="H85" s="54"/>
      <c r="I85" s="54">
        <f>E85-H85</f>
        <v>9268</v>
      </c>
      <c r="J85" s="55"/>
      <c r="K85" s="56"/>
    </row>
    <row r="86" spans="1:12" ht="11.1" customHeight="1">
      <c r="A86" s="57">
        <v>46111</v>
      </c>
      <c r="B86" s="58" t="s">
        <v>204</v>
      </c>
      <c r="C86" s="45"/>
      <c r="D86" s="63">
        <v>7960</v>
      </c>
      <c r="E86" s="60">
        <v>7960</v>
      </c>
      <c r="F86" s="61">
        <v>46136</v>
      </c>
      <c r="G86" s="62">
        <f ca="1">$E$2-F86</f>
        <v>28</v>
      </c>
      <c r="H86" s="54"/>
      <c r="I86" s="54">
        <f>E86-H86</f>
        <v>7960</v>
      </c>
      <c r="J86" s="55"/>
      <c r="K86" s="56"/>
    </row>
    <row r="87" spans="1:12" ht="11.1" customHeight="1">
      <c r="A87" s="45"/>
      <c r="B87" s="45"/>
      <c r="C87" s="45"/>
      <c r="D87" s="63">
        <v>17228</v>
      </c>
      <c r="E87" s="60">
        <v>17228</v>
      </c>
      <c r="F87" s="45"/>
      <c r="G87" s="45"/>
      <c r="H87" s="54"/>
      <c r="I87" s="54"/>
      <c r="J87" s="58" t="s">
        <v>530</v>
      </c>
      <c r="K87" s="56"/>
    </row>
    <row r="88" spans="1:12" ht="11.1" customHeight="1">
      <c r="A88" s="45"/>
      <c r="B88" s="45"/>
      <c r="C88" s="52" t="s">
        <v>206</v>
      </c>
      <c r="D88" s="45"/>
      <c r="E88" s="53"/>
      <c r="F88" s="45"/>
      <c r="G88" s="45"/>
      <c r="H88" s="54"/>
      <c r="I88" s="54"/>
      <c r="J88" s="55"/>
      <c r="K88" s="56"/>
      <c r="L88" t="s">
        <v>531</v>
      </c>
    </row>
    <row r="89" spans="1:12" ht="11.1" customHeight="1">
      <c r="A89" s="57">
        <v>46051</v>
      </c>
      <c r="B89" s="58" t="s">
        <v>205</v>
      </c>
      <c r="C89" s="45"/>
      <c r="D89" s="63">
        <v>3096</v>
      </c>
      <c r="E89" s="60">
        <v>720</v>
      </c>
      <c r="F89" s="61">
        <v>46076</v>
      </c>
      <c r="G89" s="62">
        <f ca="1">$E$2-F89</f>
        <v>88</v>
      </c>
      <c r="H89" s="54"/>
      <c r="I89" s="54">
        <f>E89-H89</f>
        <v>720</v>
      </c>
      <c r="J89" s="55"/>
      <c r="K89" s="56"/>
    </row>
    <row r="90" spans="1:12" ht="11.1" customHeight="1">
      <c r="A90" s="57">
        <v>46088</v>
      </c>
      <c r="B90" s="58" t="s">
        <v>207</v>
      </c>
      <c r="C90" s="45"/>
      <c r="D90" s="63">
        <v>15106</v>
      </c>
      <c r="E90" s="60">
        <v>15106</v>
      </c>
      <c r="F90" s="61">
        <v>46113</v>
      </c>
      <c r="G90" s="62">
        <f ca="1">$E$2-F90</f>
        <v>51</v>
      </c>
      <c r="H90" s="54"/>
      <c r="I90" s="54">
        <f>E90-H90</f>
        <v>15106</v>
      </c>
      <c r="J90" s="55" t="s">
        <v>135</v>
      </c>
      <c r="K90" s="56"/>
    </row>
    <row r="91" spans="1:12" ht="11.1" customHeight="1">
      <c r="A91" s="45"/>
      <c r="B91" s="45"/>
      <c r="C91" s="45"/>
      <c r="D91" s="63">
        <v>18202</v>
      </c>
      <c r="E91" s="60">
        <v>15826</v>
      </c>
      <c r="F91" s="45"/>
      <c r="G91" s="45"/>
      <c r="H91" s="54"/>
      <c r="I91" s="54"/>
      <c r="J91" s="55"/>
      <c r="K91" s="56"/>
    </row>
    <row r="92" spans="1:12" ht="11.1" customHeight="1">
      <c r="A92" s="45"/>
      <c r="B92" s="45"/>
      <c r="C92" s="52" t="s">
        <v>209</v>
      </c>
      <c r="D92" s="45"/>
      <c r="E92" s="53"/>
      <c r="F92" s="45"/>
      <c r="G92" s="45"/>
      <c r="H92" s="54"/>
      <c r="I92" s="54"/>
      <c r="J92" s="55"/>
      <c r="K92" s="56"/>
      <c r="L92" t="s">
        <v>532</v>
      </c>
    </row>
    <row r="93" spans="1:12" ht="11.1" customHeight="1">
      <c r="A93" s="57">
        <v>45909</v>
      </c>
      <c r="B93" s="58" t="s">
        <v>208</v>
      </c>
      <c r="C93" s="45"/>
      <c r="D93" s="63">
        <v>11800</v>
      </c>
      <c r="E93" s="60">
        <v>7800</v>
      </c>
      <c r="F93" s="61">
        <v>45934</v>
      </c>
      <c r="G93" s="62">
        <f ca="1">$E$2-F93</f>
        <v>230</v>
      </c>
      <c r="H93" s="54"/>
      <c r="I93" s="54">
        <f>E93-H93</f>
        <v>7800</v>
      </c>
      <c r="J93" s="55" t="s">
        <v>135</v>
      </c>
      <c r="K93" s="55" t="s">
        <v>135</v>
      </c>
    </row>
    <row r="94" spans="1:12" ht="11.1" customHeight="1">
      <c r="A94" s="45"/>
      <c r="B94" s="45"/>
      <c r="C94" s="45"/>
      <c r="D94" s="63">
        <v>11800</v>
      </c>
      <c r="E94" s="60">
        <v>7800</v>
      </c>
      <c r="F94" s="45"/>
      <c r="G94" s="45"/>
      <c r="H94" s="54"/>
      <c r="I94" s="54"/>
      <c r="J94" s="55"/>
      <c r="K94" s="56"/>
    </row>
    <row r="95" spans="1:12" ht="11.1" customHeight="1">
      <c r="A95" s="45"/>
      <c r="B95" s="45"/>
      <c r="C95" s="52" t="s">
        <v>211</v>
      </c>
      <c r="D95" s="45"/>
      <c r="E95" s="53"/>
      <c r="F95" s="45"/>
      <c r="G95" s="45"/>
      <c r="H95" s="54"/>
      <c r="I95" s="54"/>
      <c r="J95" s="55"/>
      <c r="K95" s="56"/>
      <c r="L95" t="s">
        <v>533</v>
      </c>
    </row>
    <row r="96" spans="1:12" ht="11.1" customHeight="1">
      <c r="A96" s="57">
        <v>46065</v>
      </c>
      <c r="B96" s="58" t="s">
        <v>210</v>
      </c>
      <c r="C96" s="45"/>
      <c r="D96" s="63">
        <v>31317</v>
      </c>
      <c r="E96" s="60">
        <v>31317</v>
      </c>
      <c r="F96" s="61">
        <v>46090</v>
      </c>
      <c r="G96" s="62">
        <f ca="1">$E$2-F96</f>
        <v>74</v>
      </c>
      <c r="H96" s="54"/>
      <c r="I96" s="54">
        <f>E96-H96</f>
        <v>31317</v>
      </c>
      <c r="J96" s="55" t="s">
        <v>212</v>
      </c>
      <c r="K96" s="56"/>
    </row>
    <row r="97" spans="1:12" ht="11.1" customHeight="1">
      <c r="A97" s="45"/>
      <c r="B97" s="45"/>
      <c r="C97" s="45"/>
      <c r="D97" s="63">
        <v>31317</v>
      </c>
      <c r="E97" s="60">
        <v>31317</v>
      </c>
      <c r="F97" s="45"/>
      <c r="G97" s="45"/>
      <c r="H97" s="54"/>
      <c r="I97" s="54"/>
      <c r="J97" s="55"/>
      <c r="K97" s="56"/>
    </row>
    <row r="98" spans="1:12" ht="11.1" customHeight="1">
      <c r="A98" s="45"/>
      <c r="B98" s="45"/>
      <c r="C98" s="52" t="s">
        <v>214</v>
      </c>
      <c r="D98" s="45"/>
      <c r="E98" s="53"/>
      <c r="F98" s="45"/>
      <c r="G98" s="45"/>
      <c r="H98" s="54"/>
      <c r="I98" s="54"/>
      <c r="J98" s="55"/>
      <c r="K98" s="56"/>
      <c r="L98" t="s">
        <v>534</v>
      </c>
    </row>
    <row r="99" spans="1:12" ht="11.1" customHeight="1">
      <c r="A99" s="57">
        <v>45989</v>
      </c>
      <c r="B99" s="58" t="s">
        <v>213</v>
      </c>
      <c r="C99" s="45"/>
      <c r="D99" s="63">
        <v>9440</v>
      </c>
      <c r="E99" s="60">
        <v>9440</v>
      </c>
      <c r="F99" s="61">
        <v>46014</v>
      </c>
      <c r="G99" s="62">
        <f ca="1">$E$2-F99</f>
        <v>150</v>
      </c>
      <c r="H99" s="54"/>
      <c r="I99" s="54">
        <f>E99-H99</f>
        <v>9440</v>
      </c>
      <c r="J99" s="55"/>
      <c r="K99" s="58" t="s">
        <v>535</v>
      </c>
    </row>
    <row r="100" spans="1:12" ht="11.1" customHeight="1">
      <c r="A100" s="57">
        <v>46021</v>
      </c>
      <c r="B100" s="58" t="s">
        <v>215</v>
      </c>
      <c r="C100" s="45"/>
      <c r="D100" s="63">
        <v>643</v>
      </c>
      <c r="E100" s="60">
        <v>643</v>
      </c>
      <c r="F100" s="61">
        <v>46046</v>
      </c>
      <c r="G100" s="62">
        <f ca="1">$E$2-F100</f>
        <v>118</v>
      </c>
      <c r="H100" s="54"/>
      <c r="I100" s="54">
        <f>E100-H100</f>
        <v>643</v>
      </c>
      <c r="J100" s="55"/>
      <c r="K100" s="58" t="s">
        <v>535</v>
      </c>
    </row>
    <row r="101" spans="1:12" ht="11.1" customHeight="1">
      <c r="A101" s="45"/>
      <c r="B101" s="45"/>
      <c r="C101" s="45"/>
      <c r="D101" s="63">
        <v>10083</v>
      </c>
      <c r="E101" s="60">
        <v>10083</v>
      </c>
      <c r="F101" s="45"/>
      <c r="G101" s="45"/>
      <c r="H101" s="54"/>
      <c r="I101" s="54"/>
      <c r="J101" s="55"/>
      <c r="K101" s="56"/>
    </row>
    <row r="102" spans="1:12" ht="11.1" customHeight="1">
      <c r="A102" s="45"/>
      <c r="B102" s="45"/>
      <c r="C102" s="52" t="s">
        <v>217</v>
      </c>
      <c r="D102" s="45"/>
      <c r="E102" s="53"/>
      <c r="F102" s="45"/>
      <c r="G102" s="45"/>
      <c r="H102" s="54">
        <v>0</v>
      </c>
      <c r="I102" s="54">
        <v>0</v>
      </c>
      <c r="J102" s="55" t="s">
        <v>536</v>
      </c>
      <c r="K102" s="56"/>
    </row>
    <row r="103" spans="1:12" ht="11.1" customHeight="1">
      <c r="A103" s="57">
        <v>46046</v>
      </c>
      <c r="B103" s="58" t="s">
        <v>216</v>
      </c>
      <c r="C103" s="45"/>
      <c r="D103" s="63">
        <v>99017</v>
      </c>
      <c r="E103" s="60">
        <v>49017</v>
      </c>
      <c r="F103" s="61">
        <v>46071</v>
      </c>
      <c r="G103" s="62">
        <f ca="1">$E$2-F103</f>
        <v>93</v>
      </c>
      <c r="H103" s="54">
        <v>49017</v>
      </c>
      <c r="I103" s="54">
        <v>0</v>
      </c>
      <c r="J103" s="58" t="s">
        <v>218</v>
      </c>
      <c r="K103" s="56"/>
    </row>
    <row r="104" spans="1:12" ht="11.1" customHeight="1">
      <c r="A104" s="45"/>
      <c r="B104" s="45"/>
      <c r="C104" s="45"/>
      <c r="D104" s="63">
        <v>99017</v>
      </c>
      <c r="E104" s="60">
        <v>49017</v>
      </c>
      <c r="F104" s="45"/>
      <c r="G104" s="45"/>
      <c r="H104" s="54">
        <v>49017</v>
      </c>
      <c r="I104" s="54">
        <v>0</v>
      </c>
      <c r="J104" s="58"/>
      <c r="K104" s="56"/>
    </row>
    <row r="105" spans="1:12" ht="11.1" customHeight="1">
      <c r="A105" s="45"/>
      <c r="B105" s="45"/>
      <c r="C105" s="52" t="s">
        <v>220</v>
      </c>
      <c r="D105" s="45"/>
      <c r="E105" s="53"/>
      <c r="F105" s="45"/>
      <c r="G105" s="45"/>
      <c r="H105" s="54"/>
      <c r="I105" s="54"/>
      <c r="J105" s="55"/>
      <c r="K105" s="56"/>
      <c r="L105" t="s">
        <v>537</v>
      </c>
    </row>
    <row r="106" spans="1:12" ht="11.1" customHeight="1">
      <c r="A106" s="57">
        <v>46083</v>
      </c>
      <c r="B106" s="58" t="s">
        <v>219</v>
      </c>
      <c r="C106" s="45"/>
      <c r="D106" s="63">
        <v>14106</v>
      </c>
      <c r="E106" s="60">
        <v>14106</v>
      </c>
      <c r="F106" s="61">
        <v>46108</v>
      </c>
      <c r="G106" s="62">
        <f ca="1">$E$2-F106</f>
        <v>56</v>
      </c>
      <c r="H106" s="54"/>
      <c r="I106" s="54">
        <f>E106-H106</f>
        <v>14106</v>
      </c>
      <c r="J106" s="55"/>
      <c r="K106" s="58" t="s">
        <v>538</v>
      </c>
    </row>
    <row r="107" spans="1:12" ht="11.1" customHeight="1">
      <c r="A107" s="45"/>
      <c r="B107" s="45"/>
      <c r="C107" s="45"/>
      <c r="D107" s="63">
        <v>14106</v>
      </c>
      <c r="E107" s="60">
        <v>14106</v>
      </c>
      <c r="F107" s="45"/>
      <c r="G107" s="45"/>
      <c r="H107" s="54"/>
      <c r="I107" s="54"/>
      <c r="J107" s="55"/>
      <c r="K107" s="56"/>
    </row>
    <row r="108" spans="1:12" ht="11.1" customHeight="1">
      <c r="A108" s="45"/>
      <c r="B108" s="45"/>
      <c r="C108" s="52" t="s">
        <v>222</v>
      </c>
      <c r="D108" s="45"/>
      <c r="E108" s="53"/>
      <c r="F108" s="45"/>
      <c r="G108" s="45"/>
      <c r="H108" s="54"/>
      <c r="I108" s="54"/>
      <c r="J108" s="55"/>
      <c r="K108" s="56"/>
      <c r="L108" t="s">
        <v>539</v>
      </c>
    </row>
    <row r="109" spans="1:12" ht="11.1" customHeight="1">
      <c r="A109" s="57">
        <v>46076</v>
      </c>
      <c r="B109" s="58" t="s">
        <v>221</v>
      </c>
      <c r="C109" s="45"/>
      <c r="D109" s="63">
        <v>9399</v>
      </c>
      <c r="E109" s="60">
        <v>9399</v>
      </c>
      <c r="F109" s="61">
        <v>46101</v>
      </c>
      <c r="G109" s="62">
        <f ca="1">$E$2-F109</f>
        <v>63</v>
      </c>
      <c r="H109" s="54"/>
      <c r="I109" s="54">
        <f>E109-H109</f>
        <v>9399</v>
      </c>
      <c r="J109" s="67" t="s">
        <v>223</v>
      </c>
      <c r="K109" s="56"/>
    </row>
    <row r="110" spans="1:12" ht="11.1" customHeight="1">
      <c r="A110" s="45"/>
      <c r="B110" s="45"/>
      <c r="C110" s="45"/>
      <c r="D110" s="63">
        <v>9399</v>
      </c>
      <c r="E110" s="60">
        <v>9399</v>
      </c>
      <c r="F110" s="45"/>
      <c r="G110" s="45"/>
      <c r="H110" s="54"/>
      <c r="I110" s="54"/>
      <c r="J110" s="55"/>
      <c r="K110" s="56"/>
    </row>
    <row r="111" spans="1:12" ht="11.1" customHeight="1">
      <c r="A111" s="45"/>
      <c r="B111" s="45"/>
      <c r="C111" s="52" t="s">
        <v>225</v>
      </c>
      <c r="D111" s="45"/>
      <c r="E111" s="53"/>
      <c r="F111" s="45"/>
      <c r="G111" s="45"/>
      <c r="H111" s="54"/>
      <c r="I111" s="54"/>
      <c r="J111" s="55"/>
      <c r="K111" s="56"/>
    </row>
    <row r="112" spans="1:12" ht="11.1" customHeight="1">
      <c r="A112" s="57">
        <v>46133</v>
      </c>
      <c r="B112" s="58" t="s">
        <v>224</v>
      </c>
      <c r="C112" s="45"/>
      <c r="D112" s="63">
        <v>670</v>
      </c>
      <c r="E112" s="60">
        <v>670</v>
      </c>
      <c r="F112" s="61">
        <v>46158</v>
      </c>
      <c r="G112" s="62">
        <f ca="1">$E$2-F112</f>
        <v>6</v>
      </c>
      <c r="H112" s="54"/>
      <c r="I112" s="54">
        <f>E112-H112</f>
        <v>670</v>
      </c>
      <c r="J112" s="55"/>
      <c r="K112" s="56"/>
    </row>
    <row r="113" spans="1:12" ht="11.1" customHeight="1">
      <c r="A113" s="45"/>
      <c r="B113" s="45"/>
      <c r="C113" s="45"/>
      <c r="D113" s="63">
        <v>670</v>
      </c>
      <c r="E113" s="60">
        <v>670</v>
      </c>
      <c r="F113" s="45"/>
      <c r="G113" s="45"/>
      <c r="H113" s="54"/>
      <c r="I113" s="54"/>
      <c r="J113" s="55"/>
      <c r="K113" s="56"/>
    </row>
    <row r="114" spans="1:12" ht="11.1" customHeight="1">
      <c r="A114" s="45"/>
      <c r="B114" s="45"/>
      <c r="C114" s="52" t="s">
        <v>227</v>
      </c>
      <c r="D114" s="45"/>
      <c r="E114" s="53"/>
      <c r="F114" s="45"/>
      <c r="G114" s="45"/>
      <c r="H114" s="54"/>
      <c r="I114" s="54"/>
      <c r="J114" s="55"/>
      <c r="K114" s="56"/>
      <c r="L114" t="s">
        <v>540</v>
      </c>
    </row>
    <row r="115" spans="1:12" ht="11.1" customHeight="1">
      <c r="A115" s="57">
        <v>46057</v>
      </c>
      <c r="B115" s="58" t="s">
        <v>226</v>
      </c>
      <c r="C115" s="45"/>
      <c r="D115" s="63">
        <v>5370</v>
      </c>
      <c r="E115" s="60">
        <v>5370</v>
      </c>
      <c r="F115" s="61">
        <v>46082</v>
      </c>
      <c r="G115" s="62">
        <f ca="1">$E$2-F115</f>
        <v>82</v>
      </c>
      <c r="H115" s="54"/>
      <c r="I115" s="54">
        <f>E115-H115</f>
        <v>5370</v>
      </c>
      <c r="J115" s="55"/>
      <c r="K115" s="58" t="s">
        <v>79</v>
      </c>
    </row>
    <row r="116" spans="1:12" ht="11.1" customHeight="1">
      <c r="A116" s="45"/>
      <c r="B116" s="45"/>
      <c r="C116" s="45"/>
      <c r="D116" s="63">
        <v>5370</v>
      </c>
      <c r="E116" s="60">
        <v>5370</v>
      </c>
      <c r="F116" s="45"/>
      <c r="G116" s="45"/>
      <c r="H116" s="54"/>
      <c r="I116" s="54"/>
      <c r="J116" s="55"/>
      <c r="K116" s="56"/>
    </row>
    <row r="117" spans="1:12" ht="11.1" customHeight="1">
      <c r="A117" s="45"/>
      <c r="B117" s="45"/>
      <c r="C117" s="52" t="s">
        <v>229</v>
      </c>
      <c r="D117" s="45"/>
      <c r="E117" s="53"/>
      <c r="F117" s="45"/>
      <c r="G117" s="45"/>
      <c r="H117" s="54"/>
      <c r="I117" s="54"/>
      <c r="J117" s="55"/>
      <c r="K117" s="56"/>
      <c r="L117" t="s">
        <v>541</v>
      </c>
    </row>
    <row r="118" spans="1:12" ht="11.1" customHeight="1">
      <c r="A118" s="57">
        <v>45968</v>
      </c>
      <c r="B118" s="58" t="s">
        <v>228</v>
      </c>
      <c r="C118" s="45"/>
      <c r="D118" s="63">
        <v>5248</v>
      </c>
      <c r="E118" s="60">
        <v>5248</v>
      </c>
      <c r="F118" s="61">
        <v>45993</v>
      </c>
      <c r="G118" s="62">
        <f ca="1">$E$2-F118</f>
        <v>171</v>
      </c>
      <c r="H118" s="54"/>
      <c r="I118" s="54">
        <f>E118-H118</f>
        <v>5248</v>
      </c>
      <c r="J118" s="55" t="s">
        <v>230</v>
      </c>
      <c r="K118" s="56"/>
    </row>
    <row r="119" spans="1:12" ht="11.1" customHeight="1">
      <c r="A119" s="57">
        <v>45981</v>
      </c>
      <c r="B119" s="58" t="s">
        <v>231</v>
      </c>
      <c r="C119" s="45"/>
      <c r="D119" s="63">
        <v>1170</v>
      </c>
      <c r="E119" s="60">
        <v>1170</v>
      </c>
      <c r="F119" s="61">
        <v>46006</v>
      </c>
      <c r="G119" s="62">
        <f ca="1">$E$2-F119</f>
        <v>158</v>
      </c>
      <c r="H119" s="54"/>
      <c r="I119" s="54">
        <f>E119-H119</f>
        <v>1170</v>
      </c>
      <c r="J119" s="55" t="s">
        <v>230</v>
      </c>
      <c r="K119" s="56"/>
    </row>
    <row r="120" spans="1:12" ht="11.1" customHeight="1">
      <c r="A120" s="57">
        <v>45987</v>
      </c>
      <c r="B120" s="58" t="s">
        <v>232</v>
      </c>
      <c r="C120" s="45"/>
      <c r="D120" s="63">
        <v>23364</v>
      </c>
      <c r="E120" s="60">
        <v>6342</v>
      </c>
      <c r="F120" s="61">
        <v>46012</v>
      </c>
      <c r="G120" s="62">
        <f ca="1">$E$2-F120</f>
        <v>152</v>
      </c>
      <c r="H120" s="54"/>
      <c r="I120" s="54">
        <f>E120-H120</f>
        <v>6342</v>
      </c>
      <c r="J120" s="55" t="s">
        <v>230</v>
      </c>
      <c r="K120" s="56"/>
    </row>
    <row r="121" spans="1:12" ht="11.1" customHeight="1">
      <c r="A121" s="57">
        <v>46049</v>
      </c>
      <c r="B121" s="58" t="s">
        <v>233</v>
      </c>
      <c r="C121" s="45"/>
      <c r="D121" s="63">
        <v>47824</v>
      </c>
      <c r="E121" s="60">
        <v>47824</v>
      </c>
      <c r="F121" s="61">
        <v>46074</v>
      </c>
      <c r="G121" s="62">
        <f ca="1">$E$2-F121</f>
        <v>90</v>
      </c>
      <c r="H121" s="54"/>
      <c r="I121" s="54">
        <f>E121-H121</f>
        <v>47824</v>
      </c>
      <c r="J121" s="55" t="s">
        <v>230</v>
      </c>
      <c r="K121" s="56"/>
    </row>
    <row r="122" spans="1:12" ht="11.1" customHeight="1">
      <c r="A122" s="45"/>
      <c r="B122" s="45"/>
      <c r="C122" s="45"/>
      <c r="D122" s="63">
        <v>77606</v>
      </c>
      <c r="E122" s="60">
        <v>60584</v>
      </c>
      <c r="F122" s="45"/>
      <c r="G122" s="45"/>
      <c r="H122" s="54"/>
      <c r="I122" s="54"/>
      <c r="J122" s="55"/>
      <c r="K122" s="56"/>
    </row>
    <row r="123" spans="1:12" ht="11.1" customHeight="1">
      <c r="A123" s="45"/>
      <c r="B123" s="45"/>
      <c r="C123" s="52" t="s">
        <v>235</v>
      </c>
      <c r="D123" s="45"/>
      <c r="E123" s="53"/>
      <c r="F123" s="45"/>
      <c r="G123" s="45"/>
      <c r="H123" s="54"/>
      <c r="I123" s="54"/>
      <c r="J123" s="55"/>
      <c r="K123" s="56"/>
      <c r="L123" t="s">
        <v>542</v>
      </c>
    </row>
    <row r="124" spans="1:12" ht="11.1" customHeight="1">
      <c r="A124" s="57">
        <v>46052</v>
      </c>
      <c r="B124" s="58" t="s">
        <v>234</v>
      </c>
      <c r="C124" s="45"/>
      <c r="D124" s="63">
        <v>25760</v>
      </c>
      <c r="E124" s="60">
        <v>25760</v>
      </c>
      <c r="F124" s="61">
        <v>46077</v>
      </c>
      <c r="G124" s="62">
        <f ca="1">$E$2-F124</f>
        <v>87</v>
      </c>
      <c r="H124" s="54"/>
      <c r="I124" s="54">
        <f>E124-H124</f>
        <v>25760</v>
      </c>
      <c r="J124" s="55"/>
      <c r="K124" s="55" t="s">
        <v>543</v>
      </c>
    </row>
    <row r="125" spans="1:12" ht="11.1" customHeight="1">
      <c r="A125" s="45"/>
      <c r="B125" s="45"/>
      <c r="C125" s="45"/>
      <c r="D125" s="63">
        <v>25760</v>
      </c>
      <c r="E125" s="60">
        <v>25760</v>
      </c>
      <c r="F125" s="45"/>
      <c r="G125" s="45"/>
      <c r="H125" s="54"/>
      <c r="I125" s="54"/>
      <c r="J125" s="55"/>
      <c r="K125" s="56"/>
    </row>
    <row r="126" spans="1:12" ht="11.1" customHeight="1">
      <c r="A126" s="45"/>
      <c r="B126" s="45"/>
      <c r="C126" s="52" t="s">
        <v>237</v>
      </c>
      <c r="D126" s="45"/>
      <c r="E126" s="53"/>
      <c r="F126" s="45"/>
      <c r="G126" s="45"/>
      <c r="H126" s="54"/>
      <c r="I126" s="54"/>
      <c r="J126" s="55"/>
      <c r="K126" s="56"/>
      <c r="L126" t="s">
        <v>544</v>
      </c>
    </row>
    <row r="127" spans="1:12" ht="11.1" customHeight="1">
      <c r="A127" s="57">
        <v>46007</v>
      </c>
      <c r="B127" s="58" t="s">
        <v>236</v>
      </c>
      <c r="C127" s="45"/>
      <c r="D127" s="63">
        <v>1180</v>
      </c>
      <c r="E127" s="60">
        <v>100</v>
      </c>
      <c r="F127" s="61">
        <v>46032</v>
      </c>
      <c r="G127" s="62">
        <f ca="1">$E$2-F127</f>
        <v>132</v>
      </c>
      <c r="H127" s="54"/>
      <c r="I127" s="54">
        <f>E127-H127</f>
        <v>100</v>
      </c>
      <c r="J127" s="55"/>
      <c r="K127" s="56"/>
    </row>
    <row r="128" spans="1:12" ht="11.1" customHeight="1">
      <c r="A128" s="45"/>
      <c r="B128" s="45"/>
      <c r="C128" s="45"/>
      <c r="D128" s="63">
        <v>1180</v>
      </c>
      <c r="E128" s="60">
        <v>100</v>
      </c>
      <c r="F128" s="45"/>
      <c r="G128" s="45"/>
      <c r="H128" s="54"/>
      <c r="I128" s="54"/>
      <c r="J128" s="55"/>
      <c r="K128" s="56"/>
    </row>
    <row r="129" spans="1:12" ht="11.1" customHeight="1">
      <c r="A129" s="45"/>
      <c r="B129" s="45"/>
      <c r="C129" s="52" t="s">
        <v>239</v>
      </c>
      <c r="D129" s="45"/>
      <c r="E129" s="53"/>
      <c r="F129" s="45"/>
      <c r="G129" s="45"/>
      <c r="H129" s="54"/>
      <c r="I129" s="54"/>
      <c r="J129" s="55"/>
      <c r="K129" s="56"/>
    </row>
    <row r="130" spans="1:12" ht="11.1" customHeight="1">
      <c r="A130" s="57">
        <v>46129</v>
      </c>
      <c r="B130" s="58" t="s">
        <v>238</v>
      </c>
      <c r="C130" s="45"/>
      <c r="D130" s="63">
        <v>5517</v>
      </c>
      <c r="E130" s="60">
        <v>5517</v>
      </c>
      <c r="F130" s="61">
        <v>46154</v>
      </c>
      <c r="G130" s="62">
        <f ca="1">$E$2-F130</f>
        <v>10</v>
      </c>
      <c r="H130" s="54"/>
      <c r="I130" s="54">
        <f>E130-H130</f>
        <v>5517</v>
      </c>
      <c r="J130" s="55"/>
      <c r="K130" s="56"/>
    </row>
    <row r="131" spans="1:12" ht="11.1" customHeight="1">
      <c r="A131" s="45"/>
      <c r="B131" s="45"/>
      <c r="C131" s="45"/>
      <c r="D131" s="63">
        <v>5517</v>
      </c>
      <c r="E131" s="60">
        <v>5517</v>
      </c>
      <c r="F131" s="45"/>
      <c r="G131" s="45"/>
      <c r="H131" s="54"/>
      <c r="I131" s="54"/>
      <c r="J131" s="55"/>
      <c r="K131" s="56"/>
    </row>
    <row r="132" spans="1:12" ht="11.1" customHeight="1">
      <c r="A132" s="45"/>
      <c r="B132" s="45"/>
      <c r="C132" s="68" t="s">
        <v>241</v>
      </c>
      <c r="D132" s="45"/>
      <c r="E132" s="53"/>
      <c r="F132" s="45"/>
      <c r="G132" s="45"/>
      <c r="H132" s="54"/>
      <c r="I132" s="54"/>
      <c r="J132" s="55"/>
      <c r="K132" s="56"/>
      <c r="L132" t="s">
        <v>545</v>
      </c>
    </row>
    <row r="133" spans="1:12" ht="11.1" customHeight="1">
      <c r="A133" s="57">
        <v>46105</v>
      </c>
      <c r="B133" s="58" t="s">
        <v>240</v>
      </c>
      <c r="C133" s="45"/>
      <c r="D133" s="63">
        <v>12031</v>
      </c>
      <c r="E133" s="60">
        <v>12031</v>
      </c>
      <c r="F133" s="61">
        <v>46130</v>
      </c>
      <c r="G133" s="62">
        <f ca="1">$E$2-F133</f>
        <v>34</v>
      </c>
      <c r="H133" s="54"/>
      <c r="I133" s="54">
        <f>E133-H133</f>
        <v>12031</v>
      </c>
      <c r="J133" s="55" t="s">
        <v>242</v>
      </c>
      <c r="K133" s="56"/>
    </row>
    <row r="134" spans="1:12" ht="11.1" customHeight="1">
      <c r="A134" s="57">
        <v>46122</v>
      </c>
      <c r="B134" s="58" t="s">
        <v>243</v>
      </c>
      <c r="C134" s="45"/>
      <c r="D134" s="63">
        <v>6100</v>
      </c>
      <c r="E134" s="60">
        <v>6100</v>
      </c>
      <c r="F134" s="61">
        <v>46147</v>
      </c>
      <c r="G134" s="62">
        <f ca="1">$E$2-F134</f>
        <v>17</v>
      </c>
      <c r="H134" s="54"/>
      <c r="I134" s="54">
        <f>E134-H134</f>
        <v>6100</v>
      </c>
      <c r="J134" s="55" t="s">
        <v>242</v>
      </c>
      <c r="K134" s="56"/>
    </row>
    <row r="135" spans="1:12" ht="11.1" customHeight="1">
      <c r="A135" s="57">
        <v>46137</v>
      </c>
      <c r="B135" s="58" t="s">
        <v>244</v>
      </c>
      <c r="C135" s="45"/>
      <c r="D135" s="63">
        <v>3812</v>
      </c>
      <c r="E135" s="59">
        <v>3812</v>
      </c>
      <c r="F135" s="61">
        <v>46162</v>
      </c>
      <c r="G135" s="45"/>
      <c r="H135" s="54"/>
      <c r="I135" s="54"/>
      <c r="J135" s="55"/>
      <c r="K135" s="56"/>
    </row>
    <row r="136" spans="1:12" ht="11.1" customHeight="1">
      <c r="A136" s="45"/>
      <c r="B136" s="45"/>
      <c r="C136" s="45"/>
      <c r="D136" s="63">
        <v>21943</v>
      </c>
      <c r="E136" s="60">
        <v>21943</v>
      </c>
      <c r="F136" s="45"/>
      <c r="G136" s="45"/>
      <c r="H136" s="54"/>
      <c r="I136" s="54"/>
      <c r="J136" s="55"/>
      <c r="K136" s="56"/>
    </row>
    <row r="137" spans="1:12" ht="11.1" customHeight="1">
      <c r="A137" s="45"/>
      <c r="B137" s="45"/>
      <c r="C137" s="52" t="s">
        <v>246</v>
      </c>
      <c r="D137" s="45"/>
      <c r="E137" s="53"/>
      <c r="F137" s="45"/>
      <c r="G137" s="45"/>
      <c r="H137" s="54"/>
      <c r="I137" s="54"/>
      <c r="J137" s="55"/>
      <c r="K137" s="56"/>
      <c r="L137" t="s">
        <v>542</v>
      </c>
    </row>
    <row r="138" spans="1:12" ht="11.1" customHeight="1">
      <c r="A138" s="57">
        <v>46059</v>
      </c>
      <c r="B138" s="58" t="s">
        <v>245</v>
      </c>
      <c r="C138" s="45"/>
      <c r="D138" s="63">
        <v>19279</v>
      </c>
      <c r="E138" s="60">
        <v>19279</v>
      </c>
      <c r="F138" s="61">
        <v>46084</v>
      </c>
      <c r="G138" s="62">
        <f ca="1">$E$2-F138</f>
        <v>80</v>
      </c>
      <c r="H138" s="54"/>
      <c r="I138" s="54">
        <f>E138-H138</f>
        <v>19279</v>
      </c>
      <c r="J138" s="55"/>
      <c r="K138" s="55" t="s">
        <v>546</v>
      </c>
    </row>
    <row r="139" spans="1:12" ht="11.1" customHeight="1">
      <c r="A139" s="45"/>
      <c r="B139" s="45"/>
      <c r="C139" s="45"/>
      <c r="D139" s="63">
        <v>19279</v>
      </c>
      <c r="E139" s="60">
        <v>19279</v>
      </c>
      <c r="F139" s="45"/>
      <c r="G139" s="45"/>
      <c r="H139" s="54"/>
      <c r="I139" s="54"/>
      <c r="J139" s="55"/>
      <c r="K139" s="56"/>
    </row>
    <row r="140" spans="1:12" ht="11.1" customHeight="1">
      <c r="A140" s="45"/>
      <c r="B140" s="45"/>
      <c r="C140" s="52" t="s">
        <v>248</v>
      </c>
      <c r="D140" s="45"/>
      <c r="E140" s="53"/>
      <c r="F140" s="45"/>
      <c r="G140" s="45"/>
      <c r="H140" s="54"/>
      <c r="I140" s="54"/>
      <c r="J140" s="55"/>
      <c r="K140" s="56"/>
      <c r="L140" t="s">
        <v>547</v>
      </c>
    </row>
    <row r="141" spans="1:12" ht="11.1" customHeight="1">
      <c r="A141" s="57">
        <v>46105</v>
      </c>
      <c r="B141" s="58" t="s">
        <v>247</v>
      </c>
      <c r="C141" s="45"/>
      <c r="D141" s="63">
        <v>3988</v>
      </c>
      <c r="E141" s="60">
        <v>3988</v>
      </c>
      <c r="F141" s="61">
        <v>46130</v>
      </c>
      <c r="G141" s="62">
        <f ca="1">$E$2-F141</f>
        <v>34</v>
      </c>
      <c r="H141" s="54"/>
      <c r="I141" s="54">
        <f>E141-H141</f>
        <v>3988</v>
      </c>
      <c r="J141" s="55"/>
      <c r="K141" s="55" t="s">
        <v>546</v>
      </c>
    </row>
    <row r="142" spans="1:12" ht="11.1" customHeight="1">
      <c r="A142" s="57">
        <v>46121</v>
      </c>
      <c r="B142" s="58" t="s">
        <v>249</v>
      </c>
      <c r="C142" s="45"/>
      <c r="D142" s="63">
        <v>2021</v>
      </c>
      <c r="E142" s="60">
        <v>2021</v>
      </c>
      <c r="F142" s="61">
        <v>46146</v>
      </c>
      <c r="G142" s="62">
        <f ca="1">$E$2-F142</f>
        <v>18</v>
      </c>
      <c r="H142" s="54"/>
      <c r="I142" s="54">
        <f>E142-H142</f>
        <v>2021</v>
      </c>
      <c r="J142" s="55"/>
      <c r="K142" s="55" t="s">
        <v>546</v>
      </c>
    </row>
    <row r="143" spans="1:12" ht="11.1" customHeight="1">
      <c r="A143" s="45"/>
      <c r="B143" s="45"/>
      <c r="C143" s="45"/>
      <c r="D143" s="63">
        <v>6009</v>
      </c>
      <c r="E143" s="60">
        <v>6009</v>
      </c>
      <c r="F143" s="45"/>
      <c r="G143" s="45"/>
      <c r="H143" s="54"/>
      <c r="I143" s="54"/>
      <c r="J143" s="55"/>
      <c r="K143" s="56"/>
    </row>
    <row r="144" spans="1:12" ht="11.1" customHeight="1">
      <c r="A144" s="45"/>
      <c r="B144" s="45"/>
      <c r="C144" s="52" t="s">
        <v>251</v>
      </c>
      <c r="D144" s="45"/>
      <c r="E144" s="53"/>
      <c r="F144" s="45"/>
      <c r="G144" s="45"/>
      <c r="H144" s="54"/>
      <c r="I144" s="54"/>
      <c r="J144" s="55"/>
      <c r="K144" s="56"/>
      <c r="L144" t="s">
        <v>548</v>
      </c>
    </row>
    <row r="145" spans="1:12" ht="11.1" customHeight="1">
      <c r="A145" s="57">
        <v>46107</v>
      </c>
      <c r="B145" s="58" t="s">
        <v>250</v>
      </c>
      <c r="C145" s="45"/>
      <c r="D145" s="63">
        <v>28248</v>
      </c>
      <c r="E145" s="60">
        <v>28248</v>
      </c>
      <c r="F145" s="61">
        <v>46132</v>
      </c>
      <c r="G145" s="62">
        <f ca="1">$E$2-F145</f>
        <v>32</v>
      </c>
      <c r="H145" s="54"/>
      <c r="I145" s="54">
        <f>E145-H145</f>
        <v>28248</v>
      </c>
      <c r="J145" s="55"/>
      <c r="K145" s="55" t="s">
        <v>549</v>
      </c>
    </row>
    <row r="146" spans="1:12" ht="11.1" customHeight="1">
      <c r="A146" s="45"/>
      <c r="B146" s="45"/>
      <c r="C146" s="45"/>
      <c r="D146" s="63">
        <v>28248</v>
      </c>
      <c r="E146" s="60">
        <v>28248</v>
      </c>
      <c r="F146" s="45"/>
      <c r="G146" s="45"/>
      <c r="H146" s="54"/>
      <c r="I146" s="54"/>
      <c r="J146" s="55"/>
      <c r="K146" s="56"/>
    </row>
    <row r="147" spans="1:12" ht="11.1" customHeight="1">
      <c r="A147" s="45"/>
      <c r="B147" s="45"/>
      <c r="C147" s="52" t="s">
        <v>253</v>
      </c>
      <c r="D147" s="45"/>
      <c r="E147" s="53"/>
      <c r="F147" s="45"/>
      <c r="G147" s="45"/>
      <c r="H147" s="54"/>
      <c r="I147" s="54"/>
      <c r="J147" s="55"/>
      <c r="K147" s="56"/>
    </row>
    <row r="148" spans="1:12" ht="11.1" customHeight="1">
      <c r="A148" s="57">
        <v>46130</v>
      </c>
      <c r="B148" s="58" t="s">
        <v>252</v>
      </c>
      <c r="C148" s="45"/>
      <c r="D148" s="63">
        <v>3176</v>
      </c>
      <c r="E148" s="60">
        <v>3176</v>
      </c>
      <c r="F148" s="61">
        <v>46155</v>
      </c>
      <c r="G148" s="62">
        <f ca="1">$E$2-F148</f>
        <v>9</v>
      </c>
      <c r="H148" s="54"/>
      <c r="I148" s="54">
        <f>E148-H148</f>
        <v>3176</v>
      </c>
      <c r="J148" s="55"/>
      <c r="K148" s="56"/>
    </row>
    <row r="149" spans="1:12" ht="11.1" customHeight="1">
      <c r="A149" s="45"/>
      <c r="B149" s="45"/>
      <c r="C149" s="45"/>
      <c r="D149" s="63">
        <v>3176</v>
      </c>
      <c r="E149" s="60">
        <v>3176</v>
      </c>
      <c r="F149" s="45"/>
      <c r="G149" s="45"/>
      <c r="H149" s="54"/>
      <c r="I149" s="54"/>
      <c r="J149" s="55"/>
      <c r="K149" s="56"/>
    </row>
    <row r="150" spans="1:12" ht="11.1" customHeight="1">
      <c r="A150" s="45"/>
      <c r="B150" s="45"/>
      <c r="C150" s="52" t="s">
        <v>255</v>
      </c>
      <c r="D150" s="45"/>
      <c r="E150" s="53"/>
      <c r="F150" s="45"/>
      <c r="G150" s="45"/>
      <c r="H150" s="54"/>
      <c r="I150" s="54"/>
      <c r="J150" s="55"/>
      <c r="K150" s="56"/>
    </row>
    <row r="151" spans="1:12" ht="11.1" customHeight="1">
      <c r="A151" s="57">
        <v>46134</v>
      </c>
      <c r="B151" s="58" t="s">
        <v>254</v>
      </c>
      <c r="C151" s="45"/>
      <c r="D151" s="63">
        <v>458</v>
      </c>
      <c r="E151" s="59">
        <v>458</v>
      </c>
      <c r="F151" s="61">
        <v>46159</v>
      </c>
      <c r="G151" s="62">
        <f ca="1">$E$2-F151</f>
        <v>5</v>
      </c>
      <c r="H151" s="54"/>
      <c r="I151" s="54">
        <f>E151-H151</f>
        <v>458</v>
      </c>
      <c r="J151" s="55"/>
      <c r="K151" s="56"/>
    </row>
    <row r="152" spans="1:12" ht="11.1" customHeight="1">
      <c r="A152" s="45"/>
      <c r="B152" s="45"/>
      <c r="C152" s="45"/>
      <c r="D152" s="63">
        <v>458</v>
      </c>
      <c r="E152" s="60">
        <v>458</v>
      </c>
      <c r="F152" s="45"/>
      <c r="G152" s="45"/>
      <c r="H152" s="54"/>
      <c r="I152" s="54"/>
      <c r="J152" s="55"/>
      <c r="K152" s="56"/>
    </row>
    <row r="153" spans="1:12" ht="11.1" customHeight="1">
      <c r="A153" s="45"/>
      <c r="B153" s="45"/>
      <c r="C153" s="52" t="s">
        <v>257</v>
      </c>
      <c r="D153" s="45"/>
      <c r="E153" s="53"/>
      <c r="F153" s="45"/>
      <c r="G153" s="45"/>
      <c r="H153" s="54"/>
      <c r="I153" s="54"/>
      <c r="J153" s="55"/>
      <c r="K153" s="56"/>
      <c r="L153" t="s">
        <v>550</v>
      </c>
    </row>
    <row r="154" spans="1:12" ht="11.1" customHeight="1">
      <c r="A154" s="57">
        <v>45965</v>
      </c>
      <c r="B154" s="58" t="s">
        <v>256</v>
      </c>
      <c r="C154" s="45"/>
      <c r="D154" s="63">
        <v>31676</v>
      </c>
      <c r="E154" s="60">
        <v>9357</v>
      </c>
      <c r="F154" s="61">
        <v>45990</v>
      </c>
      <c r="G154" s="62">
        <f ca="1">$E$2-F154</f>
        <v>174</v>
      </c>
      <c r="H154" s="54"/>
      <c r="I154" s="54">
        <f>E154-H154</f>
        <v>9357</v>
      </c>
      <c r="J154" s="55" t="s">
        <v>258</v>
      </c>
      <c r="K154" s="56"/>
    </row>
    <row r="155" spans="1:12" ht="11.1" customHeight="1">
      <c r="A155" s="57">
        <v>46021</v>
      </c>
      <c r="B155" s="58" t="s">
        <v>259</v>
      </c>
      <c r="C155" s="45"/>
      <c r="D155" s="63">
        <v>643</v>
      </c>
      <c r="E155" s="60">
        <v>643</v>
      </c>
      <c r="F155" s="61">
        <v>46046</v>
      </c>
      <c r="G155" s="62">
        <f ca="1">$E$2-F155</f>
        <v>118</v>
      </c>
      <c r="H155" s="54"/>
      <c r="I155" s="54">
        <f>E155-H155</f>
        <v>643</v>
      </c>
      <c r="J155" s="55"/>
      <c r="K155" s="56"/>
    </row>
    <row r="156" spans="1:12" ht="11.1" customHeight="1">
      <c r="A156" s="45"/>
      <c r="B156" s="45"/>
      <c r="C156" s="45"/>
      <c r="D156" s="63">
        <v>32319</v>
      </c>
      <c r="E156" s="60">
        <v>10000</v>
      </c>
      <c r="F156" s="45"/>
      <c r="G156" s="45"/>
      <c r="H156" s="54"/>
      <c r="I156" s="54"/>
      <c r="J156" s="55"/>
      <c r="K156" s="56"/>
    </row>
    <row r="157" spans="1:12" ht="11.1" customHeight="1">
      <c r="A157" s="45"/>
      <c r="B157" s="45"/>
      <c r="C157" s="52" t="s">
        <v>261</v>
      </c>
      <c r="D157" s="45"/>
      <c r="E157" s="53"/>
      <c r="F157" s="45"/>
      <c r="G157" s="45"/>
      <c r="H157" s="54"/>
      <c r="I157" s="54"/>
      <c r="J157" s="55"/>
      <c r="K157" s="56"/>
      <c r="L157" t="s">
        <v>551</v>
      </c>
    </row>
    <row r="158" spans="1:12" ht="11.1" customHeight="1">
      <c r="A158" s="57">
        <v>46099</v>
      </c>
      <c r="B158" s="58" t="s">
        <v>260</v>
      </c>
      <c r="C158" s="45"/>
      <c r="D158" s="63">
        <v>12623</v>
      </c>
      <c r="E158" s="60">
        <v>12623</v>
      </c>
      <c r="F158" s="61">
        <v>46124</v>
      </c>
      <c r="G158" s="62">
        <f ca="1">$E$2-F158</f>
        <v>40</v>
      </c>
      <c r="H158" s="54"/>
      <c r="I158" s="54">
        <f>E158-H158</f>
        <v>12623</v>
      </c>
      <c r="J158" s="55"/>
      <c r="K158" s="56"/>
    </row>
    <row r="159" spans="1:12" ht="11.1" customHeight="1">
      <c r="A159" s="45"/>
      <c r="B159" s="45"/>
      <c r="C159" s="45"/>
      <c r="D159" s="63">
        <v>12623</v>
      </c>
      <c r="E159" s="60">
        <v>12623</v>
      </c>
      <c r="F159" s="45"/>
      <c r="G159" s="45"/>
      <c r="H159" s="54"/>
      <c r="I159" s="54"/>
      <c r="J159" s="58" t="s">
        <v>530</v>
      </c>
      <c r="K159" s="56"/>
    </row>
    <row r="160" spans="1:12" ht="11.1" customHeight="1">
      <c r="A160" s="45"/>
      <c r="B160" s="45"/>
      <c r="C160" s="52" t="s">
        <v>263</v>
      </c>
      <c r="D160" s="45"/>
      <c r="E160" s="45"/>
      <c r="F160" s="45"/>
      <c r="G160" s="45"/>
      <c r="H160" s="54"/>
      <c r="I160" s="54"/>
      <c r="J160" s="55"/>
      <c r="K160" s="56"/>
      <c r="L160" t="s">
        <v>552</v>
      </c>
    </row>
    <row r="161" spans="1:12" ht="11.1" customHeight="1">
      <c r="A161" s="57">
        <v>46059</v>
      </c>
      <c r="B161" s="58" t="s">
        <v>262</v>
      </c>
      <c r="C161" s="45"/>
      <c r="D161" s="63">
        <v>9634</v>
      </c>
      <c r="E161" s="69">
        <v>9634</v>
      </c>
      <c r="F161" s="61">
        <v>46084</v>
      </c>
      <c r="G161" s="62">
        <f ca="1">$E$2-F161</f>
        <v>80</v>
      </c>
      <c r="H161" s="54"/>
      <c r="I161" s="54">
        <f>E161-H161</f>
        <v>9634</v>
      </c>
      <c r="J161" s="55"/>
      <c r="K161" s="56"/>
    </row>
    <row r="162" spans="1:12" ht="11.1" customHeight="1">
      <c r="A162" s="57">
        <v>46088</v>
      </c>
      <c r="B162" s="58" t="s">
        <v>264</v>
      </c>
      <c r="C162" s="45"/>
      <c r="D162" s="63">
        <v>4466</v>
      </c>
      <c r="E162" s="69">
        <v>4466</v>
      </c>
      <c r="F162" s="61">
        <v>46113</v>
      </c>
      <c r="G162" s="62">
        <f ca="1">$E$2-F162</f>
        <v>51</v>
      </c>
      <c r="H162" s="54"/>
      <c r="I162" s="54">
        <f>E162-H162</f>
        <v>4466</v>
      </c>
      <c r="J162" s="55"/>
      <c r="K162" s="56"/>
    </row>
    <row r="163" spans="1:12" ht="11.1" customHeight="1">
      <c r="A163" s="45"/>
      <c r="B163" s="45"/>
      <c r="C163" s="45"/>
      <c r="D163" s="63">
        <v>14100</v>
      </c>
      <c r="E163" s="69">
        <v>14100</v>
      </c>
      <c r="F163" s="45"/>
      <c r="G163" s="45"/>
      <c r="H163" s="54"/>
      <c r="I163" s="54"/>
      <c r="J163" s="58" t="s">
        <v>530</v>
      </c>
      <c r="K163" s="56"/>
    </row>
    <row r="164" spans="1:12" ht="11.1" customHeight="1">
      <c r="A164" s="45"/>
      <c r="B164" s="45"/>
      <c r="C164" s="52" t="s">
        <v>266</v>
      </c>
      <c r="D164" s="45"/>
      <c r="E164" s="45"/>
      <c r="F164" s="45"/>
      <c r="G164" s="45"/>
      <c r="H164" s="54"/>
      <c r="I164" s="54"/>
      <c r="J164" s="55"/>
      <c r="K164" s="56"/>
      <c r="L164" t="s">
        <v>553</v>
      </c>
    </row>
    <row r="165" spans="1:12" ht="11.1" customHeight="1">
      <c r="A165" s="57">
        <v>46084</v>
      </c>
      <c r="B165" s="58" t="s">
        <v>265</v>
      </c>
      <c r="C165" s="45"/>
      <c r="D165" s="63">
        <v>6372</v>
      </c>
      <c r="E165" s="69">
        <v>6372</v>
      </c>
      <c r="F165" s="61">
        <v>46109</v>
      </c>
      <c r="G165" s="62">
        <f ca="1">$E$2-F165</f>
        <v>55</v>
      </c>
      <c r="H165" s="54"/>
      <c r="I165" s="54">
        <f>E165-H165</f>
        <v>6372</v>
      </c>
      <c r="J165" s="55"/>
      <c r="K165" s="56"/>
    </row>
    <row r="166" spans="1:12" ht="11.1" customHeight="1">
      <c r="A166" s="45"/>
      <c r="B166" s="45"/>
      <c r="C166" s="45"/>
      <c r="D166" s="63">
        <v>6372</v>
      </c>
      <c r="E166" s="69">
        <v>6372</v>
      </c>
      <c r="F166" s="45"/>
      <c r="G166" s="45"/>
      <c r="H166" s="54"/>
      <c r="I166" s="54"/>
      <c r="J166" s="58" t="s">
        <v>530</v>
      </c>
      <c r="K166" s="56"/>
    </row>
    <row r="167" spans="1:12" ht="11.1" customHeight="1">
      <c r="A167" s="45"/>
      <c r="B167" s="45"/>
      <c r="C167" s="52" t="s">
        <v>268</v>
      </c>
      <c r="D167" s="45"/>
      <c r="E167" s="45"/>
      <c r="F167" s="45"/>
      <c r="G167" s="45"/>
      <c r="H167" s="54"/>
      <c r="I167" s="54"/>
      <c r="J167" s="55"/>
      <c r="K167" s="56"/>
      <c r="L167" t="s">
        <v>554</v>
      </c>
    </row>
    <row r="168" spans="1:12" ht="11.1" customHeight="1">
      <c r="A168" s="57">
        <v>46070</v>
      </c>
      <c r="B168" s="58" t="s">
        <v>267</v>
      </c>
      <c r="C168" s="45"/>
      <c r="D168" s="63">
        <v>9276</v>
      </c>
      <c r="E168" s="69">
        <v>9276</v>
      </c>
      <c r="F168" s="61">
        <v>46095</v>
      </c>
      <c r="G168" s="62">
        <f ca="1">$E$2-F168</f>
        <v>69</v>
      </c>
      <c r="H168" s="54"/>
      <c r="I168" s="54">
        <f>E168-H168</f>
        <v>9276</v>
      </c>
      <c r="J168" s="55"/>
      <c r="K168" s="56"/>
    </row>
    <row r="169" spans="1:12" ht="11.1" customHeight="1">
      <c r="A169" s="57">
        <v>46071</v>
      </c>
      <c r="B169" s="58" t="s">
        <v>269</v>
      </c>
      <c r="C169" s="45"/>
      <c r="D169" s="63">
        <v>1274</v>
      </c>
      <c r="E169" s="69">
        <v>1274</v>
      </c>
      <c r="F169" s="61">
        <v>46096</v>
      </c>
      <c r="G169" s="62">
        <f ca="1">$E$2-F169</f>
        <v>68</v>
      </c>
      <c r="H169" s="54"/>
      <c r="I169" s="54">
        <f>E169-H169</f>
        <v>1274</v>
      </c>
      <c r="J169" s="55"/>
      <c r="K169" s="56"/>
    </row>
    <row r="170" spans="1:12" ht="11.1" customHeight="1">
      <c r="A170" s="57">
        <v>46084</v>
      </c>
      <c r="B170" s="58" t="s">
        <v>270</v>
      </c>
      <c r="C170" s="45"/>
      <c r="D170" s="63">
        <v>6712</v>
      </c>
      <c r="E170" s="69">
        <v>6712</v>
      </c>
      <c r="F170" s="61">
        <v>46109</v>
      </c>
      <c r="G170" s="62">
        <f ca="1">$E$2-F170</f>
        <v>55</v>
      </c>
      <c r="H170" s="54"/>
      <c r="I170" s="54">
        <f>E170-H170</f>
        <v>6712</v>
      </c>
      <c r="J170" s="55"/>
      <c r="K170" s="56"/>
    </row>
    <row r="171" spans="1:12" ht="11.1" customHeight="1">
      <c r="A171" s="45"/>
      <c r="B171" s="45"/>
      <c r="C171" s="45"/>
      <c r="D171" s="63">
        <v>17262</v>
      </c>
      <c r="E171" s="69">
        <v>17262</v>
      </c>
      <c r="F171" s="45"/>
      <c r="G171" s="45"/>
      <c r="H171" s="54"/>
      <c r="I171" s="54"/>
      <c r="J171" s="58" t="s">
        <v>530</v>
      </c>
      <c r="K171" s="56"/>
    </row>
    <row r="172" spans="1:12" ht="11.1" customHeight="1">
      <c r="A172" s="45"/>
      <c r="B172" s="45"/>
      <c r="C172" s="52" t="s">
        <v>271</v>
      </c>
      <c r="D172" s="45"/>
      <c r="E172" s="45"/>
      <c r="F172" s="45"/>
      <c r="G172" s="45"/>
      <c r="H172" s="54"/>
      <c r="I172" s="54"/>
      <c r="J172" s="55"/>
      <c r="K172" s="56"/>
    </row>
    <row r="173" spans="1:12" ht="11.1" customHeight="1">
      <c r="A173" s="57">
        <v>46010</v>
      </c>
      <c r="B173" s="58" t="s">
        <v>187</v>
      </c>
      <c r="C173" s="45"/>
      <c r="D173" s="63">
        <v>500</v>
      </c>
      <c r="E173" s="69">
        <v>500</v>
      </c>
      <c r="F173" s="61">
        <v>46010</v>
      </c>
      <c r="G173" s="62">
        <f ca="1">$E$2-F173</f>
        <v>154</v>
      </c>
      <c r="H173" s="54"/>
      <c r="I173" s="54">
        <f>E173-H173</f>
        <v>500</v>
      </c>
      <c r="J173" s="55"/>
      <c r="K173" s="56"/>
    </row>
    <row r="174" spans="1:12" ht="11.1" customHeight="1">
      <c r="A174" s="45"/>
      <c r="B174" s="45"/>
      <c r="C174" s="45"/>
      <c r="D174" s="63">
        <v>500</v>
      </c>
      <c r="E174" s="69">
        <v>500</v>
      </c>
      <c r="F174" s="45"/>
      <c r="G174" s="45"/>
      <c r="H174" s="54"/>
      <c r="I174" s="54"/>
      <c r="J174" s="55"/>
      <c r="K174" s="56"/>
    </row>
    <row r="175" spans="1:12" ht="11.1" customHeight="1">
      <c r="A175" s="45"/>
      <c r="B175" s="45"/>
      <c r="C175" s="52" t="s">
        <v>273</v>
      </c>
      <c r="D175" s="45"/>
      <c r="E175" s="45"/>
      <c r="F175" s="45"/>
      <c r="G175" s="45"/>
      <c r="H175" s="54"/>
      <c r="I175" s="54"/>
      <c r="J175" s="55"/>
      <c r="K175" s="56"/>
      <c r="L175" t="s">
        <v>555</v>
      </c>
    </row>
    <row r="176" spans="1:12" ht="11.1" customHeight="1">
      <c r="A176" s="57">
        <v>46098</v>
      </c>
      <c r="B176" s="58" t="s">
        <v>272</v>
      </c>
      <c r="C176" s="45"/>
      <c r="D176" s="63">
        <v>15868</v>
      </c>
      <c r="E176" s="69">
        <v>15868</v>
      </c>
      <c r="F176" s="61">
        <v>46123</v>
      </c>
      <c r="G176" s="62">
        <f ca="1">$E$2-F176</f>
        <v>41</v>
      </c>
      <c r="H176" s="54"/>
      <c r="I176" s="54"/>
      <c r="J176" s="55"/>
      <c r="K176" s="56"/>
    </row>
    <row r="177" spans="1:12" ht="11.1" customHeight="1">
      <c r="A177" s="45"/>
      <c r="B177" s="45"/>
      <c r="C177" s="45"/>
      <c r="D177" s="63">
        <v>15868</v>
      </c>
      <c r="E177" s="69">
        <v>15868</v>
      </c>
      <c r="F177" s="45"/>
      <c r="G177" s="45"/>
      <c r="H177" s="54">
        <v>15868</v>
      </c>
      <c r="I177" s="54">
        <f>E177-H177</f>
        <v>0</v>
      </c>
      <c r="J177" s="55" t="s">
        <v>510</v>
      </c>
      <c r="K177" s="56"/>
    </row>
    <row r="178" spans="1:12" ht="11.1" customHeight="1">
      <c r="A178" s="45"/>
      <c r="B178" s="45"/>
      <c r="C178" s="52" t="s">
        <v>275</v>
      </c>
      <c r="D178" s="45"/>
      <c r="E178" s="45"/>
      <c r="F178" s="45"/>
      <c r="G178" s="45"/>
      <c r="H178" s="54"/>
      <c r="I178" s="54"/>
      <c r="J178" s="55"/>
      <c r="K178" s="56"/>
      <c r="L178" t="s">
        <v>556</v>
      </c>
    </row>
    <row r="179" spans="1:12" ht="11.1" customHeight="1">
      <c r="A179" s="57">
        <v>46002</v>
      </c>
      <c r="B179" s="58" t="s">
        <v>274</v>
      </c>
      <c r="C179" s="45"/>
      <c r="D179" s="63">
        <v>5197</v>
      </c>
      <c r="E179" s="69">
        <v>5197</v>
      </c>
      <c r="F179" s="61">
        <v>46027</v>
      </c>
      <c r="G179" s="62">
        <f ca="1">$E$2-F179</f>
        <v>137</v>
      </c>
      <c r="H179" s="54"/>
      <c r="I179" s="54">
        <f>E179-H179</f>
        <v>5197</v>
      </c>
      <c r="J179" s="55"/>
      <c r="K179" s="56"/>
    </row>
    <row r="180" spans="1:12" ht="11.1" customHeight="1">
      <c r="A180" s="45"/>
      <c r="B180" s="45"/>
      <c r="C180" s="45"/>
      <c r="D180" s="63">
        <v>5197</v>
      </c>
      <c r="E180" s="69">
        <v>5197</v>
      </c>
      <c r="F180" s="45"/>
      <c r="G180" s="45"/>
      <c r="H180" s="54"/>
      <c r="I180" s="54"/>
      <c r="J180" s="55"/>
      <c r="K180" s="56"/>
    </row>
    <row r="181" spans="1:12" ht="11.1" customHeight="1">
      <c r="A181" s="45"/>
      <c r="B181" s="45"/>
      <c r="C181" s="70" t="s">
        <v>500</v>
      </c>
      <c r="D181" s="63">
        <v>992959</v>
      </c>
      <c r="E181" s="69">
        <v>726782</v>
      </c>
      <c r="F181" s="45"/>
      <c r="G181" s="45"/>
      <c r="H181" s="71">
        <f>SUM(H15:H180)</f>
        <v>123595</v>
      </c>
      <c r="I181" s="72">
        <f>SUM(I4:I180)</f>
        <v>556297</v>
      </c>
      <c r="J181" s="54"/>
      <c r="K181" s="56"/>
    </row>
    <row r="182" spans="1:12" ht="11.1" customHeight="1"/>
    <row r="183" spans="1:12" ht="11.1" customHeight="1"/>
    <row r="184" spans="1:12" ht="11.1" customHeight="1"/>
    <row r="185" spans="1:12" ht="11.1" customHeight="1"/>
    <row r="186" spans="1:12" ht="11.1" customHeight="1"/>
    <row r="187" spans="1:12" ht="11.1" customHeight="1"/>
    <row r="188" spans="1:12" ht="11.1" customHeight="1"/>
    <row r="189" spans="1:12" ht="11.1" customHeight="1"/>
    <row r="190" spans="1:12" ht="11.1" customHeight="1"/>
    <row r="191" spans="1:12" ht="11.1" customHeight="1"/>
    <row r="192" spans="1:12" ht="11.1" customHeight="1"/>
    <row r="193" ht="11.1" customHeight="1"/>
    <row r="194" ht="11.1" customHeight="1"/>
    <row r="195" ht="11.1" customHeight="1"/>
    <row r="196" ht="11.1" customHeight="1"/>
    <row r="197" ht="11.1" customHeight="1"/>
    <row r="198" ht="11.1" customHeight="1"/>
    <row r="199" ht="11.1" customHeight="1"/>
    <row r="200" ht="11.1" customHeight="1"/>
    <row r="201" ht="11.1" customHeight="1"/>
    <row r="202" ht="11.1" customHeight="1"/>
    <row r="203" ht="11.1" customHeight="1"/>
    <row r="204" ht="11.1" customHeight="1"/>
    <row r="205" ht="11.1" customHeight="1"/>
    <row r="206" ht="11.1" customHeight="1"/>
    <row r="207" ht="11.1" customHeight="1"/>
    <row r="208" ht="11.1" customHeight="1"/>
  </sheetData>
  <mergeCells count="4">
    <mergeCell ref="B1:C1"/>
    <mergeCell ref="B2:C2"/>
    <mergeCell ref="A3:XFD3"/>
    <mergeCell ref="D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7"/>
  <sheetViews>
    <sheetView workbookViewId="0"/>
  </sheetViews>
  <sheetFormatPr defaultRowHeight="14.4"/>
  <cols>
    <col min="1" max="1" width="11.6640625" customWidth="1"/>
    <col min="2" max="2" width="19.33203125" customWidth="1"/>
    <col min="3" max="3" width="32.6640625" customWidth="1"/>
    <col min="4" max="4" width="13.44140625" customWidth="1"/>
    <col min="5" max="5" width="13.109375" customWidth="1"/>
    <col min="6" max="6" width="10" customWidth="1"/>
    <col min="7" max="7" width="16.109375" customWidth="1"/>
    <col min="9" max="9" width="15" customWidth="1"/>
    <col min="10" max="10" width="19" customWidth="1"/>
  </cols>
  <sheetData>
    <row r="1" spans="1:11">
      <c r="A1" s="73" t="s">
        <v>489</v>
      </c>
      <c r="B1" s="139" t="s">
        <v>40</v>
      </c>
      <c r="C1" s="136"/>
    </row>
    <row r="2" spans="1:11">
      <c r="A2" s="73" t="s">
        <v>491</v>
      </c>
      <c r="B2" s="139" t="s">
        <v>492</v>
      </c>
      <c r="C2" s="136"/>
      <c r="D2" s="74" t="s">
        <v>493</v>
      </c>
      <c r="E2" s="75">
        <f ca="1">TODAY()</f>
        <v>46164</v>
      </c>
    </row>
    <row r="3" spans="1:11" ht="7.5" customHeight="1"/>
    <row r="4" spans="1:11">
      <c r="A4" s="76" t="s">
        <v>4</v>
      </c>
      <c r="B4" s="77" t="s">
        <v>494</v>
      </c>
      <c r="C4" s="77" t="s">
        <v>495</v>
      </c>
      <c r="D4" s="78" t="s">
        <v>502</v>
      </c>
      <c r="E4" s="76" t="s">
        <v>503</v>
      </c>
      <c r="F4" s="77" t="s">
        <v>496</v>
      </c>
      <c r="G4" s="79" t="s">
        <v>11</v>
      </c>
      <c r="H4" s="79" t="s">
        <v>504</v>
      </c>
      <c r="I4" s="79" t="s">
        <v>505</v>
      </c>
      <c r="J4" s="44" t="s">
        <v>498</v>
      </c>
      <c r="K4" s="113" t="s">
        <v>16</v>
      </c>
    </row>
    <row r="5" spans="1:11">
      <c r="A5" s="80"/>
      <c r="B5" s="81"/>
      <c r="C5" s="80"/>
      <c r="D5" s="81"/>
      <c r="E5" s="80"/>
      <c r="F5" s="81"/>
      <c r="G5" s="81"/>
      <c r="H5" s="81"/>
      <c r="I5" s="81"/>
      <c r="J5" s="81"/>
    </row>
    <row r="6" spans="1:11">
      <c r="A6" s="82"/>
      <c r="B6" s="83"/>
      <c r="C6" s="82" t="s">
        <v>277</v>
      </c>
      <c r="D6" s="83"/>
      <c r="E6" s="82"/>
      <c r="F6" s="83"/>
      <c r="G6" s="83"/>
      <c r="H6" s="83"/>
      <c r="I6" s="83"/>
      <c r="J6" s="83"/>
    </row>
    <row r="7" spans="1:11">
      <c r="A7" s="84">
        <v>45083</v>
      </c>
      <c r="B7" s="83" t="s">
        <v>276</v>
      </c>
      <c r="C7" s="82"/>
      <c r="D7" s="83">
        <v>500</v>
      </c>
      <c r="E7" s="82">
        <v>500</v>
      </c>
      <c r="F7" s="85">
        <v>45083</v>
      </c>
      <c r="G7" s="83">
        <f ca="1">$E$2-F7</f>
        <v>1081</v>
      </c>
      <c r="H7" s="83"/>
      <c r="I7" s="83"/>
      <c r="J7" s="83" t="s">
        <v>278</v>
      </c>
    </row>
    <row r="8" spans="1:11">
      <c r="A8" s="84">
        <v>46087</v>
      </c>
      <c r="B8" s="83" t="s">
        <v>279</v>
      </c>
      <c r="C8" s="82"/>
      <c r="D8" s="83">
        <v>1427</v>
      </c>
      <c r="E8" s="82">
        <v>1427</v>
      </c>
      <c r="F8" s="85">
        <v>46112</v>
      </c>
      <c r="G8" s="83">
        <f ca="1">$E$2-F8</f>
        <v>52</v>
      </c>
      <c r="H8" s="83"/>
      <c r="I8" s="83"/>
      <c r="J8" s="83" t="s">
        <v>280</v>
      </c>
    </row>
    <row r="9" spans="1:11">
      <c r="A9" s="82"/>
      <c r="B9" s="83"/>
      <c r="C9" s="82"/>
      <c r="D9" s="83">
        <v>1927</v>
      </c>
      <c r="E9" s="82">
        <v>1927</v>
      </c>
      <c r="F9" s="83"/>
      <c r="G9" s="83"/>
      <c r="H9" s="83"/>
      <c r="I9" s="83"/>
      <c r="J9" s="83"/>
    </row>
    <row r="10" spans="1:11">
      <c r="A10" s="82"/>
      <c r="B10" s="83"/>
      <c r="C10" s="82" t="s">
        <v>282</v>
      </c>
      <c r="D10" s="83"/>
      <c r="E10" s="82"/>
      <c r="F10" s="83"/>
      <c r="G10" s="83"/>
      <c r="H10" s="83"/>
      <c r="I10" s="83"/>
      <c r="J10" s="83"/>
      <c r="K10" t="s">
        <v>557</v>
      </c>
    </row>
    <row r="11" spans="1:11">
      <c r="A11" s="84">
        <v>45870</v>
      </c>
      <c r="B11" s="83" t="s">
        <v>281</v>
      </c>
      <c r="C11" s="82"/>
      <c r="D11" s="83">
        <v>500</v>
      </c>
      <c r="E11" s="82">
        <v>400</v>
      </c>
      <c r="F11" s="85">
        <v>45895</v>
      </c>
      <c r="G11" s="83">
        <f ca="1">$E$2-F11</f>
        <v>269</v>
      </c>
      <c r="H11" s="83"/>
      <c r="I11" s="83"/>
      <c r="J11" s="83" t="s">
        <v>283</v>
      </c>
    </row>
    <row r="12" spans="1:11">
      <c r="A12" s="84">
        <v>46119</v>
      </c>
      <c r="B12" s="83" t="s">
        <v>284</v>
      </c>
      <c r="C12" s="82"/>
      <c r="D12" s="83">
        <v>500</v>
      </c>
      <c r="E12" s="82">
        <v>500</v>
      </c>
      <c r="F12" s="85">
        <v>46144</v>
      </c>
      <c r="G12" s="83">
        <f ca="1">$E$2-F12</f>
        <v>20</v>
      </c>
      <c r="H12" s="83"/>
      <c r="I12" s="83"/>
      <c r="J12" s="83" t="s">
        <v>283</v>
      </c>
    </row>
    <row r="13" spans="1:11">
      <c r="A13" s="84">
        <v>46156</v>
      </c>
      <c r="B13" s="83" t="s">
        <v>285</v>
      </c>
      <c r="C13" s="82"/>
      <c r="D13" s="83">
        <v>28600</v>
      </c>
      <c r="E13" s="82">
        <v>28600</v>
      </c>
      <c r="F13" s="85">
        <v>46181</v>
      </c>
      <c r="G13" s="83"/>
      <c r="H13" s="83"/>
      <c r="I13" s="83"/>
      <c r="J13" s="83"/>
    </row>
    <row r="14" spans="1:11">
      <c r="A14" s="82"/>
      <c r="B14" s="83"/>
      <c r="C14" s="82"/>
      <c r="D14" s="83">
        <v>29600</v>
      </c>
      <c r="E14" s="82">
        <v>29500</v>
      </c>
      <c r="F14" s="83"/>
      <c r="G14" s="83"/>
      <c r="H14" s="83"/>
      <c r="I14" s="83"/>
      <c r="J14" s="83"/>
    </row>
    <row r="15" spans="1:11">
      <c r="A15" s="82"/>
      <c r="B15" s="83"/>
      <c r="C15" s="82" t="s">
        <v>287</v>
      </c>
      <c r="D15" s="83"/>
      <c r="E15" s="82"/>
      <c r="F15" s="83"/>
      <c r="G15" s="83"/>
      <c r="H15" s="83"/>
      <c r="I15" s="83"/>
      <c r="J15" s="83"/>
      <c r="K15" t="s">
        <v>558</v>
      </c>
    </row>
    <row r="16" spans="1:11">
      <c r="A16" s="84">
        <v>46107</v>
      </c>
      <c r="B16" s="83" t="s">
        <v>286</v>
      </c>
      <c r="C16" s="82"/>
      <c r="D16" s="83">
        <v>67462</v>
      </c>
      <c r="E16" s="82">
        <v>67462</v>
      </c>
      <c r="F16" s="85">
        <v>46107</v>
      </c>
      <c r="G16" s="83">
        <f ca="1">$E$2-F16</f>
        <v>57</v>
      </c>
      <c r="H16" s="83"/>
      <c r="I16" s="83"/>
      <c r="J16" s="83" t="s">
        <v>288</v>
      </c>
    </row>
    <row r="17" spans="1:11">
      <c r="A17" s="82"/>
      <c r="B17" s="83"/>
      <c r="C17" s="82"/>
      <c r="D17" s="83">
        <v>67462</v>
      </c>
      <c r="E17" s="82">
        <v>67462</v>
      </c>
      <c r="F17" s="83"/>
      <c r="G17" s="83"/>
      <c r="H17" s="83">
        <f>20000</f>
        <v>20000</v>
      </c>
      <c r="I17" s="83">
        <f>E17-H17</f>
        <v>47462</v>
      </c>
      <c r="J17" s="83"/>
    </row>
    <row r="18" spans="1:11">
      <c r="A18" s="82"/>
      <c r="B18" s="83"/>
      <c r="C18" s="82" t="s">
        <v>290</v>
      </c>
      <c r="D18" s="83"/>
      <c r="E18" s="82"/>
      <c r="F18" s="83"/>
      <c r="G18" s="83"/>
      <c r="H18" s="83"/>
      <c r="I18" s="83"/>
      <c r="J18" s="83"/>
      <c r="K18" t="s">
        <v>559</v>
      </c>
    </row>
    <row r="19" spans="1:11">
      <c r="A19" s="84">
        <v>46087</v>
      </c>
      <c r="B19" s="83" t="s">
        <v>289</v>
      </c>
      <c r="C19" s="82"/>
      <c r="D19" s="83">
        <v>500</v>
      </c>
      <c r="E19" s="82">
        <v>500</v>
      </c>
      <c r="F19" s="85">
        <v>46112</v>
      </c>
      <c r="G19" s="83">
        <f ca="1">$E$2-F19</f>
        <v>52</v>
      </c>
      <c r="H19" s="83"/>
      <c r="I19" s="83"/>
      <c r="J19" s="83" t="s">
        <v>79</v>
      </c>
    </row>
    <row r="20" spans="1:11">
      <c r="A20" s="82"/>
      <c r="B20" s="83"/>
      <c r="C20" s="82"/>
      <c r="D20" s="83">
        <v>500</v>
      </c>
      <c r="E20" s="82">
        <v>500</v>
      </c>
      <c r="F20" s="83"/>
      <c r="G20" s="83"/>
      <c r="H20" s="83"/>
      <c r="I20" s="83"/>
      <c r="J20" s="83"/>
    </row>
    <row r="21" spans="1:11">
      <c r="A21" s="82"/>
      <c r="B21" s="83"/>
      <c r="C21" s="86" t="s">
        <v>46</v>
      </c>
      <c r="D21" s="83"/>
      <c r="E21" s="82"/>
      <c r="F21" s="83"/>
      <c r="G21" s="83"/>
      <c r="H21" s="83"/>
      <c r="I21" s="83"/>
      <c r="J21" s="83"/>
      <c r="K21" t="s">
        <v>560</v>
      </c>
    </row>
    <row r="22" spans="1:11">
      <c r="A22" s="84">
        <v>46008</v>
      </c>
      <c r="B22" s="83" t="s">
        <v>291</v>
      </c>
      <c r="C22" s="82"/>
      <c r="D22" s="83">
        <v>132634</v>
      </c>
      <c r="E22" s="82">
        <v>101670</v>
      </c>
      <c r="F22" s="85">
        <v>46033</v>
      </c>
      <c r="G22" s="83">
        <f t="shared" ref="G22:G27" ca="1" si="0">$E$2-F22</f>
        <v>131</v>
      </c>
      <c r="H22" s="83"/>
      <c r="I22" s="83"/>
      <c r="J22" s="83" t="s">
        <v>288</v>
      </c>
    </row>
    <row r="23" spans="1:11">
      <c r="A23" s="84">
        <v>46009</v>
      </c>
      <c r="B23" s="83" t="s">
        <v>292</v>
      </c>
      <c r="C23" s="82"/>
      <c r="D23" s="83">
        <v>45784</v>
      </c>
      <c r="E23" s="82">
        <v>45784</v>
      </c>
      <c r="F23" s="85">
        <v>46034</v>
      </c>
      <c r="G23" s="83">
        <f t="shared" ca="1" si="0"/>
        <v>130</v>
      </c>
      <c r="H23" s="83"/>
      <c r="I23" s="83"/>
      <c r="J23" s="83" t="s">
        <v>288</v>
      </c>
    </row>
    <row r="24" spans="1:11">
      <c r="A24" s="84">
        <v>46011</v>
      </c>
      <c r="B24" s="83" t="s">
        <v>293</v>
      </c>
      <c r="C24" s="82"/>
      <c r="D24" s="83">
        <v>217599</v>
      </c>
      <c r="E24" s="82">
        <v>217599</v>
      </c>
      <c r="F24" s="85">
        <v>46036</v>
      </c>
      <c r="G24" s="83">
        <f t="shared" ca="1" si="0"/>
        <v>128</v>
      </c>
      <c r="H24" s="83"/>
      <c r="I24" s="83"/>
      <c r="J24" s="83" t="s">
        <v>288</v>
      </c>
    </row>
    <row r="25" spans="1:11">
      <c r="A25" s="84">
        <v>46094</v>
      </c>
      <c r="B25" s="83" t="s">
        <v>294</v>
      </c>
      <c r="C25" s="82"/>
      <c r="D25" s="83">
        <v>134125</v>
      </c>
      <c r="E25" s="82">
        <v>134125</v>
      </c>
      <c r="F25" s="85">
        <v>46119</v>
      </c>
      <c r="G25" s="83">
        <f t="shared" ca="1" si="0"/>
        <v>45</v>
      </c>
      <c r="H25" s="83"/>
      <c r="I25" s="83"/>
      <c r="J25" s="83" t="s">
        <v>288</v>
      </c>
    </row>
    <row r="26" spans="1:11">
      <c r="A26" s="84">
        <v>46108</v>
      </c>
      <c r="B26" s="83" t="s">
        <v>295</v>
      </c>
      <c r="C26" s="82"/>
      <c r="D26" s="83">
        <v>97809</v>
      </c>
      <c r="E26" s="82">
        <v>97809</v>
      </c>
      <c r="F26" s="85">
        <v>46133</v>
      </c>
      <c r="G26" s="83">
        <f t="shared" ca="1" si="0"/>
        <v>31</v>
      </c>
      <c r="H26" s="83"/>
      <c r="I26" s="83"/>
      <c r="J26" s="83" t="s">
        <v>288</v>
      </c>
    </row>
    <row r="27" spans="1:11">
      <c r="A27" s="84">
        <v>46127</v>
      </c>
      <c r="B27" s="83" t="s">
        <v>296</v>
      </c>
      <c r="C27" s="82"/>
      <c r="D27" s="83">
        <v>47335</v>
      </c>
      <c r="E27" s="82">
        <v>47335</v>
      </c>
      <c r="F27" s="85">
        <v>46152</v>
      </c>
      <c r="G27" s="83">
        <f t="shared" ca="1" si="0"/>
        <v>12</v>
      </c>
      <c r="H27" s="83"/>
      <c r="I27" s="83"/>
      <c r="J27" s="83" t="s">
        <v>288</v>
      </c>
    </row>
    <row r="28" spans="1:11">
      <c r="A28" s="84">
        <v>46156</v>
      </c>
      <c r="B28" s="83" t="s">
        <v>297</v>
      </c>
      <c r="C28" s="82"/>
      <c r="D28" s="83">
        <v>112417</v>
      </c>
      <c r="E28" s="82">
        <v>112417</v>
      </c>
      <c r="F28" s="85">
        <v>46181</v>
      </c>
      <c r="G28" s="83"/>
      <c r="H28" s="83"/>
      <c r="I28" s="83"/>
      <c r="J28" s="83"/>
    </row>
    <row r="29" spans="1:11">
      <c r="A29" s="84">
        <v>46156</v>
      </c>
      <c r="B29" s="83" t="s">
        <v>298</v>
      </c>
      <c r="C29" s="82"/>
      <c r="D29" s="83">
        <v>3614</v>
      </c>
      <c r="E29" s="82">
        <v>3614</v>
      </c>
      <c r="F29" s="85">
        <v>46181</v>
      </c>
      <c r="G29" s="83"/>
      <c r="H29" s="83"/>
      <c r="I29" s="83"/>
      <c r="J29" s="83"/>
    </row>
    <row r="30" spans="1:11">
      <c r="A30" s="82"/>
      <c r="B30" s="83"/>
      <c r="C30" s="82"/>
      <c r="D30" s="83">
        <v>791317</v>
      </c>
      <c r="E30" s="82">
        <v>760353</v>
      </c>
      <c r="F30" s="83"/>
      <c r="G30" s="83"/>
      <c r="H30" s="83"/>
      <c r="I30" s="83"/>
      <c r="J30" s="83"/>
    </row>
    <row r="31" spans="1:11">
      <c r="A31" s="82"/>
      <c r="B31" s="83"/>
      <c r="C31" s="82" t="s">
        <v>51</v>
      </c>
      <c r="D31" s="83"/>
      <c r="E31" s="82"/>
      <c r="F31" s="83"/>
      <c r="G31" s="83"/>
      <c r="H31" s="83"/>
      <c r="I31" s="83"/>
      <c r="J31" s="83"/>
      <c r="K31" t="s">
        <v>561</v>
      </c>
    </row>
    <row r="32" spans="1:11">
      <c r="A32" s="84">
        <v>45988</v>
      </c>
      <c r="B32" s="83" t="s">
        <v>299</v>
      </c>
      <c r="C32" s="82"/>
      <c r="D32" s="83">
        <v>107348</v>
      </c>
      <c r="E32" s="82">
        <v>107348</v>
      </c>
      <c r="F32" s="85">
        <v>46013</v>
      </c>
      <c r="G32" s="83">
        <f ca="1">$E$2-F32</f>
        <v>151</v>
      </c>
      <c r="H32" s="83"/>
      <c r="I32" s="83"/>
      <c r="J32" s="83" t="s">
        <v>79</v>
      </c>
    </row>
    <row r="33" spans="1:11">
      <c r="A33" s="84">
        <v>46123</v>
      </c>
      <c r="B33" s="83" t="s">
        <v>300</v>
      </c>
      <c r="C33" s="82"/>
      <c r="D33" s="83">
        <v>94833</v>
      </c>
      <c r="E33" s="82">
        <v>94833</v>
      </c>
      <c r="F33" s="85">
        <v>46148</v>
      </c>
      <c r="G33" s="83">
        <f ca="1">$E$2-F33</f>
        <v>16</v>
      </c>
      <c r="H33" s="83"/>
      <c r="I33" s="83"/>
      <c r="J33" s="83" t="s">
        <v>79</v>
      </c>
    </row>
    <row r="34" spans="1:11">
      <c r="A34" s="82"/>
      <c r="B34" s="83"/>
      <c r="C34" s="82"/>
      <c r="D34" s="83">
        <v>202181</v>
      </c>
      <c r="E34" s="82">
        <v>202181</v>
      </c>
      <c r="F34" s="83"/>
      <c r="G34" s="83"/>
      <c r="H34" s="83"/>
      <c r="I34" s="83"/>
      <c r="J34" s="83"/>
    </row>
    <row r="35" spans="1:11">
      <c r="A35" s="82"/>
      <c r="B35" s="83"/>
      <c r="C35" s="82" t="s">
        <v>302</v>
      </c>
      <c r="D35" s="83"/>
      <c r="E35" s="82"/>
      <c r="F35" s="83"/>
      <c r="G35" s="83"/>
      <c r="H35" s="83"/>
      <c r="I35" s="83"/>
      <c r="J35" s="83"/>
      <c r="K35" t="s">
        <v>562</v>
      </c>
    </row>
    <row r="36" spans="1:11">
      <c r="A36" s="84">
        <v>46112</v>
      </c>
      <c r="B36" s="83" t="s">
        <v>301</v>
      </c>
      <c r="C36" s="82"/>
      <c r="D36" s="83">
        <v>146950</v>
      </c>
      <c r="E36" s="82">
        <v>146950</v>
      </c>
      <c r="F36" s="85">
        <v>46137</v>
      </c>
      <c r="G36" s="83">
        <f ca="1">$E$2-F36</f>
        <v>27</v>
      </c>
      <c r="H36" s="83">
        <v>146950</v>
      </c>
      <c r="I36" s="83">
        <f>E36-H36</f>
        <v>0</v>
      </c>
      <c r="J36" s="83" t="s">
        <v>303</v>
      </c>
    </row>
    <row r="37" spans="1:11">
      <c r="A37" s="82"/>
      <c r="B37" s="83"/>
      <c r="C37" s="82"/>
      <c r="D37" s="83">
        <v>146950</v>
      </c>
      <c r="E37" s="82">
        <v>146950</v>
      </c>
      <c r="F37" s="83"/>
      <c r="G37" s="83"/>
      <c r="H37" s="83">
        <v>146950</v>
      </c>
      <c r="I37" s="83">
        <f>E37-H37</f>
        <v>0</v>
      </c>
      <c r="J37" s="83"/>
    </row>
    <row r="38" spans="1:11">
      <c r="A38" s="82"/>
      <c r="B38" s="83"/>
      <c r="C38" s="82" t="s">
        <v>53</v>
      </c>
      <c r="D38" s="83"/>
      <c r="E38" s="82"/>
      <c r="F38" s="83"/>
      <c r="G38" s="83"/>
      <c r="H38" s="83"/>
      <c r="I38" s="83"/>
      <c r="J38" s="83"/>
      <c r="K38" t="s">
        <v>563</v>
      </c>
    </row>
    <row r="39" spans="1:11">
      <c r="A39" s="84">
        <v>46133</v>
      </c>
      <c r="B39" s="83" t="s">
        <v>304</v>
      </c>
      <c r="C39" s="82"/>
      <c r="D39" s="83">
        <v>120696</v>
      </c>
      <c r="E39" s="82">
        <v>120696</v>
      </c>
      <c r="F39" s="85">
        <v>46158</v>
      </c>
      <c r="G39" s="83">
        <f ca="1">$E$2-F39</f>
        <v>6</v>
      </c>
      <c r="H39" s="83"/>
      <c r="I39" s="83"/>
      <c r="J39" s="83"/>
    </row>
    <row r="40" spans="1:11">
      <c r="A40" s="84">
        <v>46139</v>
      </c>
      <c r="B40" s="83" t="s">
        <v>305</v>
      </c>
      <c r="C40" s="82"/>
      <c r="D40" s="83">
        <v>25410</v>
      </c>
      <c r="E40" s="82">
        <v>25410</v>
      </c>
      <c r="F40" s="85">
        <v>46164</v>
      </c>
      <c r="G40" s="83"/>
      <c r="H40" s="83"/>
      <c r="I40" s="83"/>
      <c r="J40" s="83"/>
    </row>
    <row r="41" spans="1:11">
      <c r="A41" s="82"/>
      <c r="B41" s="83"/>
      <c r="C41" s="82"/>
      <c r="D41" s="83">
        <v>146106</v>
      </c>
      <c r="E41" s="82">
        <v>146106</v>
      </c>
      <c r="F41" s="83"/>
      <c r="G41" s="83"/>
      <c r="H41" s="83"/>
      <c r="I41" s="83"/>
      <c r="J41" s="83"/>
    </row>
    <row r="42" spans="1:11">
      <c r="A42" s="82"/>
      <c r="B42" s="83"/>
      <c r="C42" s="82" t="s">
        <v>307</v>
      </c>
      <c r="D42" s="83"/>
      <c r="E42" s="82"/>
      <c r="F42" s="83"/>
      <c r="G42" s="83"/>
      <c r="H42" s="83"/>
      <c r="I42" s="83"/>
      <c r="J42" s="83"/>
    </row>
    <row r="43" spans="1:11">
      <c r="A43" s="84">
        <v>46104</v>
      </c>
      <c r="B43" s="83" t="s">
        <v>306</v>
      </c>
      <c r="C43" s="82"/>
      <c r="D43" s="83">
        <v>1329</v>
      </c>
      <c r="E43" s="82">
        <v>1329</v>
      </c>
      <c r="F43" s="85">
        <v>46129</v>
      </c>
      <c r="G43" s="83">
        <f ca="1">$E$2-F43</f>
        <v>35</v>
      </c>
      <c r="H43" s="83"/>
      <c r="I43" s="83"/>
      <c r="J43" s="83"/>
    </row>
    <row r="44" spans="1:11">
      <c r="A44" s="82"/>
      <c r="B44" s="83"/>
      <c r="C44" s="82"/>
      <c r="D44" s="83">
        <v>1329</v>
      </c>
      <c r="E44" s="82">
        <v>1329</v>
      </c>
      <c r="F44" s="83"/>
      <c r="G44" s="83"/>
      <c r="H44" s="83"/>
      <c r="I44" s="83"/>
      <c r="J44" s="83"/>
    </row>
    <row r="45" spans="1:11">
      <c r="A45" s="82"/>
      <c r="B45" s="83"/>
      <c r="C45" s="82" t="s">
        <v>57</v>
      </c>
      <c r="D45" s="83"/>
      <c r="E45" s="82"/>
      <c r="F45" s="83"/>
      <c r="G45" s="83"/>
      <c r="H45" s="83"/>
      <c r="I45" s="83"/>
      <c r="J45" s="83"/>
      <c r="K45" t="s">
        <v>564</v>
      </c>
    </row>
    <row r="46" spans="1:11">
      <c r="A46" s="84">
        <v>46136</v>
      </c>
      <c r="B46" s="83" t="s">
        <v>308</v>
      </c>
      <c r="C46" s="82"/>
      <c r="D46" s="83">
        <v>135197</v>
      </c>
      <c r="E46" s="82">
        <v>135197</v>
      </c>
      <c r="F46" s="85">
        <v>46161</v>
      </c>
      <c r="G46" s="83">
        <f ca="1">$E$2-F46</f>
        <v>3</v>
      </c>
      <c r="H46" s="83"/>
      <c r="I46" s="83"/>
      <c r="J46" s="83"/>
    </row>
    <row r="47" spans="1:11">
      <c r="A47" s="82"/>
      <c r="B47" s="83"/>
      <c r="C47" s="82"/>
      <c r="D47" s="83">
        <v>135197</v>
      </c>
      <c r="E47" s="82">
        <v>135197</v>
      </c>
      <c r="F47" s="83"/>
      <c r="G47" s="83"/>
      <c r="H47" s="83"/>
      <c r="I47" s="83"/>
      <c r="J47" s="83"/>
    </row>
    <row r="48" spans="1:11">
      <c r="A48" s="82"/>
      <c r="B48" s="83"/>
      <c r="C48" s="82" t="s">
        <v>310</v>
      </c>
      <c r="D48" s="83"/>
      <c r="E48" s="82"/>
      <c r="F48" s="83"/>
      <c r="G48" s="83"/>
      <c r="H48" s="83"/>
      <c r="I48" s="83"/>
      <c r="J48" s="83"/>
    </row>
    <row r="49" spans="1:11">
      <c r="A49" s="84">
        <v>46104</v>
      </c>
      <c r="B49" s="83" t="s">
        <v>309</v>
      </c>
      <c r="C49" s="82"/>
      <c r="D49" s="83">
        <v>1329</v>
      </c>
      <c r="E49" s="82">
        <v>1329</v>
      </c>
      <c r="F49" s="85">
        <v>46129</v>
      </c>
      <c r="G49" s="83">
        <f ca="1">$E$2-F49</f>
        <v>35</v>
      </c>
      <c r="H49" s="83"/>
      <c r="I49" s="83"/>
      <c r="J49" s="83"/>
    </row>
    <row r="50" spans="1:11">
      <c r="A50" s="82"/>
      <c r="B50" s="83"/>
      <c r="C50" s="82"/>
      <c r="D50" s="83">
        <v>1329</v>
      </c>
      <c r="E50" s="82">
        <v>1329</v>
      </c>
      <c r="F50" s="83"/>
      <c r="G50" s="83"/>
      <c r="H50" s="83"/>
      <c r="I50" s="83"/>
      <c r="J50" s="83"/>
    </row>
    <row r="51" spans="1:11">
      <c r="A51" s="82"/>
      <c r="B51" s="83"/>
      <c r="C51" s="82" t="s">
        <v>312</v>
      </c>
      <c r="D51" s="83"/>
      <c r="E51" s="82"/>
      <c r="F51" s="83"/>
      <c r="G51" s="83"/>
      <c r="H51" s="83"/>
      <c r="I51" s="83"/>
      <c r="J51" s="83"/>
    </row>
    <row r="52" spans="1:11">
      <c r="A52" s="84">
        <v>46087</v>
      </c>
      <c r="B52" s="83" t="s">
        <v>311</v>
      </c>
      <c r="C52" s="82"/>
      <c r="D52" s="83">
        <v>1427</v>
      </c>
      <c r="E52" s="82">
        <v>1427</v>
      </c>
      <c r="F52" s="85">
        <v>46112</v>
      </c>
      <c r="G52" s="83">
        <f ca="1">$E$2-F52</f>
        <v>52</v>
      </c>
      <c r="H52" s="83"/>
      <c r="I52" s="83"/>
      <c r="J52" s="83"/>
    </row>
    <row r="53" spans="1:11">
      <c r="A53" s="82"/>
      <c r="B53" s="83"/>
      <c r="C53" s="82"/>
      <c r="D53" s="83">
        <v>1427</v>
      </c>
      <c r="E53" s="82">
        <v>1427</v>
      </c>
      <c r="F53" s="83"/>
      <c r="G53" s="83"/>
      <c r="H53" s="83"/>
      <c r="I53" s="83"/>
      <c r="J53" s="83"/>
    </row>
    <row r="54" spans="1:11">
      <c r="A54" s="82"/>
      <c r="B54" s="83"/>
      <c r="C54" s="82" t="s">
        <v>58</v>
      </c>
      <c r="D54" s="83"/>
      <c r="E54" s="82"/>
      <c r="F54" s="83"/>
      <c r="G54" s="83"/>
      <c r="H54" s="83"/>
      <c r="I54" s="83"/>
      <c r="J54" s="83"/>
      <c r="K54" t="s">
        <v>565</v>
      </c>
    </row>
    <row r="55" spans="1:11">
      <c r="A55" s="84">
        <v>46098</v>
      </c>
      <c r="B55" s="83" t="s">
        <v>313</v>
      </c>
      <c r="C55" s="82"/>
      <c r="D55" s="83">
        <v>75814</v>
      </c>
      <c r="E55" s="82">
        <v>75814</v>
      </c>
      <c r="F55" s="85">
        <v>46123</v>
      </c>
      <c r="G55" s="83">
        <f ca="1">$E$2-F55</f>
        <v>41</v>
      </c>
      <c r="H55" s="83"/>
      <c r="I55" s="83"/>
      <c r="J55" s="83"/>
    </row>
    <row r="56" spans="1:11">
      <c r="A56" s="84">
        <v>46112</v>
      </c>
      <c r="B56" s="83" t="s">
        <v>314</v>
      </c>
      <c r="C56" s="82"/>
      <c r="D56" s="83">
        <v>500</v>
      </c>
      <c r="E56" s="82">
        <v>500</v>
      </c>
      <c r="F56" s="85">
        <v>46137</v>
      </c>
      <c r="G56" s="83">
        <f ca="1">$E$2-F56</f>
        <v>27</v>
      </c>
      <c r="H56" s="83"/>
      <c r="I56" s="83"/>
      <c r="J56" s="83"/>
    </row>
    <row r="57" spans="1:11">
      <c r="A57" s="84">
        <v>46151</v>
      </c>
      <c r="B57" s="83" t="s">
        <v>315</v>
      </c>
      <c r="C57" s="82"/>
      <c r="D57" s="83">
        <v>57397</v>
      </c>
      <c r="E57" s="82">
        <v>57397</v>
      </c>
      <c r="F57" s="85">
        <v>46176</v>
      </c>
      <c r="G57" s="83"/>
      <c r="H57" s="83"/>
      <c r="I57" s="83"/>
      <c r="J57" s="83"/>
    </row>
    <row r="58" spans="1:11">
      <c r="A58" s="82"/>
      <c r="B58" s="83"/>
      <c r="C58" s="82"/>
      <c r="D58" s="83">
        <v>133711</v>
      </c>
      <c r="E58" s="82">
        <v>133711</v>
      </c>
      <c r="F58" s="83"/>
      <c r="G58" s="83"/>
      <c r="H58" s="83"/>
      <c r="I58" s="83"/>
      <c r="J58" s="83"/>
    </row>
    <row r="59" spans="1:11">
      <c r="A59" s="82"/>
      <c r="B59" s="83"/>
      <c r="C59" s="82" t="s">
        <v>317</v>
      </c>
      <c r="D59" s="83"/>
      <c r="E59" s="82"/>
      <c r="F59" s="83"/>
      <c r="G59" s="83"/>
      <c r="H59" s="83"/>
      <c r="I59" s="83"/>
      <c r="J59" s="83"/>
    </row>
    <row r="60" spans="1:11">
      <c r="A60" s="84">
        <v>46121</v>
      </c>
      <c r="B60" s="83" t="s">
        <v>316</v>
      </c>
      <c r="C60" s="82"/>
      <c r="D60" s="83">
        <v>500</v>
      </c>
      <c r="E60" s="82">
        <v>500</v>
      </c>
      <c r="F60" s="85">
        <v>46146</v>
      </c>
      <c r="G60" s="83">
        <f ca="1">$E$2-F60</f>
        <v>18</v>
      </c>
      <c r="H60" s="83"/>
      <c r="I60" s="83"/>
      <c r="J60" s="83"/>
    </row>
    <row r="61" spans="1:11">
      <c r="A61" s="84">
        <v>46125</v>
      </c>
      <c r="B61" s="83" t="s">
        <v>318</v>
      </c>
      <c r="C61" s="82"/>
      <c r="D61" s="83">
        <v>500</v>
      </c>
      <c r="E61" s="82">
        <v>500</v>
      </c>
      <c r="F61" s="85">
        <v>46150</v>
      </c>
      <c r="G61" s="83">
        <f ca="1">$E$2-F61</f>
        <v>14</v>
      </c>
      <c r="H61" s="83"/>
      <c r="I61" s="83"/>
      <c r="J61" s="83"/>
    </row>
    <row r="62" spans="1:11">
      <c r="A62" s="84">
        <v>46130</v>
      </c>
      <c r="B62" s="83" t="s">
        <v>319</v>
      </c>
      <c r="C62" s="82"/>
      <c r="D62" s="83">
        <v>39730</v>
      </c>
      <c r="E62" s="82">
        <v>39730</v>
      </c>
      <c r="F62" s="85">
        <v>46155</v>
      </c>
      <c r="G62" s="83">
        <f ca="1">$E$2-F62</f>
        <v>9</v>
      </c>
      <c r="H62" s="83"/>
      <c r="I62" s="83"/>
      <c r="J62" s="83"/>
    </row>
    <row r="63" spans="1:11">
      <c r="A63" s="82"/>
      <c r="B63" s="83"/>
      <c r="C63" s="82"/>
      <c r="D63" s="83">
        <v>40730</v>
      </c>
      <c r="E63" s="82">
        <v>40730</v>
      </c>
      <c r="F63" s="83"/>
      <c r="G63" s="83"/>
      <c r="H63" s="83"/>
      <c r="I63" s="83"/>
      <c r="J63" s="83"/>
    </row>
    <row r="64" spans="1:11">
      <c r="A64" s="82"/>
      <c r="B64" s="83"/>
      <c r="C64" s="82" t="s">
        <v>321</v>
      </c>
      <c r="D64" s="83"/>
      <c r="E64" s="82"/>
      <c r="F64" s="83"/>
      <c r="G64" s="83"/>
      <c r="H64" s="83"/>
      <c r="I64" s="83"/>
      <c r="J64" s="83"/>
      <c r="K64" t="s">
        <v>566</v>
      </c>
    </row>
    <row r="65" spans="1:11">
      <c r="A65" s="84">
        <v>46015</v>
      </c>
      <c r="B65" s="83" t="s">
        <v>320</v>
      </c>
      <c r="C65" s="82"/>
      <c r="D65" s="83">
        <v>52086</v>
      </c>
      <c r="E65" s="82">
        <v>15000</v>
      </c>
      <c r="F65" s="85">
        <v>46040</v>
      </c>
      <c r="G65" s="83">
        <f ca="1">$E$2-F65</f>
        <v>124</v>
      </c>
      <c r="H65" s="83"/>
      <c r="I65" s="83"/>
      <c r="J65" s="83"/>
    </row>
    <row r="66" spans="1:11">
      <c r="A66" s="84">
        <v>46042</v>
      </c>
      <c r="B66" s="83" t="s">
        <v>322</v>
      </c>
      <c r="C66" s="82"/>
      <c r="D66" s="83">
        <v>500</v>
      </c>
      <c r="E66" s="82">
        <v>400</v>
      </c>
      <c r="F66" s="85">
        <v>46067</v>
      </c>
      <c r="G66" s="83">
        <f ca="1">$E$2-F66</f>
        <v>97</v>
      </c>
      <c r="H66" s="83"/>
      <c r="I66" s="83"/>
      <c r="J66" s="83"/>
    </row>
    <row r="67" spans="1:11">
      <c r="A67" s="82"/>
      <c r="B67" s="83"/>
      <c r="C67" s="82"/>
      <c r="D67" s="83">
        <v>52586</v>
      </c>
      <c r="E67" s="82">
        <v>15400</v>
      </c>
      <c r="F67" s="83"/>
      <c r="G67" s="83"/>
      <c r="H67" s="83">
        <f>5000+10000</f>
        <v>15000</v>
      </c>
      <c r="I67" s="83">
        <f>E67-H67</f>
        <v>400</v>
      </c>
      <c r="J67" s="83" t="s">
        <v>567</v>
      </c>
    </row>
    <row r="68" spans="1:11">
      <c r="A68" s="82"/>
      <c r="B68" s="83"/>
      <c r="C68" s="82" t="s">
        <v>324</v>
      </c>
      <c r="D68" s="83"/>
      <c r="E68" s="82"/>
      <c r="F68" s="83"/>
      <c r="G68" s="83"/>
      <c r="H68" s="83"/>
      <c r="I68" s="83"/>
      <c r="J68" s="83"/>
      <c r="K68" t="s">
        <v>568</v>
      </c>
    </row>
    <row r="69" spans="1:11">
      <c r="A69" s="84">
        <v>46084</v>
      </c>
      <c r="B69" s="83" t="s">
        <v>323</v>
      </c>
      <c r="C69" s="82"/>
      <c r="D69" s="83">
        <v>26307</v>
      </c>
      <c r="E69" s="82">
        <v>26307</v>
      </c>
      <c r="F69" s="85">
        <v>46109</v>
      </c>
      <c r="G69" s="83">
        <f ca="1">$E$2-F69</f>
        <v>55</v>
      </c>
      <c r="H69" s="83"/>
      <c r="I69" s="83"/>
      <c r="J69" s="83" t="s">
        <v>179</v>
      </c>
    </row>
    <row r="70" spans="1:11">
      <c r="A70" s="84">
        <v>46109</v>
      </c>
      <c r="B70" s="83" t="s">
        <v>325</v>
      </c>
      <c r="C70" s="82"/>
      <c r="D70" s="83">
        <v>20526</v>
      </c>
      <c r="E70" s="82">
        <v>20526</v>
      </c>
      <c r="F70" s="85">
        <v>46134</v>
      </c>
      <c r="G70" s="83">
        <f ca="1">$E$2-F70</f>
        <v>30</v>
      </c>
      <c r="H70" s="83">
        <v>20526</v>
      </c>
      <c r="I70" s="83">
        <f>E70-H70</f>
        <v>0</v>
      </c>
      <c r="J70" s="83" t="s">
        <v>303</v>
      </c>
    </row>
    <row r="71" spans="1:11">
      <c r="A71" s="82"/>
      <c r="B71" s="83"/>
      <c r="C71" s="82"/>
      <c r="D71" s="83">
        <v>46833</v>
      </c>
      <c r="E71" s="82">
        <v>46833</v>
      </c>
      <c r="F71" s="83"/>
      <c r="G71" s="83"/>
      <c r="H71" s="83">
        <v>20526</v>
      </c>
      <c r="I71" s="83">
        <f>E71-H71</f>
        <v>26307</v>
      </c>
      <c r="J71" s="83"/>
    </row>
    <row r="72" spans="1:11">
      <c r="A72" s="82"/>
      <c r="B72" s="83"/>
      <c r="C72" s="82" t="s">
        <v>327</v>
      </c>
      <c r="D72" s="83"/>
      <c r="E72" s="82"/>
      <c r="F72" s="83"/>
      <c r="G72" s="83"/>
      <c r="H72" s="83"/>
      <c r="I72" s="83"/>
      <c r="J72" s="83"/>
      <c r="K72" t="s">
        <v>569</v>
      </c>
    </row>
    <row r="73" spans="1:11">
      <c r="A73" s="84">
        <v>46128</v>
      </c>
      <c r="B73" s="83" t="s">
        <v>326</v>
      </c>
      <c r="C73" s="82"/>
      <c r="D73" s="83">
        <v>25530</v>
      </c>
      <c r="E73" s="82">
        <v>25530</v>
      </c>
      <c r="F73" s="85">
        <v>46153</v>
      </c>
      <c r="G73" s="83">
        <f ca="1">$E$2-F73</f>
        <v>11</v>
      </c>
      <c r="H73" s="83"/>
      <c r="I73" s="83"/>
      <c r="J73" s="83"/>
    </row>
    <row r="74" spans="1:11">
      <c r="A74" s="82"/>
      <c r="B74" s="83"/>
      <c r="C74" s="82"/>
      <c r="D74" s="83">
        <v>25530</v>
      </c>
      <c r="E74" s="82">
        <v>25530</v>
      </c>
      <c r="F74" s="83"/>
      <c r="G74" s="83"/>
      <c r="H74" s="83"/>
      <c r="I74" s="83"/>
      <c r="J74" s="83"/>
    </row>
    <row r="75" spans="1:11">
      <c r="A75" s="82"/>
      <c r="B75" s="83"/>
      <c r="C75" s="82" t="s">
        <v>45</v>
      </c>
      <c r="D75" s="83"/>
      <c r="E75" s="82"/>
      <c r="F75" s="83"/>
      <c r="G75" s="83"/>
      <c r="H75" s="83"/>
      <c r="I75" s="83"/>
      <c r="J75" s="83"/>
    </row>
    <row r="76" spans="1:11">
      <c r="A76" s="84">
        <v>45770</v>
      </c>
      <c r="B76" s="83" t="s">
        <v>328</v>
      </c>
      <c r="C76" s="82"/>
      <c r="D76" s="83">
        <v>31674</v>
      </c>
      <c r="E76" s="82">
        <v>613.15</v>
      </c>
      <c r="F76" s="85">
        <v>45795</v>
      </c>
      <c r="G76" s="83">
        <f t="shared" ref="G76:G89" ca="1" si="1">$E$2-F76</f>
        <v>369</v>
      </c>
      <c r="H76" s="83"/>
      <c r="I76" s="83"/>
      <c r="J76" s="83"/>
    </row>
    <row r="77" spans="1:11">
      <c r="A77" s="84">
        <v>45836</v>
      </c>
      <c r="B77" s="83" t="s">
        <v>329</v>
      </c>
      <c r="C77" s="82"/>
      <c r="D77" s="83">
        <v>83953</v>
      </c>
      <c r="E77" s="82">
        <v>83953</v>
      </c>
      <c r="F77" s="85">
        <v>45861</v>
      </c>
      <c r="G77" s="83">
        <f t="shared" ca="1" si="1"/>
        <v>303</v>
      </c>
      <c r="H77" s="83"/>
      <c r="I77" s="83"/>
      <c r="J77" s="83"/>
    </row>
    <row r="78" spans="1:11">
      <c r="A78" s="84">
        <v>45838</v>
      </c>
      <c r="B78" s="83" t="s">
        <v>330</v>
      </c>
      <c r="C78" s="82"/>
      <c r="D78" s="83">
        <v>136289</v>
      </c>
      <c r="E78" s="82">
        <v>136289</v>
      </c>
      <c r="F78" s="85">
        <v>45863</v>
      </c>
      <c r="G78" s="83">
        <f t="shared" ca="1" si="1"/>
        <v>301</v>
      </c>
      <c r="H78" s="83"/>
      <c r="I78" s="83"/>
      <c r="J78" s="83"/>
    </row>
    <row r="79" spans="1:11">
      <c r="A79" s="84">
        <v>45849</v>
      </c>
      <c r="B79" s="83" t="s">
        <v>331</v>
      </c>
      <c r="C79" s="82"/>
      <c r="D79" s="83">
        <v>97996</v>
      </c>
      <c r="E79" s="82">
        <v>97996</v>
      </c>
      <c r="F79" s="85">
        <v>45874</v>
      </c>
      <c r="G79" s="83">
        <f t="shared" ca="1" si="1"/>
        <v>290</v>
      </c>
      <c r="H79" s="83"/>
      <c r="I79" s="83"/>
      <c r="J79" s="83"/>
    </row>
    <row r="80" spans="1:11">
      <c r="A80" s="84">
        <v>45890</v>
      </c>
      <c r="B80" s="83" t="s">
        <v>332</v>
      </c>
      <c r="C80" s="82"/>
      <c r="D80" s="83">
        <v>37146</v>
      </c>
      <c r="E80" s="82">
        <v>37146</v>
      </c>
      <c r="F80" s="85">
        <v>45915</v>
      </c>
      <c r="G80" s="83">
        <f t="shared" ca="1" si="1"/>
        <v>249</v>
      </c>
      <c r="H80" s="83"/>
      <c r="I80" s="83"/>
      <c r="J80" s="83"/>
    </row>
    <row r="81" spans="1:11">
      <c r="A81" s="84">
        <v>45905</v>
      </c>
      <c r="B81" s="83" t="s">
        <v>333</v>
      </c>
      <c r="C81" s="82"/>
      <c r="D81" s="83">
        <v>248440</v>
      </c>
      <c r="E81" s="82">
        <v>248440</v>
      </c>
      <c r="F81" s="85">
        <v>45930</v>
      </c>
      <c r="G81" s="83">
        <f t="shared" ca="1" si="1"/>
        <v>234</v>
      </c>
      <c r="H81" s="83"/>
      <c r="I81" s="83"/>
      <c r="J81" s="83"/>
    </row>
    <row r="82" spans="1:11">
      <c r="A82" s="84">
        <v>45918</v>
      </c>
      <c r="B82" s="83" t="s">
        <v>334</v>
      </c>
      <c r="C82" s="82"/>
      <c r="D82" s="83">
        <v>143307</v>
      </c>
      <c r="E82" s="82">
        <v>143307</v>
      </c>
      <c r="F82" s="85">
        <v>45943</v>
      </c>
      <c r="G82" s="83">
        <f t="shared" ca="1" si="1"/>
        <v>221</v>
      </c>
      <c r="H82" s="83"/>
      <c r="I82" s="83"/>
      <c r="J82" s="83"/>
    </row>
    <row r="83" spans="1:11">
      <c r="A83" s="84">
        <v>45927</v>
      </c>
      <c r="B83" s="83" t="s">
        <v>335</v>
      </c>
      <c r="C83" s="82"/>
      <c r="D83" s="83">
        <v>19200</v>
      </c>
      <c r="E83" s="82">
        <v>19200</v>
      </c>
      <c r="F83" s="85">
        <v>45952</v>
      </c>
      <c r="G83" s="83">
        <f t="shared" ca="1" si="1"/>
        <v>212</v>
      </c>
      <c r="H83" s="83"/>
      <c r="I83" s="83"/>
      <c r="J83" s="83"/>
    </row>
    <row r="84" spans="1:11">
      <c r="A84" s="84">
        <v>45955</v>
      </c>
      <c r="B84" s="83" t="s">
        <v>336</v>
      </c>
      <c r="C84" s="82"/>
      <c r="D84" s="83">
        <v>163657</v>
      </c>
      <c r="E84" s="82">
        <v>163657</v>
      </c>
      <c r="F84" s="85">
        <v>45980</v>
      </c>
      <c r="G84" s="83">
        <f t="shared" ca="1" si="1"/>
        <v>184</v>
      </c>
      <c r="H84" s="83"/>
      <c r="I84" s="83"/>
      <c r="J84" s="83"/>
    </row>
    <row r="85" spans="1:11">
      <c r="A85" s="84">
        <v>45978</v>
      </c>
      <c r="B85" s="83" t="s">
        <v>337</v>
      </c>
      <c r="C85" s="82"/>
      <c r="D85" s="83">
        <v>5143</v>
      </c>
      <c r="E85" s="82">
        <v>5143</v>
      </c>
      <c r="F85" s="85">
        <v>46003</v>
      </c>
      <c r="G85" s="83">
        <f t="shared" ca="1" si="1"/>
        <v>161</v>
      </c>
      <c r="H85" s="83"/>
      <c r="I85" s="83"/>
      <c r="J85" s="83"/>
    </row>
    <row r="86" spans="1:11">
      <c r="A86" s="84">
        <v>46022</v>
      </c>
      <c r="B86" s="83" t="s">
        <v>338</v>
      </c>
      <c r="C86" s="82"/>
      <c r="D86" s="83">
        <v>109076</v>
      </c>
      <c r="E86" s="82">
        <v>105970.48</v>
      </c>
      <c r="F86" s="85">
        <v>46047</v>
      </c>
      <c r="G86" s="83">
        <f t="shared" ca="1" si="1"/>
        <v>117</v>
      </c>
      <c r="H86" s="83"/>
      <c r="I86" s="83"/>
      <c r="J86" s="83"/>
    </row>
    <row r="87" spans="1:11">
      <c r="A87" s="84">
        <v>46025</v>
      </c>
      <c r="B87" s="83" t="s">
        <v>339</v>
      </c>
      <c r="C87" s="82"/>
      <c r="D87" s="83">
        <v>54538</v>
      </c>
      <c r="E87" s="82">
        <v>53447.25</v>
      </c>
      <c r="F87" s="85">
        <v>46050</v>
      </c>
      <c r="G87" s="83">
        <f t="shared" ca="1" si="1"/>
        <v>114</v>
      </c>
      <c r="H87" s="83"/>
      <c r="I87" s="83"/>
      <c r="J87" s="83"/>
    </row>
    <row r="88" spans="1:11">
      <c r="A88" s="84">
        <v>46053</v>
      </c>
      <c r="B88" s="83" t="s">
        <v>340</v>
      </c>
      <c r="C88" s="82"/>
      <c r="D88" s="83">
        <v>159001</v>
      </c>
      <c r="E88" s="82">
        <v>155010</v>
      </c>
      <c r="F88" s="85">
        <v>46078</v>
      </c>
      <c r="G88" s="83">
        <f t="shared" ca="1" si="1"/>
        <v>86</v>
      </c>
      <c r="H88" s="83"/>
      <c r="I88" s="83"/>
      <c r="J88" s="83"/>
    </row>
    <row r="89" spans="1:11">
      <c r="A89" s="84">
        <v>46122</v>
      </c>
      <c r="B89" s="83" t="s">
        <v>341</v>
      </c>
      <c r="C89" s="82"/>
      <c r="D89" s="83">
        <v>93732</v>
      </c>
      <c r="E89" s="82">
        <v>93732</v>
      </c>
      <c r="F89" s="85">
        <v>46147</v>
      </c>
      <c r="G89" s="83">
        <f t="shared" ca="1" si="1"/>
        <v>17</v>
      </c>
      <c r="H89" s="83"/>
      <c r="I89" s="83"/>
      <c r="J89" s="83"/>
    </row>
    <row r="90" spans="1:11">
      <c r="A90" s="84">
        <v>46156</v>
      </c>
      <c r="B90" s="83" t="s">
        <v>342</v>
      </c>
      <c r="C90" s="82"/>
      <c r="D90" s="83">
        <v>43847</v>
      </c>
      <c r="E90" s="82">
        <v>43847</v>
      </c>
      <c r="F90" s="85">
        <v>46181</v>
      </c>
      <c r="G90" s="83"/>
      <c r="H90" s="83"/>
      <c r="I90" s="83"/>
      <c r="J90" s="83"/>
    </row>
    <row r="91" spans="1:11">
      <c r="A91" s="82"/>
      <c r="B91" s="83"/>
      <c r="C91" s="82"/>
      <c r="D91" s="83">
        <v>1426999</v>
      </c>
      <c r="E91" s="82">
        <v>1387750.88</v>
      </c>
      <c r="F91" s="83"/>
      <c r="G91" s="83"/>
      <c r="H91" s="83"/>
      <c r="I91" s="83"/>
      <c r="J91" s="83"/>
    </row>
    <row r="92" spans="1:11">
      <c r="A92" s="82"/>
      <c r="B92" s="83"/>
      <c r="C92" s="82" t="s">
        <v>344</v>
      </c>
      <c r="D92" s="83"/>
      <c r="E92" s="82"/>
      <c r="F92" s="83"/>
      <c r="G92" s="83"/>
      <c r="H92" s="83"/>
      <c r="I92" s="83"/>
      <c r="J92" s="83"/>
    </row>
    <row r="93" spans="1:11">
      <c r="A93" s="84">
        <v>46031</v>
      </c>
      <c r="B93" s="83" t="s">
        <v>343</v>
      </c>
      <c r="C93" s="82"/>
      <c r="D93" s="83">
        <v>16753</v>
      </c>
      <c r="E93" s="82">
        <v>5</v>
      </c>
      <c r="F93" s="85">
        <v>46056</v>
      </c>
      <c r="G93" s="83">
        <f ca="1">$E$2-F93</f>
        <v>108</v>
      </c>
      <c r="H93" s="83"/>
      <c r="I93" s="83"/>
      <c r="J93" s="83"/>
    </row>
    <row r="94" spans="1:11">
      <c r="A94" s="82"/>
      <c r="B94" s="83"/>
      <c r="C94" s="82"/>
      <c r="D94" s="83">
        <v>16753</v>
      </c>
      <c r="E94" s="82">
        <v>5</v>
      </c>
      <c r="F94" s="83"/>
      <c r="G94" s="83"/>
      <c r="H94" s="83"/>
      <c r="I94" s="83"/>
      <c r="J94" s="83"/>
    </row>
    <row r="95" spans="1:11">
      <c r="A95" s="82"/>
      <c r="B95" s="83"/>
      <c r="C95" s="82" t="s">
        <v>346</v>
      </c>
      <c r="D95" s="83"/>
      <c r="E95" s="82"/>
      <c r="F95" s="83"/>
      <c r="G95" s="83"/>
      <c r="H95" s="83"/>
      <c r="I95" s="83"/>
      <c r="J95" s="83"/>
      <c r="K95" t="s">
        <v>570</v>
      </c>
    </row>
    <row r="96" spans="1:11">
      <c r="A96" s="84">
        <v>46107</v>
      </c>
      <c r="B96" s="83" t="s">
        <v>345</v>
      </c>
      <c r="C96" s="82"/>
      <c r="D96" s="83">
        <v>82798</v>
      </c>
      <c r="E96" s="82">
        <v>82798</v>
      </c>
      <c r="F96" s="85">
        <v>46132</v>
      </c>
      <c r="G96" s="83">
        <f ca="1">$E$2-F96</f>
        <v>32</v>
      </c>
      <c r="H96" s="83"/>
      <c r="I96" s="83"/>
      <c r="J96" s="83"/>
    </row>
    <row r="97" spans="1:11">
      <c r="A97" s="84">
        <v>46155</v>
      </c>
      <c r="B97" s="83" t="s">
        <v>347</v>
      </c>
      <c r="C97" s="82"/>
      <c r="D97" s="83">
        <v>547</v>
      </c>
      <c r="E97" s="82">
        <v>547</v>
      </c>
      <c r="F97" s="85">
        <v>46180</v>
      </c>
      <c r="G97" s="83"/>
      <c r="H97" s="83"/>
      <c r="I97" s="83"/>
      <c r="J97" s="83"/>
    </row>
    <row r="98" spans="1:11">
      <c r="A98" s="82"/>
      <c r="B98" s="83"/>
      <c r="C98" s="82"/>
      <c r="D98" s="83">
        <v>83345</v>
      </c>
      <c r="E98" s="82">
        <v>83345</v>
      </c>
      <c r="F98" s="83"/>
      <c r="G98" s="83"/>
      <c r="H98" s="83"/>
      <c r="I98" s="83"/>
      <c r="J98" s="83"/>
    </row>
    <row r="99" spans="1:11">
      <c r="A99" s="82"/>
      <c r="B99" s="83"/>
      <c r="C99" s="82" t="s">
        <v>49</v>
      </c>
      <c r="D99" s="83"/>
      <c r="E99" s="82"/>
      <c r="F99" s="83"/>
      <c r="G99" s="83"/>
      <c r="H99" s="83"/>
      <c r="I99" s="83"/>
      <c r="J99" s="83"/>
      <c r="K99" t="s">
        <v>571</v>
      </c>
    </row>
    <row r="100" spans="1:11">
      <c r="A100" s="84">
        <v>46109</v>
      </c>
      <c r="B100" s="83" t="s">
        <v>348</v>
      </c>
      <c r="C100" s="82"/>
      <c r="D100" s="83">
        <v>152603</v>
      </c>
      <c r="E100" s="82">
        <v>152603</v>
      </c>
      <c r="F100" s="85">
        <v>46134</v>
      </c>
      <c r="G100" s="83">
        <f ca="1">$E$2-F100</f>
        <v>30</v>
      </c>
      <c r="H100" s="83"/>
      <c r="I100" s="83"/>
      <c r="J100" s="83"/>
    </row>
    <row r="101" spans="1:11">
      <c r="A101" s="84">
        <v>46142</v>
      </c>
      <c r="B101" s="83" t="s">
        <v>349</v>
      </c>
      <c r="C101" s="82"/>
      <c r="D101" s="83">
        <v>136439</v>
      </c>
      <c r="E101" s="82">
        <v>136439</v>
      </c>
      <c r="F101" s="85">
        <v>46167</v>
      </c>
      <c r="G101" s="83"/>
      <c r="H101" s="83"/>
      <c r="I101" s="83"/>
      <c r="J101" s="83"/>
    </row>
    <row r="102" spans="1:11">
      <c r="A102" s="84">
        <v>46155</v>
      </c>
      <c r="B102" s="83" t="s">
        <v>350</v>
      </c>
      <c r="C102" s="82"/>
      <c r="D102" s="83">
        <v>547</v>
      </c>
      <c r="E102" s="82">
        <v>547</v>
      </c>
      <c r="F102" s="85">
        <v>46180</v>
      </c>
      <c r="G102" s="83"/>
      <c r="H102" s="83"/>
      <c r="I102" s="83"/>
      <c r="J102" s="83"/>
    </row>
    <row r="103" spans="1:11">
      <c r="A103" s="82"/>
      <c r="B103" s="83"/>
      <c r="C103" s="82"/>
      <c r="D103" s="83">
        <v>289589</v>
      </c>
      <c r="E103" s="82">
        <v>289589</v>
      </c>
      <c r="F103" s="83"/>
      <c r="G103" s="83"/>
      <c r="H103" s="83"/>
      <c r="I103" s="83"/>
      <c r="J103" s="83"/>
    </row>
    <row r="104" spans="1:11">
      <c r="A104" s="82"/>
      <c r="B104" s="83"/>
      <c r="C104" s="82" t="s">
        <v>352</v>
      </c>
      <c r="D104" s="83"/>
      <c r="E104" s="82"/>
      <c r="F104" s="83"/>
      <c r="G104" s="83"/>
      <c r="H104" s="83"/>
      <c r="I104" s="83"/>
      <c r="J104" s="83"/>
    </row>
    <row r="105" spans="1:11">
      <c r="A105" s="84">
        <v>46087</v>
      </c>
      <c r="B105" s="83" t="s">
        <v>351</v>
      </c>
      <c r="C105" s="82"/>
      <c r="D105" s="83">
        <v>1427</v>
      </c>
      <c r="E105" s="82">
        <v>1427</v>
      </c>
      <c r="F105" s="85">
        <v>46112</v>
      </c>
      <c r="G105" s="83">
        <f ca="1">$E$2-F105</f>
        <v>52</v>
      </c>
      <c r="H105" s="83"/>
      <c r="I105" s="83"/>
      <c r="J105" s="83"/>
    </row>
    <row r="106" spans="1:11">
      <c r="A106" s="82"/>
      <c r="B106" s="83"/>
      <c r="C106" s="82"/>
      <c r="D106" s="83">
        <v>1427</v>
      </c>
      <c r="E106" s="82">
        <v>1427</v>
      </c>
      <c r="F106" s="83"/>
      <c r="G106" s="83"/>
      <c r="H106" s="83"/>
      <c r="I106" s="83"/>
      <c r="J106" s="83"/>
    </row>
    <row r="107" spans="1:11">
      <c r="A107" s="82"/>
      <c r="B107" s="83"/>
      <c r="C107" s="82" t="s">
        <v>354</v>
      </c>
      <c r="D107" s="83"/>
      <c r="E107" s="82"/>
      <c r="F107" s="83"/>
      <c r="G107" s="83"/>
      <c r="H107" s="83"/>
      <c r="I107" s="83"/>
      <c r="J107" s="83"/>
    </row>
    <row r="108" spans="1:11">
      <c r="A108" s="84">
        <v>46104</v>
      </c>
      <c r="B108" s="83" t="s">
        <v>353</v>
      </c>
      <c r="C108" s="82"/>
      <c r="D108" s="83">
        <v>1329</v>
      </c>
      <c r="E108" s="82">
        <v>1329</v>
      </c>
      <c r="F108" s="85">
        <v>46129</v>
      </c>
      <c r="G108" s="83">
        <f ca="1">$E$2-F108</f>
        <v>35</v>
      </c>
      <c r="H108" s="83"/>
      <c r="I108" s="83"/>
      <c r="J108" s="83"/>
    </row>
    <row r="109" spans="1:11">
      <c r="A109" s="82"/>
      <c r="B109" s="83"/>
      <c r="C109" s="82"/>
      <c r="D109" s="83">
        <v>1329</v>
      </c>
      <c r="E109" s="82">
        <v>1329</v>
      </c>
      <c r="F109" s="83"/>
      <c r="G109" s="83"/>
      <c r="H109" s="83"/>
      <c r="I109" s="83"/>
      <c r="J109" s="83"/>
    </row>
    <row r="110" spans="1:11">
      <c r="A110" s="82"/>
      <c r="B110" s="83"/>
      <c r="C110" s="82" t="s">
        <v>47</v>
      </c>
      <c r="D110" s="83"/>
      <c r="E110" s="82"/>
      <c r="F110" s="83"/>
      <c r="G110" s="83"/>
      <c r="H110" s="83"/>
      <c r="I110" s="83"/>
      <c r="J110" s="83"/>
      <c r="K110" t="s">
        <v>572</v>
      </c>
    </row>
    <row r="111" spans="1:11">
      <c r="A111" s="84">
        <v>46118</v>
      </c>
      <c r="B111" s="83" t="s">
        <v>355</v>
      </c>
      <c r="C111" s="82"/>
      <c r="D111" s="83">
        <v>765992</v>
      </c>
      <c r="E111" s="82">
        <v>743012</v>
      </c>
      <c r="F111" s="85">
        <v>46143</v>
      </c>
      <c r="G111" s="83">
        <f ca="1">$E$2-F111</f>
        <v>21</v>
      </c>
      <c r="H111" s="83"/>
      <c r="I111" s="83"/>
      <c r="J111" s="83"/>
    </row>
    <row r="112" spans="1:11">
      <c r="A112" s="82"/>
      <c r="B112" s="83"/>
      <c r="C112" s="82"/>
      <c r="D112" s="83">
        <v>765992</v>
      </c>
      <c r="E112" s="82">
        <v>743012</v>
      </c>
      <c r="F112" s="83"/>
      <c r="G112" s="83"/>
      <c r="H112" s="83"/>
      <c r="I112" s="83"/>
      <c r="J112" s="83"/>
    </row>
    <row r="113" spans="1:11">
      <c r="A113" s="82"/>
      <c r="B113" s="83"/>
      <c r="C113" s="82" t="s">
        <v>357</v>
      </c>
      <c r="D113" s="83"/>
      <c r="E113" s="82"/>
      <c r="F113" s="83"/>
      <c r="G113" s="83"/>
      <c r="H113" s="83"/>
      <c r="I113" s="83"/>
      <c r="J113" s="83"/>
      <c r="K113" t="s">
        <v>573</v>
      </c>
    </row>
    <row r="114" spans="1:11">
      <c r="A114" s="84">
        <v>46059</v>
      </c>
      <c r="B114" s="83" t="s">
        <v>356</v>
      </c>
      <c r="C114" s="82"/>
      <c r="D114" s="83">
        <v>28600</v>
      </c>
      <c r="E114" s="82">
        <v>28600</v>
      </c>
      <c r="F114" s="85">
        <v>46084</v>
      </c>
      <c r="G114" s="83">
        <f ca="1">$E$2-F114</f>
        <v>80</v>
      </c>
      <c r="H114" s="83"/>
      <c r="I114" s="83"/>
      <c r="J114" s="83"/>
    </row>
    <row r="115" spans="1:11">
      <c r="A115" s="84">
        <v>46087</v>
      </c>
      <c r="B115" s="83" t="s">
        <v>358</v>
      </c>
      <c r="C115" s="82"/>
      <c r="D115" s="83">
        <v>26307</v>
      </c>
      <c r="E115" s="82">
        <v>26307</v>
      </c>
      <c r="F115" s="85">
        <v>46112</v>
      </c>
      <c r="G115" s="83">
        <f ca="1">$E$2-F115</f>
        <v>52</v>
      </c>
      <c r="H115" s="83"/>
      <c r="I115" s="83"/>
      <c r="J115" s="83"/>
    </row>
    <row r="116" spans="1:11">
      <c r="A116" s="84">
        <v>46109</v>
      </c>
      <c r="B116" s="83" t="s">
        <v>359</v>
      </c>
      <c r="C116" s="82"/>
      <c r="D116" s="83">
        <v>21129</v>
      </c>
      <c r="E116" s="82">
        <v>21129</v>
      </c>
      <c r="F116" s="85">
        <v>46134</v>
      </c>
      <c r="G116" s="83">
        <f ca="1">$E$2-F116</f>
        <v>30</v>
      </c>
      <c r="H116" s="83"/>
      <c r="I116" s="83"/>
      <c r="J116" s="83"/>
    </row>
    <row r="117" spans="1:11">
      <c r="A117" s="84">
        <v>46121</v>
      </c>
      <c r="B117" s="83" t="s">
        <v>360</v>
      </c>
      <c r="C117" s="82"/>
      <c r="D117" s="83">
        <v>7460</v>
      </c>
      <c r="E117" s="82">
        <v>7460</v>
      </c>
      <c r="F117" s="85">
        <v>46146</v>
      </c>
      <c r="G117" s="83">
        <f ca="1">$E$2-F117</f>
        <v>18</v>
      </c>
      <c r="H117" s="83"/>
      <c r="I117" s="83"/>
      <c r="J117" s="83"/>
    </row>
    <row r="118" spans="1:11">
      <c r="A118" s="82"/>
      <c r="B118" s="83"/>
      <c r="C118" s="82"/>
      <c r="D118" s="83">
        <v>83496</v>
      </c>
      <c r="E118" s="82">
        <v>83496</v>
      </c>
      <c r="F118" s="83"/>
      <c r="G118" s="83"/>
      <c r="H118" s="83"/>
      <c r="I118" s="83"/>
      <c r="J118" s="83"/>
    </row>
    <row r="119" spans="1:11">
      <c r="A119" s="82"/>
      <c r="B119" s="83"/>
      <c r="C119" s="82" t="s">
        <v>362</v>
      </c>
      <c r="D119" s="83"/>
      <c r="E119" s="82"/>
      <c r="F119" s="83"/>
      <c r="G119" s="83"/>
      <c r="H119" s="83"/>
      <c r="I119" s="83"/>
      <c r="J119" s="83"/>
      <c r="K119" t="s">
        <v>574</v>
      </c>
    </row>
    <row r="120" spans="1:11">
      <c r="A120" s="84">
        <v>45202</v>
      </c>
      <c r="B120" s="83" t="s">
        <v>361</v>
      </c>
      <c r="C120" s="82"/>
      <c r="D120" s="83">
        <v>66959.100000000006</v>
      </c>
      <c r="E120" s="82">
        <v>21098.1</v>
      </c>
      <c r="F120" s="85">
        <v>45202</v>
      </c>
      <c r="G120" s="83">
        <f ca="1">$E$2-F120</f>
        <v>962</v>
      </c>
      <c r="H120" s="83"/>
      <c r="I120" s="83"/>
      <c r="J120" s="83"/>
    </row>
    <row r="121" spans="1:11">
      <c r="A121" s="84">
        <v>46087</v>
      </c>
      <c r="B121" s="83" t="s">
        <v>363</v>
      </c>
      <c r="C121" s="82"/>
      <c r="D121" s="83">
        <v>1427</v>
      </c>
      <c r="E121" s="82">
        <v>1427</v>
      </c>
      <c r="F121" s="85">
        <v>46112</v>
      </c>
      <c r="G121" s="83">
        <f ca="1">$E$2-F121</f>
        <v>52</v>
      </c>
      <c r="H121" s="83"/>
      <c r="I121" s="83"/>
      <c r="J121" s="83"/>
    </row>
    <row r="122" spans="1:11">
      <c r="A122" s="82"/>
      <c r="B122" s="83"/>
      <c r="C122" s="82"/>
      <c r="D122" s="83">
        <v>68386.100000000006</v>
      </c>
      <c r="E122" s="82">
        <v>22525.1</v>
      </c>
      <c r="F122" s="83"/>
      <c r="G122" s="83"/>
      <c r="H122" s="83"/>
      <c r="I122" s="83"/>
      <c r="J122" s="83"/>
    </row>
    <row r="123" spans="1:11">
      <c r="A123" s="82"/>
      <c r="B123" s="83"/>
      <c r="C123" s="82" t="s">
        <v>365</v>
      </c>
      <c r="D123" s="83"/>
      <c r="E123" s="82"/>
      <c r="F123" s="83"/>
      <c r="G123" s="83"/>
      <c r="H123" s="83"/>
      <c r="I123" s="83"/>
      <c r="J123" s="83"/>
    </row>
    <row r="124" spans="1:11">
      <c r="A124" s="84">
        <v>46087</v>
      </c>
      <c r="B124" s="83" t="s">
        <v>364</v>
      </c>
      <c r="C124" s="82"/>
      <c r="D124" s="83">
        <v>1427</v>
      </c>
      <c r="E124" s="82">
        <v>1427</v>
      </c>
      <c r="F124" s="85">
        <v>46112</v>
      </c>
      <c r="G124" s="83">
        <f ca="1">$E$2-F124</f>
        <v>52</v>
      </c>
      <c r="H124" s="83"/>
      <c r="I124" s="83"/>
      <c r="J124" s="83"/>
    </row>
    <row r="125" spans="1:11">
      <c r="A125" s="82"/>
      <c r="B125" s="83"/>
      <c r="C125" s="82"/>
      <c r="D125" s="83">
        <v>1427</v>
      </c>
      <c r="E125" s="82">
        <v>1427</v>
      </c>
      <c r="F125" s="83"/>
      <c r="G125" s="83"/>
      <c r="H125" s="83"/>
      <c r="I125" s="83"/>
      <c r="J125" s="83"/>
    </row>
    <row r="126" spans="1:11">
      <c r="A126" s="82"/>
      <c r="B126" s="83"/>
      <c r="C126" s="82" t="s">
        <v>56</v>
      </c>
      <c r="D126" s="83"/>
      <c r="E126" s="82"/>
      <c r="F126" s="83"/>
      <c r="G126" s="83"/>
      <c r="H126" s="83"/>
      <c r="I126" s="83"/>
      <c r="J126" s="83"/>
      <c r="K126" t="s">
        <v>575</v>
      </c>
    </row>
    <row r="127" spans="1:11">
      <c r="A127" s="84">
        <v>46112</v>
      </c>
      <c r="B127" s="83" t="s">
        <v>366</v>
      </c>
      <c r="C127" s="82"/>
      <c r="D127" s="83">
        <v>45625</v>
      </c>
      <c r="E127" s="82">
        <v>45625</v>
      </c>
      <c r="F127" s="85">
        <v>46137</v>
      </c>
      <c r="G127" s="83">
        <f ca="1">$E$2-F127</f>
        <v>27</v>
      </c>
      <c r="H127" s="83"/>
      <c r="I127" s="83"/>
      <c r="J127" s="83"/>
    </row>
    <row r="128" spans="1:11">
      <c r="A128" s="84">
        <v>46137</v>
      </c>
      <c r="B128" s="83" t="s">
        <v>367</v>
      </c>
      <c r="C128" s="82"/>
      <c r="D128" s="83">
        <v>91396</v>
      </c>
      <c r="E128" s="82">
        <v>91396</v>
      </c>
      <c r="F128" s="85">
        <v>46162</v>
      </c>
      <c r="G128" s="83">
        <f ca="1">$E$2-F128</f>
        <v>2</v>
      </c>
      <c r="H128" s="83"/>
      <c r="I128" s="83"/>
      <c r="J128" s="83"/>
    </row>
    <row r="129" spans="1:11">
      <c r="A129" s="82"/>
      <c r="B129" s="83"/>
      <c r="C129" s="82"/>
      <c r="D129" s="83">
        <v>137021</v>
      </c>
      <c r="E129" s="82">
        <v>137021</v>
      </c>
      <c r="F129" s="83"/>
      <c r="G129" s="83"/>
      <c r="H129" s="83"/>
      <c r="I129" s="83"/>
      <c r="J129" s="83"/>
    </row>
    <row r="130" spans="1:11">
      <c r="A130" s="82"/>
      <c r="B130" s="83"/>
      <c r="C130" s="82" t="s">
        <v>54</v>
      </c>
      <c r="D130" s="83"/>
      <c r="E130" s="82"/>
      <c r="F130" s="83"/>
      <c r="G130" s="83"/>
      <c r="H130" s="83"/>
      <c r="I130" s="83"/>
      <c r="J130" s="83"/>
      <c r="K130" t="s">
        <v>576</v>
      </c>
    </row>
    <row r="131" spans="1:11">
      <c r="A131" s="84">
        <v>46087</v>
      </c>
      <c r="B131" s="83" t="s">
        <v>368</v>
      </c>
      <c r="C131" s="82"/>
      <c r="D131" s="83">
        <v>52613</v>
      </c>
      <c r="E131" s="82">
        <v>52613</v>
      </c>
      <c r="F131" s="85">
        <v>46112</v>
      </c>
      <c r="G131" s="83">
        <f ca="1">$E$2-F131</f>
        <v>52</v>
      </c>
      <c r="H131" s="83"/>
      <c r="I131" s="83"/>
      <c r="J131" s="83"/>
    </row>
    <row r="132" spans="1:11">
      <c r="A132" s="84">
        <v>46109</v>
      </c>
      <c r="B132" s="83" t="s">
        <v>369</v>
      </c>
      <c r="C132" s="82"/>
      <c r="D132" s="83">
        <v>88584</v>
      </c>
      <c r="E132" s="82">
        <v>88584</v>
      </c>
      <c r="F132" s="85">
        <v>46134</v>
      </c>
      <c r="G132" s="83">
        <f ca="1">$E$2-F132</f>
        <v>30</v>
      </c>
      <c r="H132" s="83"/>
      <c r="I132" s="83"/>
      <c r="J132" s="83"/>
    </row>
    <row r="133" spans="1:11">
      <c r="A133" s="82"/>
      <c r="B133" s="83"/>
      <c r="C133" s="82"/>
      <c r="D133" s="83">
        <v>141197</v>
      </c>
      <c r="E133" s="82">
        <v>141197</v>
      </c>
      <c r="F133" s="83"/>
      <c r="G133" s="83"/>
      <c r="H133" s="83"/>
      <c r="I133" s="83"/>
      <c r="J133" s="83"/>
    </row>
    <row r="134" spans="1:11">
      <c r="A134" s="82"/>
      <c r="B134" s="83"/>
      <c r="C134" s="82" t="s">
        <v>371</v>
      </c>
      <c r="D134" s="83"/>
      <c r="E134" s="82"/>
      <c r="F134" s="83"/>
      <c r="G134" s="83"/>
      <c r="H134" s="83"/>
      <c r="I134" s="83"/>
      <c r="J134" s="83"/>
      <c r="K134" t="s">
        <v>577</v>
      </c>
    </row>
    <row r="135" spans="1:11">
      <c r="A135" s="84">
        <v>46140</v>
      </c>
      <c r="B135" s="83" t="s">
        <v>370</v>
      </c>
      <c r="C135" s="82"/>
      <c r="D135" s="83">
        <v>46578</v>
      </c>
      <c r="E135" s="82">
        <v>46578</v>
      </c>
      <c r="F135" s="85">
        <v>46140</v>
      </c>
      <c r="G135" s="83">
        <f ca="1">$E$2-F135</f>
        <v>24</v>
      </c>
      <c r="H135" s="83"/>
      <c r="I135" s="83"/>
      <c r="J135" s="83"/>
    </row>
    <row r="136" spans="1:11">
      <c r="A136" s="82"/>
      <c r="B136" s="83"/>
      <c r="C136" s="82"/>
      <c r="D136" s="83">
        <v>46578</v>
      </c>
      <c r="E136" s="82">
        <v>46578</v>
      </c>
      <c r="F136" s="83"/>
      <c r="G136" s="83"/>
      <c r="H136" s="83"/>
      <c r="I136" s="83"/>
      <c r="J136" s="83"/>
    </row>
    <row r="137" spans="1:11">
      <c r="A137" s="82"/>
      <c r="B137" s="83"/>
      <c r="C137" s="35" t="s">
        <v>500</v>
      </c>
      <c r="D137" s="83">
        <v>5320525.0999999996</v>
      </c>
      <c r="E137" s="82">
        <v>5127437.9800000004</v>
      </c>
      <c r="F137" s="83"/>
      <c r="G137" s="83"/>
      <c r="H137" s="83"/>
      <c r="I137" s="83"/>
      <c r="J137" s="83"/>
    </row>
    <row r="138" spans="1:11">
      <c r="A138" s="87"/>
      <c r="B138" s="88"/>
      <c r="C138" s="87"/>
      <c r="D138" s="88"/>
      <c r="E138" s="87"/>
      <c r="F138" s="88"/>
    </row>
    <row r="139" spans="1:11">
      <c r="A139" s="87"/>
      <c r="B139" s="88"/>
      <c r="C139" s="87"/>
      <c r="D139" s="88"/>
      <c r="E139" s="87"/>
      <c r="F139" s="88"/>
    </row>
    <row r="140" spans="1:11">
      <c r="A140" s="87"/>
      <c r="B140" s="88"/>
      <c r="C140" s="87"/>
      <c r="D140" s="88"/>
      <c r="E140" s="87"/>
      <c r="F140" s="88"/>
    </row>
    <row r="141" spans="1:11">
      <c r="A141" s="87"/>
      <c r="B141" s="88"/>
      <c r="C141" s="87"/>
      <c r="D141" s="88"/>
      <c r="E141" s="87"/>
      <c r="F141" s="88"/>
    </row>
    <row r="142" spans="1:11">
      <c r="A142" s="87"/>
      <c r="B142" s="88"/>
      <c r="C142" s="87"/>
      <c r="D142" s="88"/>
      <c r="E142" s="87"/>
      <c r="F142" s="88"/>
    </row>
    <row r="143" spans="1:11">
      <c r="A143" s="87"/>
      <c r="B143" s="88"/>
      <c r="C143" s="87"/>
      <c r="D143" s="88"/>
      <c r="E143" s="87"/>
      <c r="F143" s="88"/>
    </row>
    <row r="144" spans="1:11">
      <c r="A144" s="87"/>
      <c r="B144" s="88"/>
      <c r="C144" s="87"/>
      <c r="D144" s="88"/>
      <c r="E144" s="87"/>
      <c r="F144" s="88"/>
    </row>
    <row r="145" spans="1:7">
      <c r="A145" s="87"/>
      <c r="B145" s="88"/>
      <c r="C145" s="87"/>
      <c r="D145" s="88"/>
      <c r="E145" s="87"/>
      <c r="F145" s="88"/>
    </row>
    <row r="146" spans="1:7">
      <c r="A146" s="87"/>
      <c r="B146" s="88"/>
      <c r="C146" s="87"/>
      <c r="D146" s="88"/>
      <c r="E146" s="87"/>
      <c r="F146" s="88"/>
    </row>
    <row r="147" spans="1:7">
      <c r="A147" s="87"/>
      <c r="B147" s="88"/>
      <c r="C147" s="87"/>
      <c r="D147" s="88"/>
      <c r="E147" s="87"/>
      <c r="F147" s="88"/>
      <c r="G147" s="88"/>
    </row>
    <row r="148" spans="1:7">
      <c r="A148" s="87"/>
      <c r="B148" s="88"/>
      <c r="C148" s="87"/>
      <c r="D148" s="88"/>
      <c r="E148" s="87"/>
      <c r="F148" s="88"/>
      <c r="G148" s="88"/>
    </row>
    <row r="149" spans="1:7">
      <c r="A149" s="87"/>
      <c r="B149" s="88"/>
      <c r="C149" s="87"/>
      <c r="D149" s="88"/>
      <c r="E149" s="87"/>
      <c r="F149" s="88"/>
      <c r="G149" s="88"/>
    </row>
    <row r="150" spans="1:7">
      <c r="A150" s="87"/>
      <c r="B150" s="88"/>
      <c r="C150" s="87"/>
      <c r="D150" s="88"/>
      <c r="E150" s="87"/>
      <c r="F150" s="88"/>
      <c r="G150" s="88"/>
    </row>
    <row r="151" spans="1:7">
      <c r="A151" s="87"/>
      <c r="B151" s="88"/>
      <c r="C151" s="87"/>
      <c r="D151" s="88"/>
      <c r="E151" s="87"/>
      <c r="F151" s="88"/>
      <c r="G151" s="88"/>
    </row>
    <row r="152" spans="1:7">
      <c r="A152" s="87"/>
      <c r="B152" s="88"/>
      <c r="C152" s="87"/>
      <c r="D152" s="88"/>
      <c r="E152" s="87"/>
      <c r="F152" s="88"/>
      <c r="G152" s="88"/>
    </row>
    <row r="153" spans="1:7">
      <c r="A153" s="87"/>
      <c r="B153" s="88"/>
      <c r="C153" s="87"/>
      <c r="D153" s="88"/>
      <c r="E153" s="87"/>
      <c r="F153" s="88"/>
      <c r="G153" s="88"/>
    </row>
    <row r="154" spans="1:7">
      <c r="A154" s="87"/>
      <c r="B154" s="88"/>
      <c r="C154" s="87"/>
      <c r="D154" s="88"/>
      <c r="E154" s="87"/>
      <c r="F154" s="88"/>
      <c r="G154" s="88"/>
    </row>
    <row r="155" spans="1:7">
      <c r="A155" s="87"/>
      <c r="B155" s="88"/>
      <c r="C155" s="87"/>
      <c r="D155" s="88"/>
      <c r="E155" s="87"/>
      <c r="F155" s="88"/>
      <c r="G155" s="88"/>
    </row>
    <row r="156" spans="1:7">
      <c r="A156" s="87"/>
      <c r="B156" s="88"/>
      <c r="C156" s="87"/>
      <c r="D156" s="88"/>
      <c r="E156" s="87"/>
      <c r="F156" s="88"/>
      <c r="G156" s="88"/>
    </row>
    <row r="157" spans="1:7">
      <c r="A157" s="87"/>
      <c r="B157" s="88"/>
      <c r="C157" s="87"/>
      <c r="D157" s="88"/>
      <c r="E157" s="87"/>
      <c r="F157" s="88"/>
      <c r="G157" s="88"/>
    </row>
    <row r="158" spans="1:7">
      <c r="A158" s="87"/>
      <c r="B158" s="88"/>
      <c r="C158" s="87"/>
      <c r="D158" s="88"/>
      <c r="E158" s="87"/>
      <c r="F158" s="88"/>
      <c r="G158" s="88"/>
    </row>
    <row r="159" spans="1:7">
      <c r="A159" s="87"/>
      <c r="B159" s="88"/>
      <c r="C159" s="87"/>
      <c r="D159" s="88"/>
      <c r="E159" s="87"/>
      <c r="F159" s="88"/>
      <c r="G159" s="88"/>
    </row>
    <row r="160" spans="1:7">
      <c r="A160" s="87"/>
      <c r="B160" s="88"/>
      <c r="C160" s="87"/>
      <c r="D160" s="88"/>
      <c r="E160" s="87"/>
      <c r="F160" s="88"/>
      <c r="G160" s="88"/>
    </row>
    <row r="161" spans="1:7">
      <c r="A161" s="87"/>
      <c r="B161" s="88"/>
      <c r="C161" s="87"/>
      <c r="D161" s="88"/>
      <c r="E161" s="87"/>
      <c r="F161" s="88"/>
      <c r="G161" s="88"/>
    </row>
    <row r="162" spans="1:7">
      <c r="A162" s="87"/>
      <c r="B162" s="88"/>
      <c r="C162" s="87"/>
      <c r="D162" s="88"/>
      <c r="E162" s="87"/>
      <c r="F162" s="88"/>
      <c r="G162" s="88"/>
    </row>
    <row r="163" spans="1:7">
      <c r="A163" s="87"/>
      <c r="B163" s="88"/>
      <c r="C163" s="87"/>
      <c r="D163" s="88"/>
      <c r="E163" s="87"/>
      <c r="F163" s="88"/>
      <c r="G163" s="88"/>
    </row>
    <row r="164" spans="1:7">
      <c r="A164" s="87"/>
      <c r="B164" s="88"/>
      <c r="C164" s="87"/>
      <c r="D164" s="88"/>
      <c r="E164" s="87"/>
      <c r="F164" s="88"/>
      <c r="G164" s="88"/>
    </row>
    <row r="165" spans="1:7">
      <c r="A165" s="87"/>
      <c r="B165" s="88"/>
      <c r="C165" s="87"/>
      <c r="D165" s="88"/>
      <c r="E165" s="87"/>
      <c r="F165" s="88"/>
      <c r="G165" s="88"/>
    </row>
    <row r="166" spans="1:7">
      <c r="A166" s="87"/>
      <c r="B166" s="88"/>
      <c r="C166" s="87"/>
      <c r="D166" s="88"/>
      <c r="E166" s="87"/>
      <c r="F166" s="88"/>
      <c r="G166" s="88"/>
    </row>
    <row r="167" spans="1:7">
      <c r="A167" s="87"/>
      <c r="B167" s="88"/>
      <c r="C167" s="87"/>
      <c r="D167" s="88"/>
      <c r="E167" s="87"/>
      <c r="F167" s="88"/>
      <c r="G167" s="88"/>
    </row>
  </sheetData>
  <mergeCells count="2">
    <mergeCell ref="B1:C1"/>
    <mergeCell ref="B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98"/>
  <sheetViews>
    <sheetView workbookViewId="0"/>
  </sheetViews>
  <sheetFormatPr defaultRowHeight="14.4"/>
  <cols>
    <col min="1" max="1" width="10.109375" customWidth="1"/>
    <col min="2" max="2" width="22" customWidth="1"/>
    <col min="3" max="3" width="43.6640625" customWidth="1"/>
    <col min="4" max="4" width="13.44140625" customWidth="1"/>
    <col min="5" max="5" width="11" customWidth="1"/>
    <col min="6" max="6" width="8.44140625" customWidth="1"/>
    <col min="7" max="7" width="16.109375" customWidth="1"/>
    <col min="8" max="8" width="9.33203125" customWidth="1"/>
    <col min="9" max="9" width="15" customWidth="1"/>
    <col min="10" max="10" width="19" customWidth="1"/>
  </cols>
  <sheetData>
    <row r="1" spans="1:20">
      <c r="A1" s="73" t="s">
        <v>489</v>
      </c>
      <c r="B1" s="139" t="s">
        <v>41</v>
      </c>
      <c r="C1" s="136"/>
    </row>
    <row r="2" spans="1:20">
      <c r="A2" s="89" t="s">
        <v>491</v>
      </c>
      <c r="B2" s="141" t="s">
        <v>492</v>
      </c>
      <c r="C2" s="136"/>
      <c r="D2" s="90" t="s">
        <v>493</v>
      </c>
      <c r="E2" s="91">
        <f ca="1">TODAY()</f>
        <v>46164</v>
      </c>
    </row>
    <row r="3" spans="1:20" ht="5.25" customHeight="1"/>
    <row r="4" spans="1:20">
      <c r="A4" s="76" t="s">
        <v>4</v>
      </c>
      <c r="B4" s="76" t="s">
        <v>494</v>
      </c>
      <c r="C4" s="76" t="s">
        <v>495</v>
      </c>
      <c r="D4" s="76" t="s">
        <v>502</v>
      </c>
      <c r="E4" s="76" t="s">
        <v>503</v>
      </c>
      <c r="F4" s="76" t="s">
        <v>496</v>
      </c>
      <c r="G4" s="79" t="s">
        <v>11</v>
      </c>
      <c r="H4" s="92" t="s">
        <v>504</v>
      </c>
      <c r="I4" s="92" t="s">
        <v>505</v>
      </c>
      <c r="J4" s="92" t="s">
        <v>498</v>
      </c>
      <c r="K4" s="114" t="s">
        <v>16</v>
      </c>
      <c r="L4" s="93"/>
      <c r="M4" s="93"/>
      <c r="N4" s="93"/>
      <c r="O4" s="93"/>
      <c r="P4" s="93"/>
      <c r="Q4" s="93"/>
      <c r="R4" s="93"/>
      <c r="S4" s="93"/>
      <c r="T4" s="93"/>
    </row>
    <row r="5" spans="1:20">
      <c r="A5" s="94"/>
      <c r="B5" s="95"/>
      <c r="C5" s="95"/>
      <c r="D5" s="95"/>
      <c r="E5" s="95"/>
      <c r="F5" s="95"/>
      <c r="G5" s="95"/>
      <c r="H5" s="96"/>
      <c r="I5" s="96"/>
      <c r="J5" s="97"/>
      <c r="K5" s="98"/>
      <c r="L5" s="98"/>
      <c r="M5" s="98"/>
      <c r="N5" s="98"/>
      <c r="O5" s="99"/>
      <c r="P5" s="99"/>
      <c r="Q5" s="99"/>
      <c r="R5" s="99"/>
      <c r="S5" s="99"/>
      <c r="T5" s="99"/>
    </row>
    <row r="6" spans="1:20">
      <c r="A6" s="100"/>
      <c r="B6" s="101"/>
      <c r="C6" s="27" t="s">
        <v>373</v>
      </c>
      <c r="D6" s="101"/>
      <c r="E6" s="101"/>
      <c r="F6" s="101"/>
      <c r="G6" s="101"/>
      <c r="H6" s="25"/>
      <c r="I6" s="25"/>
      <c r="J6" s="26"/>
      <c r="K6" s="102"/>
      <c r="L6" s="102"/>
      <c r="M6" s="102"/>
      <c r="N6" s="102"/>
      <c r="O6" s="93"/>
      <c r="P6" s="93"/>
      <c r="Q6" s="93"/>
      <c r="R6" s="93"/>
      <c r="S6" s="93"/>
      <c r="T6" s="93"/>
    </row>
    <row r="7" spans="1:20">
      <c r="A7" s="28">
        <v>46125</v>
      </c>
      <c r="B7" s="29" t="s">
        <v>372</v>
      </c>
      <c r="C7" s="101"/>
      <c r="D7" s="33">
        <v>5452</v>
      </c>
      <c r="E7" s="23">
        <v>5452</v>
      </c>
      <c r="F7" s="31">
        <v>46150</v>
      </c>
      <c r="G7" s="32">
        <f ca="1">$E$2-F7</f>
        <v>14</v>
      </c>
      <c r="H7" s="25"/>
      <c r="I7" s="25"/>
      <c r="J7" s="26"/>
      <c r="K7" s="102"/>
      <c r="L7" s="102"/>
      <c r="M7" s="102"/>
      <c r="N7" s="102"/>
      <c r="O7" s="93"/>
      <c r="P7" s="93"/>
      <c r="Q7" s="93"/>
      <c r="R7" s="93"/>
      <c r="S7" s="93"/>
      <c r="T7" s="93"/>
    </row>
    <row r="8" spans="1:20">
      <c r="A8" s="100"/>
      <c r="B8" s="101"/>
      <c r="C8" s="101"/>
      <c r="D8" s="33">
        <v>5452</v>
      </c>
      <c r="E8" s="23">
        <v>5452</v>
      </c>
      <c r="F8" s="101"/>
      <c r="G8" s="101"/>
      <c r="H8" s="25">
        <v>0</v>
      </c>
      <c r="I8" s="25">
        <f>E8-H8</f>
        <v>5452</v>
      </c>
      <c r="J8" s="26"/>
      <c r="K8" s="102"/>
      <c r="L8" s="102"/>
      <c r="M8" s="102"/>
      <c r="N8" s="102"/>
      <c r="O8" s="93"/>
      <c r="P8" s="93"/>
      <c r="Q8" s="93"/>
      <c r="R8" s="93"/>
      <c r="S8" s="93"/>
      <c r="T8" s="93"/>
    </row>
    <row r="9" spans="1:20">
      <c r="A9" s="100"/>
      <c r="B9" s="101"/>
      <c r="C9" s="27" t="s">
        <v>375</v>
      </c>
      <c r="D9" s="101"/>
      <c r="E9" s="101"/>
      <c r="F9" s="101"/>
      <c r="G9" s="101"/>
      <c r="H9" s="25"/>
      <c r="I9" s="25"/>
      <c r="J9" s="26"/>
      <c r="K9" s="102"/>
      <c r="L9" s="102"/>
      <c r="M9" s="102"/>
      <c r="N9" s="102"/>
      <c r="O9" s="93"/>
      <c r="P9" s="93"/>
      <c r="Q9" s="93"/>
      <c r="R9" s="93"/>
      <c r="S9" s="93"/>
      <c r="T9" s="93"/>
    </row>
    <row r="10" spans="1:20">
      <c r="A10" s="28">
        <v>46133</v>
      </c>
      <c r="B10" s="29" t="s">
        <v>374</v>
      </c>
      <c r="C10" s="101"/>
      <c r="D10" s="33">
        <v>13436</v>
      </c>
      <c r="E10" s="23">
        <v>13436</v>
      </c>
      <c r="F10" s="31">
        <v>46158</v>
      </c>
      <c r="G10" s="32">
        <f ca="1">$E$2-F10</f>
        <v>6</v>
      </c>
      <c r="H10" s="25"/>
      <c r="I10" s="25"/>
      <c r="J10" s="26"/>
      <c r="K10" s="102"/>
      <c r="L10" s="102"/>
      <c r="M10" s="102"/>
      <c r="N10" s="102"/>
      <c r="O10" s="93"/>
      <c r="P10" s="93"/>
      <c r="Q10" s="93"/>
      <c r="R10" s="93"/>
      <c r="S10" s="93"/>
      <c r="T10" s="93"/>
    </row>
    <row r="11" spans="1:20">
      <c r="A11" s="100"/>
      <c r="B11" s="101"/>
      <c r="C11" s="101"/>
      <c r="D11" s="33">
        <v>13436</v>
      </c>
      <c r="E11" s="23">
        <v>13436</v>
      </c>
      <c r="F11" s="101"/>
      <c r="G11" s="101"/>
      <c r="H11" s="25">
        <v>0</v>
      </c>
      <c r="I11" s="25">
        <f>E11-H11</f>
        <v>13436</v>
      </c>
      <c r="J11" s="26"/>
      <c r="K11" s="102"/>
      <c r="L11" s="102"/>
      <c r="M11" s="102"/>
      <c r="N11" s="102"/>
      <c r="O11" s="93"/>
      <c r="P11" s="93"/>
      <c r="Q11" s="93"/>
      <c r="R11" s="93"/>
      <c r="S11" s="93"/>
      <c r="T11" s="93"/>
    </row>
    <row r="12" spans="1:20">
      <c r="A12" s="100"/>
      <c r="B12" s="101"/>
      <c r="C12" s="27" t="s">
        <v>377</v>
      </c>
      <c r="D12" s="101"/>
      <c r="E12" s="101"/>
      <c r="F12" s="101"/>
      <c r="G12" s="101"/>
      <c r="H12" s="25"/>
      <c r="I12" s="25"/>
      <c r="J12" s="26"/>
      <c r="K12" s="102" t="s">
        <v>578</v>
      </c>
      <c r="L12" s="102"/>
      <c r="M12" s="102"/>
      <c r="N12" s="102"/>
      <c r="O12" s="93"/>
      <c r="P12" s="93"/>
      <c r="Q12" s="93"/>
      <c r="R12" s="93"/>
      <c r="S12" s="93"/>
      <c r="T12" s="93"/>
    </row>
    <row r="13" spans="1:20">
      <c r="A13" s="28">
        <v>46105</v>
      </c>
      <c r="B13" s="29" t="s">
        <v>376</v>
      </c>
      <c r="C13" s="101"/>
      <c r="D13" s="33">
        <v>8720</v>
      </c>
      <c r="E13" s="23">
        <v>8720</v>
      </c>
      <c r="F13" s="31">
        <v>46130</v>
      </c>
      <c r="G13" s="32">
        <f ca="1">$E$2-F13</f>
        <v>34</v>
      </c>
      <c r="H13" s="25"/>
      <c r="I13" s="25"/>
      <c r="J13" s="26"/>
      <c r="K13" s="102"/>
      <c r="L13" s="102"/>
      <c r="M13" s="102"/>
      <c r="N13" s="102"/>
      <c r="O13" s="93"/>
      <c r="P13" s="93"/>
      <c r="Q13" s="93"/>
      <c r="R13" s="93"/>
      <c r="S13" s="93"/>
      <c r="T13" s="93"/>
    </row>
    <row r="14" spans="1:20">
      <c r="A14" s="100"/>
      <c r="B14" s="101"/>
      <c r="C14" s="101"/>
      <c r="D14" s="33">
        <v>8720</v>
      </c>
      <c r="E14" s="23">
        <v>8720</v>
      </c>
      <c r="F14" s="101"/>
      <c r="G14" s="101"/>
      <c r="H14" s="25"/>
      <c r="I14" s="25"/>
      <c r="J14" s="26"/>
      <c r="K14" s="102"/>
      <c r="L14" s="102"/>
      <c r="M14" s="102"/>
      <c r="N14" s="102"/>
      <c r="O14" s="93"/>
      <c r="P14" s="93"/>
      <c r="Q14" s="93"/>
      <c r="R14" s="93"/>
      <c r="S14" s="93"/>
      <c r="T14" s="93"/>
    </row>
    <row r="15" spans="1:20">
      <c r="A15" s="100"/>
      <c r="B15" s="101"/>
      <c r="C15" s="27" t="s">
        <v>380</v>
      </c>
      <c r="D15" s="101"/>
      <c r="E15" s="101"/>
      <c r="F15" s="101"/>
      <c r="G15" s="101"/>
      <c r="H15" s="25"/>
      <c r="I15" s="25"/>
      <c r="J15" s="26"/>
      <c r="K15" s="102" t="s">
        <v>579</v>
      </c>
      <c r="L15" s="102"/>
      <c r="M15" s="102"/>
      <c r="N15" s="102"/>
      <c r="O15" s="93"/>
      <c r="P15" s="93"/>
      <c r="Q15" s="93"/>
      <c r="R15" s="93"/>
      <c r="S15" s="93"/>
      <c r="T15" s="93"/>
    </row>
    <row r="16" spans="1:20">
      <c r="A16" s="28">
        <v>46135</v>
      </c>
      <c r="B16" s="29" t="s">
        <v>379</v>
      </c>
      <c r="C16" s="101"/>
      <c r="D16" s="33">
        <v>2156</v>
      </c>
      <c r="E16" s="33">
        <v>2156</v>
      </c>
      <c r="F16" s="31">
        <v>46160</v>
      </c>
      <c r="G16" s="32">
        <f ca="1">$E$2-F16</f>
        <v>4</v>
      </c>
      <c r="H16" s="25">
        <f>H18</f>
        <v>2156</v>
      </c>
      <c r="I16" s="25">
        <f>E16-H16</f>
        <v>0</v>
      </c>
      <c r="J16" s="26" t="s">
        <v>378</v>
      </c>
      <c r="K16" s="102"/>
      <c r="L16" s="102"/>
      <c r="M16" s="102"/>
      <c r="N16" s="102"/>
      <c r="O16" s="93"/>
      <c r="P16" s="93"/>
      <c r="Q16" s="93"/>
      <c r="R16" s="93"/>
      <c r="S16" s="93"/>
      <c r="T16" s="93"/>
    </row>
    <row r="17" spans="1:20">
      <c r="A17" s="28">
        <v>46151</v>
      </c>
      <c r="B17" s="29" t="s">
        <v>381</v>
      </c>
      <c r="C17" s="101"/>
      <c r="D17" s="33">
        <v>3708</v>
      </c>
      <c r="E17" s="33">
        <v>3708</v>
      </c>
      <c r="F17" s="31">
        <v>46176</v>
      </c>
      <c r="G17" s="101"/>
      <c r="H17" s="25"/>
      <c r="I17" s="25"/>
      <c r="J17" s="26"/>
      <c r="K17" s="102"/>
      <c r="L17" s="102"/>
      <c r="M17" s="102"/>
      <c r="N17" s="102"/>
      <c r="O17" s="93"/>
      <c r="P17" s="93"/>
      <c r="Q17" s="93"/>
      <c r="R17" s="93"/>
      <c r="S17" s="93"/>
      <c r="T17" s="93"/>
    </row>
    <row r="18" spans="1:20">
      <c r="A18" s="100"/>
      <c r="B18" s="101"/>
      <c r="C18" s="101"/>
      <c r="D18" s="33">
        <v>5864</v>
      </c>
      <c r="E18" s="23">
        <v>5864</v>
      </c>
      <c r="F18" s="101"/>
      <c r="G18" s="101"/>
      <c r="H18" s="25">
        <f>2156</f>
        <v>2156</v>
      </c>
      <c r="I18" s="25">
        <f>E18-H18</f>
        <v>3708</v>
      </c>
      <c r="J18" s="26"/>
      <c r="K18" s="102"/>
      <c r="L18" s="102"/>
      <c r="M18" s="102"/>
      <c r="N18" s="102"/>
      <c r="O18" s="93"/>
      <c r="P18" s="93"/>
      <c r="Q18" s="93"/>
      <c r="R18" s="93"/>
      <c r="S18" s="93"/>
      <c r="T18" s="93"/>
    </row>
    <row r="19" spans="1:20">
      <c r="A19" s="100"/>
      <c r="B19" s="101"/>
      <c r="C19" s="27" t="s">
        <v>383</v>
      </c>
      <c r="D19" s="101"/>
      <c r="E19" s="101"/>
      <c r="F19" s="101"/>
      <c r="G19" s="101"/>
      <c r="H19" s="25"/>
      <c r="I19" s="25"/>
      <c r="J19" s="26"/>
      <c r="K19" s="102" t="s">
        <v>580</v>
      </c>
      <c r="L19" s="102"/>
      <c r="M19" s="102"/>
      <c r="N19" s="102"/>
      <c r="O19" s="93"/>
      <c r="P19" s="93"/>
      <c r="Q19" s="93"/>
      <c r="R19" s="93"/>
      <c r="S19" s="93"/>
      <c r="T19" s="93"/>
    </row>
    <row r="20" spans="1:20">
      <c r="A20" s="28">
        <v>46109</v>
      </c>
      <c r="B20" s="29" t="s">
        <v>382</v>
      </c>
      <c r="C20" s="101"/>
      <c r="D20" s="33">
        <v>10164</v>
      </c>
      <c r="E20" s="23">
        <v>10164</v>
      </c>
      <c r="F20" s="31">
        <v>46134</v>
      </c>
      <c r="G20" s="32">
        <f ca="1">$E$2-F20</f>
        <v>30</v>
      </c>
      <c r="H20" s="25"/>
      <c r="I20" s="25"/>
      <c r="J20" s="26"/>
      <c r="K20" s="102"/>
      <c r="L20" s="102"/>
      <c r="M20" s="102"/>
      <c r="N20" s="102"/>
      <c r="O20" s="93"/>
      <c r="P20" s="93"/>
      <c r="Q20" s="93"/>
      <c r="R20" s="93"/>
      <c r="S20" s="93"/>
      <c r="T20" s="93"/>
    </row>
    <row r="21" spans="1:20">
      <c r="A21" s="100"/>
      <c r="B21" s="101"/>
      <c r="C21" s="101"/>
      <c r="D21" s="33">
        <v>10164</v>
      </c>
      <c r="E21" s="23">
        <v>10164</v>
      </c>
      <c r="F21" s="101"/>
      <c r="G21" s="101"/>
      <c r="H21" s="25"/>
      <c r="I21" s="25"/>
      <c r="J21" s="26"/>
      <c r="K21" s="102"/>
      <c r="L21" s="102"/>
      <c r="M21" s="102"/>
      <c r="N21" s="102"/>
      <c r="O21" s="93"/>
      <c r="P21" s="93"/>
      <c r="Q21" s="93"/>
      <c r="R21" s="93"/>
      <c r="S21" s="93"/>
      <c r="T21" s="93"/>
    </row>
    <row r="22" spans="1:20">
      <c r="A22" s="100"/>
      <c r="B22" s="101"/>
      <c r="C22" s="27" t="s">
        <v>385</v>
      </c>
      <c r="D22" s="101"/>
      <c r="E22" s="101"/>
      <c r="F22" s="101"/>
      <c r="G22" s="101"/>
      <c r="H22" s="25"/>
      <c r="I22" s="25"/>
      <c r="J22" s="26"/>
      <c r="K22" s="102" t="s">
        <v>581</v>
      </c>
      <c r="L22" s="102"/>
      <c r="M22" s="102"/>
      <c r="N22" s="102"/>
      <c r="O22" s="93"/>
      <c r="P22" s="93"/>
      <c r="Q22" s="93"/>
      <c r="R22" s="93"/>
      <c r="S22" s="93"/>
      <c r="T22" s="93"/>
    </row>
    <row r="23" spans="1:20">
      <c r="A23" s="28">
        <v>46051</v>
      </c>
      <c r="B23" s="29" t="s">
        <v>384</v>
      </c>
      <c r="C23" s="101"/>
      <c r="D23" s="33">
        <v>8136</v>
      </c>
      <c r="E23" s="23">
        <v>8136</v>
      </c>
      <c r="F23" s="31">
        <v>46076</v>
      </c>
      <c r="G23" s="32">
        <f ca="1">$E$2-F23</f>
        <v>88</v>
      </c>
      <c r="H23" s="25"/>
      <c r="I23" s="25"/>
      <c r="J23" s="26" t="s">
        <v>386</v>
      </c>
      <c r="K23" s="102"/>
      <c r="L23" s="102"/>
      <c r="M23" s="102"/>
      <c r="N23" s="102"/>
      <c r="O23" s="93"/>
      <c r="P23" s="93"/>
      <c r="Q23" s="93"/>
      <c r="R23" s="93"/>
      <c r="S23" s="93"/>
      <c r="T23" s="93"/>
    </row>
    <row r="24" spans="1:20">
      <c r="A24" s="100"/>
      <c r="B24" s="101"/>
      <c r="C24" s="101"/>
      <c r="D24" s="33">
        <v>8136</v>
      </c>
      <c r="E24" s="23">
        <v>8136</v>
      </c>
      <c r="F24" s="101"/>
      <c r="G24" s="101"/>
      <c r="H24" s="25"/>
      <c r="I24" s="25"/>
      <c r="J24" s="26"/>
      <c r="K24" s="102"/>
      <c r="L24" s="102"/>
      <c r="M24" s="102"/>
      <c r="N24" s="102"/>
      <c r="O24" s="93"/>
      <c r="P24" s="93"/>
      <c r="Q24" s="93"/>
      <c r="R24" s="93"/>
      <c r="S24" s="93"/>
      <c r="T24" s="93"/>
    </row>
    <row r="25" spans="1:20">
      <c r="A25" s="100"/>
      <c r="B25" s="101"/>
      <c r="C25" s="27" t="s">
        <v>388</v>
      </c>
      <c r="D25" s="101"/>
      <c r="E25" s="101"/>
      <c r="F25" s="101"/>
      <c r="G25" s="101"/>
      <c r="H25" s="25"/>
      <c r="I25" s="25"/>
      <c r="J25" s="26"/>
      <c r="K25" s="102" t="s">
        <v>582</v>
      </c>
      <c r="L25" s="102"/>
      <c r="M25" s="102"/>
      <c r="N25" s="102"/>
      <c r="O25" s="93"/>
      <c r="P25" s="93"/>
      <c r="Q25" s="93"/>
      <c r="R25" s="93"/>
      <c r="S25" s="93"/>
      <c r="T25" s="93"/>
    </row>
    <row r="26" spans="1:20">
      <c r="A26" s="28">
        <v>46050</v>
      </c>
      <c r="B26" s="29" t="s">
        <v>387</v>
      </c>
      <c r="C26" s="101"/>
      <c r="D26" s="33">
        <v>12200</v>
      </c>
      <c r="E26" s="23">
        <v>3000</v>
      </c>
      <c r="F26" s="31">
        <v>46075</v>
      </c>
      <c r="G26" s="32">
        <f ca="1">$E$2-F26</f>
        <v>89</v>
      </c>
      <c r="H26" s="25">
        <v>2600</v>
      </c>
      <c r="I26" s="25">
        <f>E26-H26</f>
        <v>400</v>
      </c>
      <c r="J26" s="26" t="s">
        <v>389</v>
      </c>
      <c r="K26" s="102"/>
      <c r="L26" s="102"/>
      <c r="M26" s="102"/>
      <c r="N26" s="102"/>
      <c r="O26" s="93"/>
      <c r="P26" s="93"/>
      <c r="Q26" s="93"/>
      <c r="R26" s="93"/>
      <c r="S26" s="93"/>
      <c r="T26" s="93"/>
    </row>
    <row r="27" spans="1:20">
      <c r="A27" s="100"/>
      <c r="B27" s="101"/>
      <c r="C27" s="101"/>
      <c r="D27" s="33">
        <v>12200</v>
      </c>
      <c r="E27" s="23">
        <v>3000</v>
      </c>
      <c r="F27" s="101"/>
      <c r="G27" s="101"/>
      <c r="H27" s="25"/>
      <c r="I27" s="25"/>
      <c r="J27" s="26"/>
      <c r="K27" s="102"/>
      <c r="L27" s="102"/>
      <c r="M27" s="102"/>
      <c r="N27" s="102"/>
      <c r="O27" s="93"/>
      <c r="P27" s="93"/>
      <c r="Q27" s="93"/>
      <c r="R27" s="93"/>
      <c r="S27" s="93"/>
      <c r="T27" s="93"/>
    </row>
    <row r="28" spans="1:20">
      <c r="A28" s="100"/>
      <c r="B28" s="101"/>
      <c r="C28" s="27" t="s">
        <v>391</v>
      </c>
      <c r="D28" s="101"/>
      <c r="E28" s="101"/>
      <c r="F28" s="101"/>
      <c r="G28" s="101"/>
      <c r="H28" s="25"/>
      <c r="I28" s="25"/>
      <c r="J28" s="26"/>
      <c r="K28" s="102"/>
      <c r="L28" s="102"/>
      <c r="M28" s="102"/>
      <c r="N28" s="102"/>
      <c r="O28" s="93"/>
      <c r="P28" s="93"/>
      <c r="Q28" s="93"/>
      <c r="R28" s="93"/>
      <c r="S28" s="93"/>
      <c r="T28" s="93"/>
    </row>
    <row r="29" spans="1:20">
      <c r="A29" s="28">
        <v>46027</v>
      </c>
      <c r="B29" s="29" t="s">
        <v>390</v>
      </c>
      <c r="C29" s="101"/>
      <c r="D29" s="33">
        <v>13733</v>
      </c>
      <c r="E29" s="23">
        <v>13733</v>
      </c>
      <c r="F29" s="31">
        <v>46027</v>
      </c>
      <c r="G29" s="32">
        <f ca="1">$E$2-F29</f>
        <v>137</v>
      </c>
      <c r="H29" s="25"/>
      <c r="I29" s="25"/>
      <c r="J29" s="26"/>
      <c r="K29" s="102"/>
      <c r="L29" s="102"/>
      <c r="M29" s="102"/>
      <c r="N29" s="102"/>
      <c r="O29" s="93"/>
      <c r="P29" s="93"/>
      <c r="Q29" s="93"/>
      <c r="R29" s="93"/>
      <c r="S29" s="93"/>
      <c r="T29" s="93"/>
    </row>
    <row r="30" spans="1:20">
      <c r="A30" s="28">
        <v>46027</v>
      </c>
      <c r="B30" s="29" t="s">
        <v>392</v>
      </c>
      <c r="C30" s="101"/>
      <c r="D30" s="33">
        <v>13733</v>
      </c>
      <c r="E30" s="23">
        <v>13733</v>
      </c>
      <c r="F30" s="31">
        <v>46027</v>
      </c>
      <c r="G30" s="32">
        <f ca="1">$E$2-F30</f>
        <v>137</v>
      </c>
      <c r="H30" s="25"/>
      <c r="I30" s="25"/>
      <c r="J30" s="26"/>
      <c r="K30" s="102"/>
      <c r="L30" s="102"/>
      <c r="M30" s="102"/>
      <c r="N30" s="102"/>
      <c r="O30" s="93"/>
      <c r="P30" s="93"/>
      <c r="Q30" s="93"/>
      <c r="R30" s="93"/>
      <c r="S30" s="93"/>
      <c r="T30" s="93"/>
    </row>
    <row r="31" spans="1:20">
      <c r="A31" s="100"/>
      <c r="B31" s="101"/>
      <c r="C31" s="101"/>
      <c r="D31" s="33">
        <v>27466</v>
      </c>
      <c r="E31" s="23">
        <v>27466</v>
      </c>
      <c r="F31" s="101"/>
      <c r="G31" s="101"/>
      <c r="H31" s="25"/>
      <c r="I31" s="25"/>
      <c r="J31" s="26" t="s">
        <v>583</v>
      </c>
      <c r="K31" s="102"/>
      <c r="L31" s="102"/>
      <c r="M31" s="102"/>
      <c r="N31" s="102"/>
      <c r="O31" s="93"/>
      <c r="P31" s="93"/>
      <c r="Q31" s="93"/>
      <c r="R31" s="93"/>
      <c r="S31" s="93"/>
      <c r="T31" s="93"/>
    </row>
    <row r="32" spans="1:20">
      <c r="A32" s="100"/>
      <c r="B32" s="101"/>
      <c r="C32" s="27" t="s">
        <v>394</v>
      </c>
      <c r="D32" s="101"/>
      <c r="E32" s="101"/>
      <c r="F32" s="101"/>
      <c r="G32" s="101"/>
      <c r="H32" s="25"/>
      <c r="I32" s="25"/>
      <c r="J32" s="26"/>
      <c r="K32" s="102"/>
      <c r="L32" s="102"/>
      <c r="M32" s="102"/>
      <c r="N32" s="102"/>
      <c r="O32" s="93"/>
      <c r="P32" s="93"/>
      <c r="Q32" s="93"/>
      <c r="R32" s="93"/>
      <c r="S32" s="93"/>
      <c r="T32" s="93"/>
    </row>
    <row r="33" spans="1:20">
      <c r="A33" s="28">
        <v>46107</v>
      </c>
      <c r="B33" s="29" t="s">
        <v>393</v>
      </c>
      <c r="C33" s="101"/>
      <c r="D33" s="33">
        <v>100</v>
      </c>
      <c r="E33" s="23">
        <v>100</v>
      </c>
      <c r="F33" s="31">
        <v>46132</v>
      </c>
      <c r="G33" s="32">
        <f ca="1">$E$2-F33</f>
        <v>32</v>
      </c>
      <c r="H33" s="25"/>
      <c r="I33" s="25"/>
      <c r="J33" s="26"/>
      <c r="K33" s="102"/>
      <c r="L33" s="102"/>
      <c r="M33" s="102"/>
      <c r="N33" s="102"/>
      <c r="O33" s="93"/>
      <c r="P33" s="93"/>
      <c r="Q33" s="93"/>
      <c r="R33" s="93"/>
      <c r="S33" s="93"/>
      <c r="T33" s="93"/>
    </row>
    <row r="34" spans="1:20">
      <c r="A34" s="100"/>
      <c r="B34" s="101"/>
      <c r="C34" s="101"/>
      <c r="D34" s="33">
        <v>100</v>
      </c>
      <c r="E34" s="23">
        <v>100</v>
      </c>
      <c r="F34" s="101"/>
      <c r="G34" s="101"/>
      <c r="H34" s="25"/>
      <c r="I34" s="25"/>
      <c r="J34" s="26"/>
      <c r="K34" s="102"/>
      <c r="L34" s="102"/>
      <c r="M34" s="102"/>
      <c r="N34" s="102"/>
      <c r="O34" s="93"/>
      <c r="P34" s="93"/>
      <c r="Q34" s="93"/>
      <c r="R34" s="93"/>
      <c r="S34" s="93"/>
      <c r="T34" s="93"/>
    </row>
    <row r="35" spans="1:20">
      <c r="A35" s="100"/>
      <c r="B35" s="101"/>
      <c r="C35" s="27" t="s">
        <v>396</v>
      </c>
      <c r="D35" s="101"/>
      <c r="E35" s="101"/>
      <c r="F35" s="101"/>
      <c r="G35" s="101"/>
      <c r="H35" s="25"/>
      <c r="I35" s="25"/>
      <c r="J35" s="26"/>
      <c r="K35" s="102"/>
      <c r="L35" s="102"/>
      <c r="M35" s="102"/>
      <c r="N35" s="102"/>
      <c r="O35" s="93"/>
      <c r="P35" s="93"/>
      <c r="Q35" s="93"/>
      <c r="R35" s="93"/>
      <c r="S35" s="93"/>
      <c r="T35" s="93"/>
    </row>
    <row r="36" spans="1:20">
      <c r="A36" s="28">
        <v>46136</v>
      </c>
      <c r="B36" s="29" t="s">
        <v>395</v>
      </c>
      <c r="C36" s="101"/>
      <c r="D36" s="33">
        <v>2544</v>
      </c>
      <c r="E36" s="33">
        <v>2544</v>
      </c>
      <c r="F36" s="31">
        <v>46161</v>
      </c>
      <c r="G36" s="32">
        <f ca="1">$E$2-F36</f>
        <v>3</v>
      </c>
      <c r="H36" s="25"/>
      <c r="I36" s="25"/>
      <c r="J36" s="26"/>
      <c r="K36" s="102"/>
      <c r="L36" s="102"/>
      <c r="M36" s="102"/>
      <c r="N36" s="102"/>
      <c r="O36" s="93"/>
      <c r="P36" s="93"/>
      <c r="Q36" s="93"/>
      <c r="R36" s="93"/>
      <c r="S36" s="93"/>
      <c r="T36" s="93"/>
    </row>
    <row r="37" spans="1:20">
      <c r="A37" s="100"/>
      <c r="B37" s="101"/>
      <c r="C37" s="101"/>
      <c r="D37" s="33">
        <v>2544</v>
      </c>
      <c r="E37" s="23">
        <v>2544</v>
      </c>
      <c r="F37" s="101"/>
      <c r="G37" s="101"/>
      <c r="H37" s="25"/>
      <c r="I37" s="25"/>
      <c r="J37" s="26"/>
      <c r="K37" s="102"/>
      <c r="L37" s="102"/>
      <c r="M37" s="102"/>
      <c r="N37" s="102"/>
      <c r="O37" s="93"/>
      <c r="P37" s="93"/>
      <c r="Q37" s="93"/>
      <c r="R37" s="93"/>
      <c r="S37" s="93"/>
      <c r="T37" s="93"/>
    </row>
    <row r="38" spans="1:20">
      <c r="A38" s="100"/>
      <c r="B38" s="101"/>
      <c r="C38" s="27" t="s">
        <v>398</v>
      </c>
      <c r="D38" s="101"/>
      <c r="E38" s="101"/>
      <c r="F38" s="101"/>
      <c r="G38" s="101"/>
      <c r="H38" s="25"/>
      <c r="I38" s="25"/>
      <c r="J38" s="26"/>
      <c r="K38" s="102" t="s">
        <v>584</v>
      </c>
      <c r="L38" s="102"/>
      <c r="M38" s="102"/>
      <c r="N38" s="102"/>
      <c r="O38" s="93"/>
      <c r="P38" s="93"/>
      <c r="Q38" s="93"/>
      <c r="R38" s="93"/>
      <c r="S38" s="93"/>
      <c r="T38" s="93"/>
    </row>
    <row r="39" spans="1:20">
      <c r="A39" s="28">
        <v>46127</v>
      </c>
      <c r="B39" s="29" t="s">
        <v>397</v>
      </c>
      <c r="C39" s="101"/>
      <c r="D39" s="33">
        <v>29883</v>
      </c>
      <c r="E39" s="23">
        <v>29883</v>
      </c>
      <c r="F39" s="31">
        <v>46152</v>
      </c>
      <c r="G39" s="32">
        <f ca="1">$E$2-F39</f>
        <v>12</v>
      </c>
      <c r="H39" s="25"/>
      <c r="I39" s="25"/>
      <c r="J39" s="26"/>
      <c r="K39" s="102"/>
      <c r="L39" s="102"/>
      <c r="M39" s="102"/>
      <c r="N39" s="102"/>
      <c r="O39" s="93"/>
      <c r="P39" s="93"/>
      <c r="Q39" s="93"/>
      <c r="R39" s="93"/>
      <c r="S39" s="93"/>
      <c r="T39" s="93"/>
    </row>
    <row r="40" spans="1:20">
      <c r="A40" s="100"/>
      <c r="B40" s="101"/>
      <c r="C40" s="101"/>
      <c r="D40" s="33">
        <v>29883</v>
      </c>
      <c r="E40" s="23">
        <v>29883</v>
      </c>
      <c r="F40" s="101"/>
      <c r="G40" s="101"/>
      <c r="H40" s="25"/>
      <c r="I40" s="25"/>
      <c r="J40" s="26"/>
      <c r="K40" s="102"/>
      <c r="L40" s="102"/>
      <c r="M40" s="102"/>
      <c r="N40" s="102"/>
      <c r="O40" s="93"/>
      <c r="P40" s="93"/>
      <c r="Q40" s="93"/>
      <c r="R40" s="93"/>
      <c r="S40" s="93"/>
      <c r="T40" s="93"/>
    </row>
    <row r="41" spans="1:20">
      <c r="A41" s="100"/>
      <c r="B41" s="101"/>
      <c r="C41" s="27" t="s">
        <v>400</v>
      </c>
      <c r="D41" s="101"/>
      <c r="E41" s="101"/>
      <c r="F41" s="101"/>
      <c r="G41" s="101"/>
      <c r="H41" s="25"/>
      <c r="I41" s="25"/>
      <c r="J41" s="26"/>
      <c r="K41" s="102" t="s">
        <v>585</v>
      </c>
      <c r="L41" s="102"/>
      <c r="M41" s="102"/>
      <c r="N41" s="102"/>
      <c r="O41" s="93"/>
      <c r="P41" s="93"/>
      <c r="Q41" s="93"/>
      <c r="R41" s="93"/>
      <c r="S41" s="93"/>
      <c r="T41" s="93"/>
    </row>
    <row r="42" spans="1:20">
      <c r="A42" s="28">
        <v>45960</v>
      </c>
      <c r="B42" s="29" t="s">
        <v>399</v>
      </c>
      <c r="C42" s="101"/>
      <c r="D42" s="33">
        <v>500</v>
      </c>
      <c r="E42" s="23">
        <v>500</v>
      </c>
      <c r="F42" s="31">
        <v>45985</v>
      </c>
      <c r="G42" s="32">
        <f ca="1">$E$2-F42</f>
        <v>179</v>
      </c>
      <c r="H42" s="25"/>
      <c r="I42" s="25"/>
      <c r="J42" s="26"/>
      <c r="K42" s="102"/>
      <c r="L42" s="102"/>
      <c r="M42" s="102"/>
      <c r="N42" s="102"/>
      <c r="O42" s="93"/>
      <c r="P42" s="93"/>
      <c r="Q42" s="93"/>
      <c r="R42" s="93"/>
      <c r="S42" s="93"/>
      <c r="T42" s="93"/>
    </row>
    <row r="43" spans="1:20">
      <c r="A43" s="28">
        <v>46095</v>
      </c>
      <c r="B43" s="29" t="s">
        <v>401</v>
      </c>
      <c r="C43" s="101"/>
      <c r="D43" s="33">
        <v>89388</v>
      </c>
      <c r="E43" s="23">
        <v>59388</v>
      </c>
      <c r="F43" s="31">
        <v>46120</v>
      </c>
      <c r="G43" s="32">
        <f ca="1">$E$2-F43</f>
        <v>44</v>
      </c>
      <c r="H43" s="25"/>
      <c r="I43" s="25"/>
      <c r="J43" s="26"/>
      <c r="K43" s="102"/>
      <c r="L43" s="102"/>
      <c r="M43" s="102"/>
      <c r="N43" s="102"/>
      <c r="O43" s="93"/>
      <c r="P43" s="93"/>
      <c r="Q43" s="93"/>
      <c r="R43" s="93"/>
      <c r="S43" s="93"/>
      <c r="T43" s="93"/>
    </row>
    <row r="44" spans="1:20">
      <c r="A44" s="28">
        <v>46141</v>
      </c>
      <c r="B44" s="29" t="s">
        <v>402</v>
      </c>
      <c r="C44" s="101"/>
      <c r="D44" s="33">
        <v>2580</v>
      </c>
      <c r="E44" s="33">
        <v>2580</v>
      </c>
      <c r="F44" s="31">
        <v>46166</v>
      </c>
      <c r="G44" s="101"/>
      <c r="H44" s="25"/>
      <c r="I44" s="25"/>
      <c r="J44" s="26"/>
      <c r="K44" s="102"/>
      <c r="L44" s="102"/>
      <c r="M44" s="102"/>
      <c r="N44" s="102"/>
      <c r="O44" s="93"/>
      <c r="P44" s="93"/>
      <c r="Q44" s="93"/>
      <c r="R44" s="93"/>
      <c r="S44" s="93"/>
      <c r="T44" s="93"/>
    </row>
    <row r="45" spans="1:20" ht="10.5" customHeight="1">
      <c r="A45" s="100"/>
      <c r="B45" s="101"/>
      <c r="C45" s="101"/>
      <c r="D45" s="33">
        <v>92468</v>
      </c>
      <c r="E45" s="23">
        <v>62468</v>
      </c>
      <c r="F45" s="101"/>
      <c r="G45" s="101"/>
      <c r="H45" s="25"/>
      <c r="I45" s="25"/>
      <c r="J45" s="26"/>
      <c r="K45" s="102"/>
      <c r="L45" s="102"/>
      <c r="M45" s="102"/>
      <c r="N45" s="102"/>
      <c r="O45" s="93"/>
      <c r="P45" s="93"/>
      <c r="Q45" s="93"/>
      <c r="R45" s="93"/>
      <c r="S45" s="93"/>
      <c r="T45" s="93"/>
    </row>
    <row r="46" spans="1:20">
      <c r="A46" s="100"/>
      <c r="B46" s="101"/>
      <c r="C46" s="27" t="s">
        <v>404</v>
      </c>
      <c r="D46" s="101"/>
      <c r="E46" s="101"/>
      <c r="F46" s="101"/>
      <c r="G46" s="101"/>
      <c r="H46" s="25"/>
      <c r="I46" s="25"/>
      <c r="J46" s="26"/>
      <c r="K46" s="102"/>
      <c r="L46" s="102"/>
      <c r="M46" s="102"/>
      <c r="N46" s="102"/>
      <c r="O46" s="93"/>
      <c r="P46" s="93"/>
      <c r="Q46" s="93"/>
      <c r="R46" s="93"/>
      <c r="S46" s="93"/>
      <c r="T46" s="93"/>
    </row>
    <row r="47" spans="1:20">
      <c r="A47" s="28">
        <v>46130</v>
      </c>
      <c r="B47" s="29" t="s">
        <v>403</v>
      </c>
      <c r="C47" s="101"/>
      <c r="D47" s="33">
        <v>5960</v>
      </c>
      <c r="E47" s="23">
        <v>5960</v>
      </c>
      <c r="F47" s="31">
        <v>46155</v>
      </c>
      <c r="G47" s="32">
        <f ca="1">$E$2-F47</f>
        <v>9</v>
      </c>
      <c r="H47" s="25"/>
      <c r="I47" s="25"/>
      <c r="J47" s="26"/>
      <c r="K47" s="102"/>
      <c r="L47" s="102"/>
      <c r="M47" s="102"/>
      <c r="N47" s="102"/>
      <c r="O47" s="93"/>
      <c r="P47" s="93"/>
      <c r="Q47" s="93"/>
      <c r="R47" s="93"/>
      <c r="S47" s="93"/>
      <c r="T47" s="93"/>
    </row>
    <row r="48" spans="1:20">
      <c r="A48" s="28">
        <v>46148</v>
      </c>
      <c r="B48" s="29" t="s">
        <v>405</v>
      </c>
      <c r="C48" s="101"/>
      <c r="D48" s="33">
        <v>916</v>
      </c>
      <c r="E48" s="33">
        <v>916</v>
      </c>
      <c r="F48" s="31">
        <v>46173</v>
      </c>
      <c r="G48" s="101"/>
      <c r="H48" s="25"/>
      <c r="I48" s="25"/>
      <c r="J48" s="26"/>
      <c r="K48" s="102"/>
      <c r="L48" s="102"/>
      <c r="M48" s="102"/>
      <c r="N48" s="102"/>
      <c r="O48" s="93"/>
      <c r="P48" s="93"/>
      <c r="Q48" s="93"/>
      <c r="R48" s="93"/>
      <c r="S48" s="93"/>
      <c r="T48" s="93"/>
    </row>
    <row r="49" spans="1:20">
      <c r="A49" s="100"/>
      <c r="B49" s="101"/>
      <c r="C49" s="101"/>
      <c r="D49" s="33">
        <v>6876</v>
      </c>
      <c r="E49" s="23">
        <v>6876</v>
      </c>
      <c r="F49" s="101"/>
      <c r="G49" s="101"/>
      <c r="H49" s="25"/>
      <c r="I49" s="25"/>
      <c r="J49" s="26"/>
      <c r="K49" s="102"/>
      <c r="L49" s="102"/>
      <c r="M49" s="102"/>
      <c r="N49" s="102"/>
      <c r="O49" s="93"/>
      <c r="P49" s="93"/>
      <c r="Q49" s="93"/>
      <c r="R49" s="93"/>
      <c r="S49" s="93"/>
      <c r="T49" s="93"/>
    </row>
    <row r="50" spans="1:20">
      <c r="A50" s="100"/>
      <c r="B50" s="101"/>
      <c r="C50" s="27" t="s">
        <v>407</v>
      </c>
      <c r="D50" s="101"/>
      <c r="E50" s="101"/>
      <c r="F50" s="101"/>
      <c r="G50" s="101"/>
      <c r="H50" s="25"/>
      <c r="I50" s="25"/>
      <c r="J50" s="26"/>
      <c r="K50" s="102" t="s">
        <v>586</v>
      </c>
      <c r="L50" s="102"/>
      <c r="M50" s="102"/>
      <c r="N50" s="102"/>
      <c r="O50" s="93"/>
      <c r="P50" s="93"/>
      <c r="Q50" s="93"/>
      <c r="R50" s="93"/>
      <c r="S50" s="93"/>
      <c r="T50" s="93"/>
    </row>
    <row r="51" spans="1:20">
      <c r="A51" s="28">
        <v>46101</v>
      </c>
      <c r="B51" s="29" t="s">
        <v>406</v>
      </c>
      <c r="C51" s="101"/>
      <c r="D51" s="33">
        <v>2476</v>
      </c>
      <c r="E51" s="23">
        <v>2476</v>
      </c>
      <c r="F51" s="103">
        <v>46126</v>
      </c>
      <c r="G51" s="32">
        <f ca="1">$E$2-F51</f>
        <v>38</v>
      </c>
      <c r="H51" s="25">
        <v>2476</v>
      </c>
      <c r="I51" s="25">
        <f>E52-H51</f>
        <v>0</v>
      </c>
      <c r="J51" s="26" t="s">
        <v>378</v>
      </c>
      <c r="K51" s="102"/>
      <c r="L51" s="102"/>
      <c r="M51" s="102"/>
      <c r="N51" s="102"/>
      <c r="O51" s="93"/>
      <c r="P51" s="93"/>
      <c r="Q51" s="93"/>
      <c r="R51" s="93"/>
      <c r="S51" s="93"/>
      <c r="T51" s="93"/>
    </row>
    <row r="52" spans="1:20">
      <c r="A52" s="100"/>
      <c r="B52" s="101"/>
      <c r="C52" s="101"/>
      <c r="D52" s="33">
        <v>2476</v>
      </c>
      <c r="E52" s="23">
        <v>2476</v>
      </c>
      <c r="F52" s="101"/>
      <c r="G52" s="101"/>
      <c r="H52" s="25"/>
      <c r="I52" s="25"/>
      <c r="J52" s="26"/>
      <c r="K52" s="102"/>
      <c r="L52" s="102"/>
      <c r="M52" s="102"/>
      <c r="N52" s="102"/>
      <c r="O52" s="93"/>
      <c r="P52" s="93"/>
      <c r="Q52" s="93"/>
      <c r="R52" s="93"/>
      <c r="S52" s="93"/>
      <c r="T52" s="93"/>
    </row>
    <row r="53" spans="1:20">
      <c r="A53" s="100"/>
      <c r="B53" s="101"/>
      <c r="C53" s="27" t="s">
        <v>409</v>
      </c>
      <c r="D53" s="101"/>
      <c r="E53" s="101"/>
      <c r="F53" s="101"/>
      <c r="G53" s="101"/>
      <c r="H53" s="25"/>
      <c r="I53" s="25"/>
      <c r="J53" s="26"/>
      <c r="K53" s="102" t="s">
        <v>587</v>
      </c>
      <c r="L53" s="102"/>
      <c r="M53" s="102"/>
      <c r="N53" s="102"/>
      <c r="O53" s="93"/>
      <c r="P53" s="93"/>
      <c r="Q53" s="93"/>
      <c r="R53" s="93"/>
      <c r="S53" s="93"/>
      <c r="T53" s="93"/>
    </row>
    <row r="54" spans="1:20">
      <c r="A54" s="28">
        <v>46105</v>
      </c>
      <c r="B54" s="29" t="s">
        <v>408</v>
      </c>
      <c r="C54" s="101"/>
      <c r="D54" s="33">
        <v>20549</v>
      </c>
      <c r="E54" s="23">
        <v>20549</v>
      </c>
      <c r="F54" s="103">
        <v>46130</v>
      </c>
      <c r="G54" s="32">
        <f ca="1">$E$2-F54</f>
        <v>34</v>
      </c>
      <c r="H54" s="25"/>
      <c r="I54" s="25"/>
      <c r="J54" s="26"/>
      <c r="K54" s="102"/>
      <c r="L54" s="102"/>
      <c r="M54" s="102"/>
      <c r="N54" s="102"/>
      <c r="O54" s="93"/>
      <c r="P54" s="93"/>
      <c r="Q54" s="93"/>
      <c r="R54" s="93"/>
      <c r="S54" s="93"/>
      <c r="T54" s="93"/>
    </row>
    <row r="55" spans="1:20">
      <c r="A55" s="28">
        <v>46112</v>
      </c>
      <c r="B55" s="29" t="s">
        <v>410</v>
      </c>
      <c r="C55" s="101"/>
      <c r="D55" s="33">
        <v>12705</v>
      </c>
      <c r="E55" s="23">
        <v>12705</v>
      </c>
      <c r="F55" s="103">
        <v>46137</v>
      </c>
      <c r="G55" s="32">
        <f ca="1">$E$2-F55</f>
        <v>27</v>
      </c>
      <c r="H55" s="25"/>
      <c r="I55" s="25"/>
      <c r="J55" s="26"/>
      <c r="K55" s="102"/>
      <c r="L55" s="102"/>
      <c r="M55" s="102"/>
      <c r="N55" s="102"/>
      <c r="O55" s="93"/>
      <c r="P55" s="93"/>
      <c r="Q55" s="93"/>
      <c r="R55" s="93"/>
      <c r="S55" s="93"/>
      <c r="T55" s="93"/>
    </row>
    <row r="56" spans="1:20">
      <c r="A56" s="100"/>
      <c r="B56" s="101"/>
      <c r="C56" s="101"/>
      <c r="D56" s="33">
        <v>33254</v>
      </c>
      <c r="E56" s="23">
        <v>33254</v>
      </c>
      <c r="F56" s="101"/>
      <c r="G56" s="101"/>
      <c r="H56" s="25"/>
      <c r="I56" s="25"/>
      <c r="J56" s="26"/>
      <c r="K56" s="102"/>
      <c r="L56" s="102"/>
      <c r="M56" s="102"/>
      <c r="N56" s="102"/>
      <c r="O56" s="93"/>
      <c r="P56" s="93"/>
      <c r="Q56" s="93"/>
      <c r="R56" s="93"/>
      <c r="S56" s="93"/>
      <c r="T56" s="93"/>
    </row>
    <row r="57" spans="1:20">
      <c r="A57" s="100"/>
      <c r="B57" s="101"/>
      <c r="C57" s="27" t="s">
        <v>412</v>
      </c>
      <c r="D57" s="101"/>
      <c r="E57" s="101"/>
      <c r="F57" s="101"/>
      <c r="G57" s="101"/>
      <c r="H57" s="25"/>
      <c r="I57" s="25"/>
      <c r="J57" s="26"/>
      <c r="K57" s="102" t="s">
        <v>588</v>
      </c>
      <c r="L57" s="102"/>
      <c r="M57" s="102"/>
      <c r="N57" s="102"/>
      <c r="O57" s="93"/>
      <c r="P57" s="93"/>
      <c r="Q57" s="93"/>
      <c r="R57" s="93"/>
      <c r="S57" s="93"/>
      <c r="T57" s="93"/>
    </row>
    <row r="58" spans="1:20">
      <c r="A58" s="28">
        <v>46112</v>
      </c>
      <c r="B58" s="29" t="s">
        <v>411</v>
      </c>
      <c r="C58" s="101"/>
      <c r="D58" s="33">
        <v>5520</v>
      </c>
      <c r="E58" s="23">
        <v>5520</v>
      </c>
      <c r="F58" s="103">
        <v>46137</v>
      </c>
      <c r="G58" s="32">
        <f ca="1">$E$2-F58</f>
        <v>27</v>
      </c>
      <c r="H58" s="25"/>
      <c r="I58" s="25"/>
      <c r="J58" s="26"/>
      <c r="K58" s="102"/>
      <c r="L58" s="102"/>
      <c r="M58" s="102"/>
      <c r="N58" s="102"/>
      <c r="O58" s="93"/>
      <c r="P58" s="93"/>
      <c r="Q58" s="93"/>
      <c r="R58" s="93"/>
      <c r="S58" s="93"/>
      <c r="T58" s="93"/>
    </row>
    <row r="59" spans="1:20">
      <c r="A59" s="100"/>
      <c r="B59" s="101"/>
      <c r="C59" s="101"/>
      <c r="D59" s="33">
        <v>5520</v>
      </c>
      <c r="E59" s="23">
        <v>5520</v>
      </c>
      <c r="F59" s="101"/>
      <c r="G59" s="101"/>
      <c r="H59" s="25"/>
      <c r="I59" s="25"/>
      <c r="J59" s="26"/>
      <c r="K59" s="102"/>
      <c r="L59" s="102"/>
      <c r="M59" s="102"/>
      <c r="N59" s="102"/>
      <c r="O59" s="93"/>
      <c r="P59" s="93"/>
      <c r="Q59" s="93"/>
      <c r="R59" s="93"/>
      <c r="S59" s="93"/>
      <c r="T59" s="93"/>
    </row>
    <row r="60" spans="1:20">
      <c r="A60" s="100"/>
      <c r="B60" s="101"/>
      <c r="C60" s="104" t="s">
        <v>414</v>
      </c>
      <c r="D60" s="101"/>
      <c r="E60" s="101"/>
      <c r="F60" s="101"/>
      <c r="G60" s="101"/>
      <c r="H60" s="25"/>
      <c r="I60" s="25"/>
      <c r="J60" s="26"/>
      <c r="K60" s="102"/>
      <c r="L60" s="102"/>
      <c r="M60" s="102"/>
      <c r="N60" s="102"/>
      <c r="O60" s="93"/>
      <c r="P60" s="93"/>
      <c r="Q60" s="93"/>
      <c r="R60" s="93"/>
      <c r="S60" s="93"/>
      <c r="T60" s="93"/>
    </row>
    <row r="61" spans="1:20">
      <c r="A61" s="28">
        <v>45470</v>
      </c>
      <c r="B61" s="29" t="s">
        <v>413</v>
      </c>
      <c r="C61" s="101"/>
      <c r="D61" s="33">
        <v>4947</v>
      </c>
      <c r="E61" s="23">
        <v>4947</v>
      </c>
      <c r="F61" s="103">
        <v>45495</v>
      </c>
      <c r="G61" s="32">
        <f ca="1">$E$2-F61</f>
        <v>669</v>
      </c>
      <c r="H61" s="25"/>
      <c r="I61" s="25"/>
      <c r="J61" s="26"/>
      <c r="K61" s="102"/>
      <c r="L61" s="102"/>
      <c r="M61" s="102"/>
      <c r="N61" s="102"/>
      <c r="O61" s="93"/>
      <c r="P61" s="93"/>
      <c r="Q61" s="93"/>
      <c r="R61" s="93"/>
      <c r="S61" s="93"/>
      <c r="T61" s="93"/>
    </row>
    <row r="62" spans="1:20">
      <c r="A62" s="28">
        <v>46126</v>
      </c>
      <c r="B62" s="29" t="s">
        <v>415</v>
      </c>
      <c r="C62" s="101"/>
      <c r="D62" s="33">
        <v>13863</v>
      </c>
      <c r="E62" s="23">
        <v>13863</v>
      </c>
      <c r="F62" s="103">
        <v>46151</v>
      </c>
      <c r="G62" s="32">
        <f ca="1">$E$2-F62</f>
        <v>13</v>
      </c>
      <c r="H62" s="25"/>
      <c r="I62" s="25"/>
      <c r="J62" s="26"/>
      <c r="K62" s="102"/>
      <c r="L62" s="102"/>
      <c r="M62" s="102"/>
      <c r="N62" s="102"/>
      <c r="O62" s="93"/>
      <c r="P62" s="93"/>
      <c r="Q62" s="93"/>
      <c r="R62" s="93"/>
      <c r="S62" s="93"/>
      <c r="T62" s="93"/>
    </row>
    <row r="63" spans="1:20">
      <c r="A63" s="100"/>
      <c r="B63" s="101"/>
      <c r="C63" s="101"/>
      <c r="D63" s="33">
        <v>18810</v>
      </c>
      <c r="E63" s="23">
        <v>18810</v>
      </c>
      <c r="F63" s="101"/>
      <c r="G63" s="101"/>
      <c r="H63" s="25"/>
      <c r="I63" s="25"/>
      <c r="J63" s="26"/>
      <c r="K63" s="102"/>
      <c r="L63" s="102"/>
      <c r="M63" s="102"/>
      <c r="N63" s="102"/>
      <c r="O63" s="93"/>
      <c r="P63" s="93"/>
      <c r="Q63" s="93"/>
      <c r="R63" s="93"/>
      <c r="S63" s="93"/>
      <c r="T63" s="93"/>
    </row>
    <row r="64" spans="1:20">
      <c r="A64" s="100"/>
      <c r="B64" s="101"/>
      <c r="C64" s="27" t="s">
        <v>417</v>
      </c>
      <c r="D64" s="101"/>
      <c r="E64" s="101"/>
      <c r="F64" s="101"/>
      <c r="G64" s="101"/>
      <c r="H64" s="25"/>
      <c r="I64" s="25"/>
      <c r="J64" s="26"/>
      <c r="K64" s="102" t="s">
        <v>589</v>
      </c>
      <c r="L64" s="102"/>
      <c r="M64" s="102"/>
      <c r="N64" s="102"/>
      <c r="O64" s="93"/>
      <c r="P64" s="93"/>
      <c r="Q64" s="93"/>
      <c r="R64" s="93"/>
      <c r="S64" s="93"/>
      <c r="T64" s="93"/>
    </row>
    <row r="65" spans="1:20">
      <c r="A65" s="28">
        <v>45362</v>
      </c>
      <c r="B65" s="29" t="s">
        <v>416</v>
      </c>
      <c r="C65" s="101"/>
      <c r="D65" s="33">
        <v>2733</v>
      </c>
      <c r="E65" s="23">
        <v>2733</v>
      </c>
      <c r="F65" s="103">
        <v>45362</v>
      </c>
      <c r="G65" s="32">
        <f ca="1">$E$2-F65</f>
        <v>802</v>
      </c>
      <c r="H65" s="25"/>
      <c r="I65" s="25"/>
      <c r="J65" s="26"/>
      <c r="K65" s="102"/>
      <c r="L65" s="102"/>
      <c r="M65" s="102"/>
      <c r="N65" s="102"/>
      <c r="O65" s="93"/>
      <c r="P65" s="93"/>
      <c r="Q65" s="93"/>
      <c r="R65" s="93"/>
      <c r="S65" s="93"/>
      <c r="T65" s="93"/>
    </row>
    <row r="66" spans="1:20">
      <c r="A66" s="100"/>
      <c r="B66" s="101"/>
      <c r="C66" s="101"/>
      <c r="D66" s="33">
        <v>2733</v>
      </c>
      <c r="E66" s="23">
        <v>2733</v>
      </c>
      <c r="F66" s="101"/>
      <c r="G66" s="101"/>
      <c r="H66" s="25"/>
      <c r="I66" s="25"/>
      <c r="J66" s="26"/>
      <c r="K66" s="102"/>
      <c r="L66" s="102"/>
      <c r="M66" s="102"/>
      <c r="N66" s="102"/>
      <c r="O66" s="93"/>
      <c r="P66" s="93"/>
      <c r="Q66" s="93"/>
      <c r="R66" s="93"/>
      <c r="S66" s="93"/>
      <c r="T66" s="93"/>
    </row>
    <row r="67" spans="1:20">
      <c r="A67" s="100"/>
      <c r="B67" s="101"/>
      <c r="C67" s="27" t="s">
        <v>419</v>
      </c>
      <c r="D67" s="101"/>
      <c r="E67" s="101"/>
      <c r="F67" s="101"/>
      <c r="G67" s="101"/>
      <c r="H67" s="25"/>
      <c r="I67" s="25"/>
      <c r="J67" s="26"/>
      <c r="K67" s="102"/>
      <c r="L67" s="102"/>
      <c r="M67" s="102"/>
      <c r="N67" s="102"/>
      <c r="O67" s="93"/>
      <c r="P67" s="93"/>
      <c r="Q67" s="93"/>
      <c r="R67" s="93"/>
      <c r="S67" s="93"/>
      <c r="T67" s="93"/>
    </row>
    <row r="68" spans="1:20">
      <c r="A68" s="28">
        <v>46107</v>
      </c>
      <c r="B68" s="29" t="s">
        <v>418</v>
      </c>
      <c r="C68" s="101"/>
      <c r="D68" s="33">
        <v>100</v>
      </c>
      <c r="E68" s="23">
        <v>100</v>
      </c>
      <c r="F68" s="103">
        <v>46132</v>
      </c>
      <c r="G68" s="32">
        <f ca="1">$E$2-F68</f>
        <v>32</v>
      </c>
      <c r="H68" s="25"/>
      <c r="I68" s="25"/>
      <c r="J68" s="26"/>
      <c r="K68" s="102"/>
      <c r="L68" s="102"/>
      <c r="M68" s="102"/>
      <c r="N68" s="102"/>
      <c r="O68" s="93"/>
      <c r="P68" s="93"/>
      <c r="Q68" s="93"/>
      <c r="R68" s="93"/>
      <c r="S68" s="93"/>
      <c r="T68" s="93"/>
    </row>
    <row r="69" spans="1:20">
      <c r="A69" s="100"/>
      <c r="B69" s="101"/>
      <c r="C69" s="101"/>
      <c r="D69" s="33">
        <v>100</v>
      </c>
      <c r="E69" s="23">
        <v>100</v>
      </c>
      <c r="F69" s="101"/>
      <c r="G69" s="101"/>
      <c r="H69" s="25"/>
      <c r="I69" s="25"/>
      <c r="J69" s="26"/>
      <c r="K69" s="102"/>
      <c r="L69" s="102"/>
      <c r="M69" s="102"/>
      <c r="N69" s="102"/>
      <c r="O69" s="93"/>
      <c r="P69" s="93"/>
      <c r="Q69" s="93"/>
      <c r="R69" s="93"/>
      <c r="S69" s="93"/>
      <c r="T69" s="93"/>
    </row>
    <row r="70" spans="1:20">
      <c r="A70" s="100"/>
      <c r="B70" s="101"/>
      <c r="C70" s="27" t="s">
        <v>421</v>
      </c>
      <c r="D70" s="101"/>
      <c r="E70" s="101"/>
      <c r="F70" s="101"/>
      <c r="G70" s="101"/>
      <c r="H70" s="25"/>
      <c r="I70" s="25"/>
      <c r="J70" s="26"/>
      <c r="K70" s="102"/>
      <c r="L70" s="102"/>
      <c r="M70" s="102"/>
      <c r="N70" s="102"/>
      <c r="O70" s="93"/>
      <c r="P70" s="93"/>
      <c r="Q70" s="93"/>
      <c r="R70" s="93"/>
      <c r="S70" s="93"/>
      <c r="T70" s="93"/>
    </row>
    <row r="71" spans="1:20">
      <c r="A71" s="28">
        <v>46107</v>
      </c>
      <c r="B71" s="29" t="s">
        <v>420</v>
      </c>
      <c r="C71" s="101"/>
      <c r="D71" s="33">
        <v>100</v>
      </c>
      <c r="E71" s="23">
        <v>100</v>
      </c>
      <c r="F71" s="103">
        <v>46132</v>
      </c>
      <c r="G71" s="32">
        <f ca="1">$E$2-F71</f>
        <v>32</v>
      </c>
      <c r="H71" s="25"/>
      <c r="I71" s="25"/>
      <c r="J71" s="26"/>
      <c r="K71" s="102"/>
      <c r="L71" s="102"/>
      <c r="M71" s="102"/>
      <c r="N71" s="102"/>
      <c r="O71" s="93"/>
      <c r="P71" s="93"/>
      <c r="Q71" s="93"/>
      <c r="R71" s="93"/>
      <c r="S71" s="93"/>
      <c r="T71" s="93"/>
    </row>
    <row r="72" spans="1:20">
      <c r="A72" s="100"/>
      <c r="B72" s="101"/>
      <c r="C72" s="101"/>
      <c r="D72" s="33">
        <v>100</v>
      </c>
      <c r="E72" s="23">
        <v>100</v>
      </c>
      <c r="F72" s="101"/>
      <c r="G72" s="101"/>
      <c r="H72" s="25"/>
      <c r="I72" s="25"/>
      <c r="J72" s="26"/>
      <c r="K72" s="102"/>
      <c r="L72" s="102"/>
      <c r="M72" s="102"/>
      <c r="N72" s="102"/>
      <c r="O72" s="93"/>
      <c r="P72" s="93"/>
      <c r="Q72" s="93"/>
      <c r="R72" s="93"/>
      <c r="S72" s="93"/>
      <c r="T72" s="93"/>
    </row>
    <row r="73" spans="1:20">
      <c r="A73" s="100"/>
      <c r="B73" s="101"/>
      <c r="C73" s="27" t="s">
        <v>423</v>
      </c>
      <c r="D73" s="101"/>
      <c r="E73" s="101"/>
      <c r="F73" s="101"/>
      <c r="G73" s="101"/>
      <c r="H73" s="25"/>
      <c r="I73" s="25"/>
      <c r="J73" s="26"/>
      <c r="K73" s="102" t="s">
        <v>590</v>
      </c>
      <c r="L73" s="102"/>
      <c r="M73" s="102"/>
      <c r="N73" s="102"/>
      <c r="O73" s="93"/>
      <c r="P73" s="93"/>
      <c r="Q73" s="93"/>
      <c r="R73" s="93"/>
      <c r="S73" s="93"/>
      <c r="T73" s="93"/>
    </row>
    <row r="74" spans="1:20">
      <c r="A74" s="28">
        <v>46122</v>
      </c>
      <c r="B74" s="29" t="s">
        <v>422</v>
      </c>
      <c r="C74" s="101"/>
      <c r="D74" s="33">
        <v>37104</v>
      </c>
      <c r="E74" s="23">
        <v>37104</v>
      </c>
      <c r="F74" s="103">
        <v>46147</v>
      </c>
      <c r="G74" s="32">
        <f ca="1">$E$2-F74</f>
        <v>17</v>
      </c>
      <c r="H74" s="25"/>
      <c r="I74" s="25"/>
      <c r="J74" s="26"/>
      <c r="K74" s="102"/>
      <c r="L74" s="102"/>
      <c r="M74" s="102"/>
      <c r="N74" s="102"/>
      <c r="O74" s="93"/>
      <c r="P74" s="93"/>
      <c r="Q74" s="93"/>
      <c r="R74" s="93"/>
      <c r="S74" s="93"/>
      <c r="T74" s="93"/>
    </row>
    <row r="75" spans="1:20">
      <c r="A75" s="100"/>
      <c r="B75" s="101"/>
      <c r="C75" s="101"/>
      <c r="D75" s="33">
        <v>37104</v>
      </c>
      <c r="E75" s="23">
        <v>37104</v>
      </c>
      <c r="F75" s="101"/>
      <c r="G75" s="101"/>
      <c r="H75" s="25"/>
      <c r="I75" s="25"/>
      <c r="J75" s="26"/>
      <c r="K75" s="102"/>
      <c r="L75" s="102"/>
      <c r="M75" s="102"/>
      <c r="N75" s="102"/>
      <c r="O75" s="93"/>
      <c r="P75" s="93"/>
      <c r="Q75" s="93"/>
      <c r="R75" s="93"/>
      <c r="S75" s="93"/>
      <c r="T75" s="93"/>
    </row>
    <row r="76" spans="1:20">
      <c r="A76" s="100"/>
      <c r="B76" s="101"/>
      <c r="C76" s="27" t="s">
        <v>425</v>
      </c>
      <c r="D76" s="101"/>
      <c r="E76" s="101"/>
      <c r="F76" s="101"/>
      <c r="G76" s="101"/>
      <c r="H76" s="25"/>
      <c r="I76" s="25"/>
      <c r="J76" s="26"/>
      <c r="K76" s="102" t="s">
        <v>591</v>
      </c>
      <c r="L76" s="102"/>
      <c r="M76" s="102"/>
      <c r="N76" s="102"/>
      <c r="O76" s="93"/>
      <c r="P76" s="93"/>
      <c r="Q76" s="93"/>
      <c r="R76" s="93"/>
      <c r="S76" s="93"/>
      <c r="T76" s="93"/>
    </row>
    <row r="77" spans="1:20">
      <c r="A77" s="28">
        <v>46112</v>
      </c>
      <c r="B77" s="29" t="s">
        <v>424</v>
      </c>
      <c r="C77" s="101"/>
      <c r="D77" s="33">
        <v>15873</v>
      </c>
      <c r="E77" s="23">
        <v>15873</v>
      </c>
      <c r="F77" s="103">
        <v>46137</v>
      </c>
      <c r="G77" s="32">
        <f ca="1">$E$2-F77</f>
        <v>27</v>
      </c>
      <c r="H77" s="25"/>
      <c r="I77" s="25"/>
      <c r="J77" s="26"/>
      <c r="K77" s="102"/>
      <c r="L77" s="102"/>
      <c r="M77" s="102"/>
      <c r="N77" s="102"/>
      <c r="O77" s="93"/>
      <c r="P77" s="93"/>
      <c r="Q77" s="93"/>
      <c r="R77" s="93"/>
      <c r="S77" s="93"/>
      <c r="T77" s="93"/>
    </row>
    <row r="78" spans="1:20">
      <c r="A78" s="28">
        <v>46118</v>
      </c>
      <c r="B78" s="29" t="s">
        <v>426</v>
      </c>
      <c r="C78" s="101"/>
      <c r="D78" s="33">
        <v>7623</v>
      </c>
      <c r="E78" s="23">
        <v>7623</v>
      </c>
      <c r="F78" s="103">
        <v>46143</v>
      </c>
      <c r="G78" s="32">
        <f ca="1">$E$2-F78</f>
        <v>21</v>
      </c>
      <c r="H78" s="25"/>
      <c r="I78" s="25"/>
      <c r="J78" s="26"/>
      <c r="K78" s="102"/>
      <c r="L78" s="102"/>
      <c r="M78" s="102"/>
      <c r="N78" s="102"/>
      <c r="O78" s="93"/>
      <c r="P78" s="93"/>
      <c r="Q78" s="93"/>
      <c r="R78" s="93"/>
      <c r="S78" s="93"/>
      <c r="T78" s="93"/>
    </row>
    <row r="79" spans="1:20">
      <c r="A79" s="28">
        <v>46156</v>
      </c>
      <c r="B79" s="29" t="s">
        <v>427</v>
      </c>
      <c r="C79" s="101"/>
      <c r="D79" s="33">
        <v>22152</v>
      </c>
      <c r="E79" s="33">
        <v>22152</v>
      </c>
      <c r="F79" s="103">
        <v>46181</v>
      </c>
      <c r="G79" s="101"/>
      <c r="H79" s="25"/>
      <c r="I79" s="25"/>
      <c r="J79" s="26"/>
      <c r="K79" s="102"/>
      <c r="L79" s="102"/>
      <c r="M79" s="102"/>
      <c r="N79" s="102"/>
      <c r="O79" s="93"/>
      <c r="P79" s="93"/>
      <c r="Q79" s="93"/>
      <c r="R79" s="93"/>
      <c r="S79" s="93"/>
      <c r="T79" s="93"/>
    </row>
    <row r="80" spans="1:20">
      <c r="A80" s="100"/>
      <c r="B80" s="101"/>
      <c r="C80" s="101"/>
      <c r="D80" s="33">
        <v>45648</v>
      </c>
      <c r="E80" s="23">
        <v>45648</v>
      </c>
      <c r="F80" s="101"/>
      <c r="G80" s="101"/>
      <c r="H80" s="25"/>
      <c r="I80" s="25"/>
      <c r="J80" s="26"/>
      <c r="K80" s="102"/>
      <c r="L80" s="102"/>
      <c r="M80" s="102"/>
      <c r="N80" s="102"/>
      <c r="O80" s="93"/>
      <c r="P80" s="93"/>
      <c r="Q80" s="93"/>
      <c r="R80" s="93"/>
      <c r="S80" s="93"/>
      <c r="T80" s="93"/>
    </row>
    <row r="81" spans="1:20">
      <c r="A81" s="100"/>
      <c r="B81" s="101"/>
      <c r="C81" s="104" t="s">
        <v>429</v>
      </c>
      <c r="D81" s="101"/>
      <c r="E81" s="101"/>
      <c r="F81" s="101"/>
      <c r="G81" s="101"/>
      <c r="H81" s="25"/>
      <c r="I81" s="25"/>
      <c r="J81" s="26"/>
      <c r="K81" s="102" t="s">
        <v>592</v>
      </c>
      <c r="L81" s="102"/>
      <c r="M81" s="102"/>
      <c r="N81" s="102"/>
      <c r="O81" s="93"/>
      <c r="P81" s="93"/>
      <c r="Q81" s="93"/>
      <c r="R81" s="93"/>
      <c r="S81" s="93"/>
      <c r="T81" s="93"/>
    </row>
    <row r="82" spans="1:20">
      <c r="A82" s="28">
        <v>46062</v>
      </c>
      <c r="B82" s="29" t="s">
        <v>428</v>
      </c>
      <c r="C82" s="101"/>
      <c r="D82" s="33">
        <v>6352</v>
      </c>
      <c r="E82" s="23">
        <v>2852</v>
      </c>
      <c r="F82" s="103">
        <v>46087</v>
      </c>
      <c r="G82" s="32">
        <f ca="1">$E$2-F82</f>
        <v>77</v>
      </c>
      <c r="H82" s="25"/>
      <c r="I82" s="25"/>
      <c r="J82" s="26"/>
      <c r="K82" s="102"/>
      <c r="L82" s="102"/>
      <c r="M82" s="102"/>
      <c r="N82" s="102"/>
      <c r="O82" s="93"/>
      <c r="P82" s="93"/>
      <c r="Q82" s="93"/>
      <c r="R82" s="93"/>
      <c r="S82" s="93"/>
      <c r="T82" s="93"/>
    </row>
    <row r="83" spans="1:20">
      <c r="A83" s="100"/>
      <c r="B83" s="101"/>
      <c r="C83" s="101"/>
      <c r="D83" s="33">
        <v>6352</v>
      </c>
      <c r="E83" s="23">
        <v>2852</v>
      </c>
      <c r="F83" s="101"/>
      <c r="G83" s="101"/>
      <c r="H83" s="25"/>
      <c r="I83" s="25"/>
      <c r="J83" s="26"/>
      <c r="K83" s="102"/>
      <c r="L83" s="102"/>
      <c r="M83" s="102"/>
      <c r="N83" s="102"/>
      <c r="O83" s="93"/>
      <c r="P83" s="93"/>
      <c r="Q83" s="93"/>
      <c r="R83" s="93"/>
      <c r="S83" s="93"/>
      <c r="T83" s="93"/>
    </row>
    <row r="84" spans="1:20">
      <c r="A84" s="100"/>
      <c r="B84" s="101"/>
      <c r="C84" s="27" t="s">
        <v>431</v>
      </c>
      <c r="D84" s="101"/>
      <c r="E84" s="101"/>
      <c r="F84" s="101"/>
      <c r="G84" s="101"/>
      <c r="H84" s="25"/>
      <c r="I84" s="25"/>
      <c r="J84" s="26"/>
      <c r="K84" s="102" t="s">
        <v>593</v>
      </c>
      <c r="L84" s="102"/>
      <c r="M84" s="102"/>
      <c r="N84" s="102"/>
      <c r="O84" s="93"/>
      <c r="P84" s="93"/>
      <c r="Q84" s="93"/>
      <c r="R84" s="93"/>
      <c r="S84" s="93"/>
      <c r="T84" s="93"/>
    </row>
    <row r="85" spans="1:20">
      <c r="A85" s="28">
        <v>46071</v>
      </c>
      <c r="B85" s="29" t="s">
        <v>430</v>
      </c>
      <c r="C85" s="101"/>
      <c r="D85" s="33">
        <v>42121</v>
      </c>
      <c r="E85" s="23">
        <v>42121</v>
      </c>
      <c r="F85" s="103">
        <v>46096</v>
      </c>
      <c r="G85" s="32">
        <f ca="1">$E$2-F85</f>
        <v>68</v>
      </c>
      <c r="H85" s="25"/>
      <c r="I85" s="25"/>
      <c r="J85" s="26"/>
      <c r="K85" s="102"/>
      <c r="L85" s="102"/>
      <c r="M85" s="102"/>
      <c r="N85" s="102"/>
      <c r="O85" s="93"/>
      <c r="P85" s="93"/>
      <c r="Q85" s="93"/>
      <c r="R85" s="93"/>
      <c r="S85" s="93"/>
      <c r="T85" s="93"/>
    </row>
    <row r="86" spans="1:20">
      <c r="A86" s="100"/>
      <c r="B86" s="101"/>
      <c r="C86" s="101"/>
      <c r="D86" s="33">
        <v>42121</v>
      </c>
      <c r="E86" s="23">
        <v>42121</v>
      </c>
      <c r="F86" s="101"/>
      <c r="G86" s="101"/>
      <c r="H86" s="25"/>
      <c r="I86" s="25"/>
      <c r="J86" s="26" t="s">
        <v>594</v>
      </c>
      <c r="K86" s="102"/>
      <c r="L86" s="102"/>
      <c r="M86" s="102"/>
      <c r="N86" s="102"/>
      <c r="O86" s="93"/>
      <c r="P86" s="93"/>
      <c r="Q86" s="93"/>
      <c r="R86" s="93"/>
      <c r="S86" s="93"/>
      <c r="T86" s="93"/>
    </row>
    <row r="87" spans="1:20">
      <c r="A87" s="100"/>
      <c r="B87" s="101"/>
      <c r="C87" s="27" t="s">
        <v>434</v>
      </c>
      <c r="D87" s="101"/>
      <c r="E87" s="101"/>
      <c r="F87" s="101"/>
      <c r="G87" s="101"/>
      <c r="H87" s="25"/>
      <c r="I87" s="25"/>
      <c r="J87" s="26"/>
      <c r="K87" s="102" t="s">
        <v>595</v>
      </c>
      <c r="L87" s="102"/>
      <c r="M87" s="102"/>
      <c r="N87" s="102"/>
      <c r="O87" s="93"/>
      <c r="P87" s="93"/>
      <c r="Q87" s="93"/>
      <c r="R87" s="93"/>
      <c r="S87" s="93"/>
      <c r="T87" s="93"/>
    </row>
    <row r="88" spans="1:20">
      <c r="A88" s="28">
        <v>46111</v>
      </c>
      <c r="B88" s="29" t="s">
        <v>433</v>
      </c>
      <c r="C88" s="101"/>
      <c r="D88" s="33">
        <v>8190</v>
      </c>
      <c r="E88" s="23">
        <v>8190</v>
      </c>
      <c r="F88" s="103">
        <v>46136</v>
      </c>
      <c r="G88" s="32">
        <f ca="1">$E$2-F88</f>
        <v>28</v>
      </c>
      <c r="H88" s="25"/>
      <c r="I88" s="25"/>
      <c r="J88" s="26"/>
      <c r="K88" s="102"/>
      <c r="L88" s="102"/>
      <c r="M88" s="102"/>
      <c r="N88" s="102"/>
      <c r="O88" s="93"/>
      <c r="P88" s="93"/>
      <c r="Q88" s="93"/>
      <c r="R88" s="93"/>
      <c r="S88" s="93"/>
      <c r="T88" s="93"/>
    </row>
    <row r="89" spans="1:20">
      <c r="A89" s="100"/>
      <c r="B89" s="101"/>
      <c r="C89" s="101"/>
      <c r="D89" s="33">
        <v>8190</v>
      </c>
      <c r="E89" s="23">
        <v>8190</v>
      </c>
      <c r="F89" s="101"/>
      <c r="G89" s="101"/>
      <c r="H89" s="25"/>
      <c r="I89" s="25"/>
      <c r="J89" s="26"/>
      <c r="K89" s="102"/>
      <c r="L89" s="102"/>
      <c r="M89" s="102"/>
      <c r="N89" s="102"/>
      <c r="O89" s="93"/>
      <c r="P89" s="93"/>
      <c r="Q89" s="93"/>
      <c r="R89" s="93"/>
      <c r="S89" s="93"/>
      <c r="T89" s="93"/>
    </row>
    <row r="90" spans="1:20">
      <c r="A90" s="100"/>
      <c r="B90" s="101"/>
      <c r="C90" s="27" t="s">
        <v>436</v>
      </c>
      <c r="D90" s="101"/>
      <c r="E90" s="101"/>
      <c r="F90" s="101"/>
      <c r="G90" s="101"/>
      <c r="H90" s="25"/>
      <c r="I90" s="25"/>
      <c r="J90" s="26"/>
      <c r="K90" s="102" t="s">
        <v>596</v>
      </c>
      <c r="L90" s="102"/>
      <c r="M90" s="102"/>
      <c r="N90" s="102"/>
      <c r="O90" s="93"/>
      <c r="P90" s="93"/>
      <c r="Q90" s="93"/>
      <c r="R90" s="93"/>
      <c r="S90" s="93"/>
      <c r="T90" s="93"/>
    </row>
    <row r="91" spans="1:20">
      <c r="A91" s="28">
        <v>45954</v>
      </c>
      <c r="B91" s="29" t="s">
        <v>435</v>
      </c>
      <c r="C91" s="101"/>
      <c r="D91" s="33">
        <v>500</v>
      </c>
      <c r="E91" s="23">
        <v>500</v>
      </c>
      <c r="F91" s="103">
        <v>45979</v>
      </c>
      <c r="G91" s="32">
        <f ca="1">$E$2-F91</f>
        <v>185</v>
      </c>
      <c r="H91" s="25"/>
      <c r="I91" s="25"/>
      <c r="J91" s="26"/>
      <c r="K91" s="102"/>
      <c r="L91" s="102"/>
      <c r="M91" s="102"/>
      <c r="N91" s="102"/>
      <c r="O91" s="93"/>
      <c r="P91" s="93"/>
      <c r="Q91" s="93"/>
      <c r="R91" s="93"/>
      <c r="S91" s="93"/>
      <c r="T91" s="93"/>
    </row>
    <row r="92" spans="1:20">
      <c r="A92" s="28">
        <v>46118</v>
      </c>
      <c r="B92" s="29" t="s">
        <v>437</v>
      </c>
      <c r="C92" s="101"/>
      <c r="D92" s="33">
        <v>6100</v>
      </c>
      <c r="E92" s="23">
        <v>6100</v>
      </c>
      <c r="F92" s="103">
        <v>46143</v>
      </c>
      <c r="G92" s="32">
        <f ca="1">$E$2-F92</f>
        <v>21</v>
      </c>
      <c r="H92" s="25"/>
      <c r="I92" s="25"/>
      <c r="J92" s="26"/>
      <c r="K92" s="102"/>
      <c r="L92" s="102"/>
      <c r="M92" s="102"/>
      <c r="N92" s="102"/>
      <c r="O92" s="93"/>
      <c r="P92" s="93"/>
      <c r="Q92" s="93"/>
      <c r="R92" s="93"/>
      <c r="S92" s="93"/>
      <c r="T92" s="93"/>
    </row>
    <row r="93" spans="1:20">
      <c r="A93" s="100"/>
      <c r="B93" s="101"/>
      <c r="C93" s="101"/>
      <c r="D93" s="33">
        <v>6600</v>
      </c>
      <c r="E93" s="23">
        <v>6600</v>
      </c>
      <c r="F93" s="101"/>
      <c r="G93" s="101"/>
      <c r="H93" s="25"/>
      <c r="I93" s="25"/>
      <c r="J93" s="26"/>
      <c r="K93" s="102"/>
      <c r="L93" s="102"/>
      <c r="M93" s="102"/>
      <c r="N93" s="102"/>
      <c r="O93" s="93"/>
      <c r="P93" s="93"/>
      <c r="Q93" s="93"/>
      <c r="R93" s="93"/>
      <c r="S93" s="93"/>
      <c r="T93" s="93"/>
    </row>
    <row r="94" spans="1:20">
      <c r="A94" s="100"/>
      <c r="B94" s="101"/>
      <c r="C94" s="27" t="s">
        <v>439</v>
      </c>
      <c r="D94" s="101"/>
      <c r="E94" s="101"/>
      <c r="F94" s="101"/>
      <c r="G94" s="101"/>
      <c r="H94" s="25"/>
      <c r="I94" s="25"/>
      <c r="J94" s="26"/>
      <c r="K94" s="102" t="s">
        <v>597</v>
      </c>
      <c r="L94" s="102"/>
      <c r="M94" s="102"/>
      <c r="N94" s="102"/>
      <c r="O94" s="93"/>
      <c r="P94" s="93"/>
      <c r="Q94" s="93"/>
      <c r="R94" s="93"/>
      <c r="S94" s="93"/>
      <c r="T94" s="93"/>
    </row>
    <row r="95" spans="1:20">
      <c r="A95" s="28">
        <v>46105</v>
      </c>
      <c r="B95" s="29" t="s">
        <v>438</v>
      </c>
      <c r="C95" s="101"/>
      <c r="D95" s="33">
        <v>2287</v>
      </c>
      <c r="E95" s="23">
        <v>2287</v>
      </c>
      <c r="F95" s="103">
        <v>46130</v>
      </c>
      <c r="G95" s="32">
        <f ca="1">$E$2-F95</f>
        <v>34</v>
      </c>
      <c r="H95" s="25"/>
      <c r="I95" s="25"/>
      <c r="J95" s="26"/>
      <c r="K95" s="102"/>
      <c r="L95" s="102"/>
      <c r="M95" s="102"/>
      <c r="N95" s="102"/>
      <c r="O95" s="93"/>
      <c r="P95" s="93"/>
      <c r="Q95" s="93"/>
      <c r="R95" s="93"/>
      <c r="S95" s="93"/>
      <c r="T95" s="93"/>
    </row>
    <row r="96" spans="1:20">
      <c r="A96" s="100"/>
      <c r="B96" s="101"/>
      <c r="C96" s="101"/>
      <c r="D96" s="33">
        <v>2287</v>
      </c>
      <c r="E96" s="23">
        <v>2287</v>
      </c>
      <c r="F96" s="101"/>
      <c r="G96" s="101"/>
      <c r="H96" s="25"/>
      <c r="I96" s="25"/>
      <c r="J96" s="26"/>
      <c r="K96" s="102"/>
      <c r="L96" s="102"/>
      <c r="M96" s="102"/>
      <c r="N96" s="102"/>
      <c r="O96" s="93"/>
      <c r="P96" s="93"/>
      <c r="Q96" s="93"/>
      <c r="R96" s="93"/>
      <c r="S96" s="93"/>
      <c r="T96" s="93"/>
    </row>
    <row r="97" spans="1:20">
      <c r="A97" s="100"/>
      <c r="B97" s="101"/>
      <c r="C97" s="27" t="s">
        <v>441</v>
      </c>
      <c r="D97" s="101"/>
      <c r="E97" s="101"/>
      <c r="F97" s="101"/>
      <c r="G97" s="101"/>
      <c r="H97" s="25"/>
      <c r="I97" s="25"/>
      <c r="J97" s="26"/>
      <c r="K97" s="102" t="s">
        <v>598</v>
      </c>
      <c r="L97" s="102"/>
      <c r="M97" s="102"/>
      <c r="N97" s="102"/>
      <c r="O97" s="93"/>
      <c r="P97" s="93"/>
      <c r="Q97" s="93"/>
      <c r="R97" s="93"/>
      <c r="S97" s="93"/>
      <c r="T97" s="93"/>
    </row>
    <row r="98" spans="1:20">
      <c r="A98" s="28">
        <v>46126</v>
      </c>
      <c r="B98" s="29" t="s">
        <v>440</v>
      </c>
      <c r="C98" s="101"/>
      <c r="D98" s="33">
        <v>2795</v>
      </c>
      <c r="E98" s="23">
        <v>2795</v>
      </c>
      <c r="F98" s="103">
        <v>46126</v>
      </c>
      <c r="G98" s="32">
        <f ca="1">$E$2-F98</f>
        <v>38</v>
      </c>
      <c r="H98" s="25"/>
      <c r="I98" s="25"/>
      <c r="J98" s="26"/>
      <c r="K98" s="102"/>
      <c r="L98" s="102"/>
      <c r="M98" s="102"/>
      <c r="N98" s="102"/>
      <c r="O98" s="93"/>
      <c r="P98" s="93"/>
      <c r="Q98" s="93"/>
      <c r="R98" s="93"/>
      <c r="S98" s="93"/>
      <c r="T98" s="93"/>
    </row>
    <row r="99" spans="1:20">
      <c r="A99" s="100"/>
      <c r="B99" s="101"/>
      <c r="C99" s="101"/>
      <c r="D99" s="33">
        <v>2795</v>
      </c>
      <c r="E99" s="23">
        <v>2795</v>
      </c>
      <c r="F99" s="101"/>
      <c r="G99" s="101"/>
      <c r="H99" s="25"/>
      <c r="I99" s="25"/>
      <c r="J99" s="26"/>
      <c r="K99" s="102"/>
      <c r="L99" s="102"/>
      <c r="M99" s="102"/>
      <c r="N99" s="102"/>
      <c r="O99" s="93"/>
      <c r="P99" s="93"/>
      <c r="Q99" s="93"/>
      <c r="R99" s="93"/>
      <c r="S99" s="93"/>
      <c r="T99" s="93"/>
    </row>
    <row r="100" spans="1:20">
      <c r="A100" s="100"/>
      <c r="B100" s="101"/>
      <c r="C100" s="27" t="s">
        <v>443</v>
      </c>
      <c r="D100" s="101"/>
      <c r="E100" s="101"/>
      <c r="F100" s="101"/>
      <c r="G100" s="101"/>
      <c r="H100" s="25"/>
      <c r="I100" s="25"/>
      <c r="J100" s="26"/>
      <c r="K100" s="102" t="s">
        <v>599</v>
      </c>
      <c r="L100" s="102"/>
      <c r="M100" s="102"/>
      <c r="N100" s="102"/>
      <c r="O100" s="93"/>
      <c r="P100" s="93"/>
      <c r="Q100" s="93"/>
      <c r="R100" s="93"/>
      <c r="S100" s="93"/>
      <c r="T100" s="93"/>
    </row>
    <row r="101" spans="1:20">
      <c r="A101" s="28">
        <v>46112</v>
      </c>
      <c r="B101" s="29" t="s">
        <v>442</v>
      </c>
      <c r="C101" s="101"/>
      <c r="D101" s="33">
        <v>96214</v>
      </c>
      <c r="E101" s="23">
        <v>96214</v>
      </c>
      <c r="F101" s="103">
        <v>46137</v>
      </c>
      <c r="G101" s="32">
        <f ca="1">$E$2-F101</f>
        <v>27</v>
      </c>
      <c r="H101" s="25"/>
      <c r="I101" s="25"/>
      <c r="J101" s="26"/>
      <c r="K101" s="102"/>
      <c r="L101" s="102"/>
      <c r="M101" s="102"/>
      <c r="N101" s="102"/>
      <c r="O101" s="93"/>
      <c r="P101" s="93"/>
      <c r="Q101" s="93"/>
      <c r="R101" s="93"/>
      <c r="S101" s="93"/>
      <c r="T101" s="93"/>
    </row>
    <row r="102" spans="1:20">
      <c r="A102" s="100"/>
      <c r="B102" s="101"/>
      <c r="C102" s="101"/>
      <c r="D102" s="33">
        <v>96214</v>
      </c>
      <c r="E102" s="23">
        <v>96214</v>
      </c>
      <c r="F102" s="101"/>
      <c r="G102" s="101"/>
      <c r="H102" s="25"/>
      <c r="I102" s="25"/>
      <c r="J102" s="26"/>
      <c r="K102" s="102"/>
      <c r="L102" s="102"/>
      <c r="M102" s="102"/>
      <c r="N102" s="102"/>
      <c r="O102" s="93"/>
      <c r="P102" s="93"/>
      <c r="Q102" s="93"/>
      <c r="R102" s="93"/>
      <c r="S102" s="93"/>
      <c r="T102" s="93"/>
    </row>
    <row r="103" spans="1:20">
      <c r="A103" s="100"/>
      <c r="B103" s="101"/>
      <c r="C103" s="27" t="s">
        <v>445</v>
      </c>
      <c r="D103" s="101"/>
      <c r="E103" s="101"/>
      <c r="F103" s="101"/>
      <c r="G103" s="101"/>
      <c r="H103" s="25"/>
      <c r="I103" s="25"/>
      <c r="J103" s="26"/>
      <c r="K103" s="102" t="s">
        <v>600</v>
      </c>
      <c r="L103" s="102"/>
      <c r="M103" s="102"/>
      <c r="N103" s="102"/>
      <c r="O103" s="93"/>
      <c r="P103" s="93"/>
      <c r="Q103" s="93"/>
      <c r="R103" s="93"/>
      <c r="S103" s="93"/>
      <c r="T103" s="93"/>
    </row>
    <row r="104" spans="1:20">
      <c r="A104" s="28">
        <v>46101</v>
      </c>
      <c r="B104" s="29" t="s">
        <v>444</v>
      </c>
      <c r="C104" s="101"/>
      <c r="D104" s="33">
        <v>3580</v>
      </c>
      <c r="E104" s="23">
        <v>3580</v>
      </c>
      <c r="F104" s="103">
        <v>46126</v>
      </c>
      <c r="G104" s="32">
        <f ca="1">$E$2-F104</f>
        <v>38</v>
      </c>
      <c r="H104" s="25"/>
      <c r="I104" s="25"/>
      <c r="J104" s="26"/>
      <c r="K104" s="102"/>
      <c r="L104" s="102"/>
      <c r="M104" s="102"/>
      <c r="N104" s="102"/>
      <c r="O104" s="93"/>
      <c r="P104" s="93"/>
      <c r="Q104" s="93"/>
      <c r="R104" s="93"/>
      <c r="S104" s="93"/>
      <c r="T104" s="93"/>
    </row>
    <row r="105" spans="1:20">
      <c r="A105" s="100"/>
      <c r="B105" s="101"/>
      <c r="C105" s="101"/>
      <c r="D105" s="33">
        <v>3580</v>
      </c>
      <c r="E105" s="23">
        <v>3580</v>
      </c>
      <c r="F105" s="101"/>
      <c r="G105" s="101"/>
      <c r="H105" s="25"/>
      <c r="I105" s="25"/>
      <c r="J105" s="26"/>
      <c r="K105" s="102"/>
      <c r="L105" s="102"/>
      <c r="M105" s="102"/>
      <c r="N105" s="102"/>
      <c r="O105" s="93"/>
      <c r="P105" s="93"/>
      <c r="Q105" s="93"/>
      <c r="R105" s="93"/>
      <c r="S105" s="93"/>
      <c r="T105" s="93"/>
    </row>
    <row r="106" spans="1:20">
      <c r="A106" s="100"/>
      <c r="B106" s="101"/>
      <c r="C106" s="27" t="s">
        <v>447</v>
      </c>
      <c r="D106" s="101"/>
      <c r="E106" s="101"/>
      <c r="F106" s="101"/>
      <c r="G106" s="101"/>
      <c r="H106" s="25"/>
      <c r="I106" s="25"/>
      <c r="J106" s="26"/>
      <c r="K106" s="102"/>
      <c r="L106" s="102"/>
      <c r="M106" s="102"/>
      <c r="N106" s="102"/>
      <c r="O106" s="93"/>
      <c r="P106" s="93"/>
      <c r="Q106" s="93"/>
      <c r="R106" s="93"/>
      <c r="S106" s="93"/>
      <c r="T106" s="93"/>
    </row>
    <row r="107" spans="1:20">
      <c r="A107" s="28">
        <v>46107</v>
      </c>
      <c r="B107" s="29" t="s">
        <v>446</v>
      </c>
      <c r="C107" s="101"/>
      <c r="D107" s="33">
        <v>100</v>
      </c>
      <c r="E107" s="23">
        <v>100</v>
      </c>
      <c r="F107" s="103">
        <v>46132</v>
      </c>
      <c r="G107" s="32">
        <f ca="1">$E$2-F107</f>
        <v>32</v>
      </c>
      <c r="H107" s="25"/>
      <c r="I107" s="25"/>
      <c r="J107" s="26"/>
      <c r="K107" s="102"/>
      <c r="L107" s="102"/>
      <c r="M107" s="102"/>
      <c r="N107" s="102"/>
      <c r="O107" s="93"/>
      <c r="P107" s="93"/>
      <c r="Q107" s="93"/>
      <c r="R107" s="93"/>
      <c r="S107" s="93"/>
      <c r="T107" s="93"/>
    </row>
    <row r="108" spans="1:20">
      <c r="A108" s="100"/>
      <c r="B108" s="101"/>
      <c r="C108" s="101"/>
      <c r="D108" s="33">
        <v>100</v>
      </c>
      <c r="E108" s="23">
        <v>100</v>
      </c>
      <c r="F108" s="101"/>
      <c r="G108" s="101"/>
      <c r="H108" s="25"/>
      <c r="I108" s="25"/>
      <c r="J108" s="26"/>
      <c r="K108" s="102"/>
      <c r="L108" s="102"/>
      <c r="M108" s="102"/>
      <c r="N108" s="102"/>
      <c r="O108" s="93"/>
      <c r="P108" s="93"/>
      <c r="Q108" s="93"/>
      <c r="R108" s="93"/>
      <c r="S108" s="93"/>
      <c r="T108" s="93"/>
    </row>
    <row r="109" spans="1:20">
      <c r="A109" s="100"/>
      <c r="B109" s="101"/>
      <c r="C109" s="27" t="s">
        <v>449</v>
      </c>
      <c r="D109" s="101"/>
      <c r="E109" s="101"/>
      <c r="F109" s="101"/>
      <c r="G109" s="101"/>
      <c r="H109" s="25"/>
      <c r="I109" s="25"/>
      <c r="J109" s="26"/>
      <c r="K109" s="102" t="s">
        <v>601</v>
      </c>
      <c r="L109" s="102"/>
      <c r="M109" s="102"/>
      <c r="N109" s="102"/>
      <c r="O109" s="93"/>
      <c r="P109" s="93"/>
      <c r="Q109" s="93"/>
      <c r="R109" s="93"/>
      <c r="S109" s="93"/>
      <c r="T109" s="93"/>
    </row>
    <row r="110" spans="1:20">
      <c r="A110" s="28">
        <v>46098</v>
      </c>
      <c r="B110" s="29" t="s">
        <v>448</v>
      </c>
      <c r="C110" s="101"/>
      <c r="D110" s="33">
        <v>886</v>
      </c>
      <c r="E110" s="23">
        <v>886</v>
      </c>
      <c r="F110" s="103">
        <v>46123</v>
      </c>
      <c r="G110" s="32">
        <f ca="1">$E$2-F110</f>
        <v>41</v>
      </c>
      <c r="H110" s="25"/>
      <c r="I110" s="25"/>
      <c r="J110" s="26"/>
      <c r="K110" s="102"/>
      <c r="L110" s="102"/>
      <c r="M110" s="102"/>
      <c r="N110" s="102"/>
      <c r="O110" s="93"/>
      <c r="P110" s="93"/>
      <c r="Q110" s="93"/>
      <c r="R110" s="93"/>
      <c r="S110" s="93"/>
      <c r="T110" s="93"/>
    </row>
    <row r="111" spans="1:20">
      <c r="A111" s="100"/>
      <c r="B111" s="101"/>
      <c r="C111" s="101"/>
      <c r="D111" s="33">
        <v>886</v>
      </c>
      <c r="E111" s="23">
        <v>886</v>
      </c>
      <c r="F111" s="101"/>
      <c r="G111" s="101"/>
      <c r="H111" s="25">
        <f>886</f>
        <v>886</v>
      </c>
      <c r="I111" s="25">
        <f>E111-H111</f>
        <v>0</v>
      </c>
      <c r="J111" s="26" t="s">
        <v>378</v>
      </c>
      <c r="K111" s="102"/>
      <c r="L111" s="102"/>
      <c r="M111" s="102"/>
      <c r="N111" s="102"/>
      <c r="O111" s="93"/>
      <c r="P111" s="93"/>
      <c r="Q111" s="93"/>
      <c r="R111" s="93"/>
      <c r="S111" s="93"/>
      <c r="T111" s="93"/>
    </row>
    <row r="112" spans="1:20">
      <c r="A112" s="100"/>
      <c r="B112" s="101"/>
      <c r="C112" s="27" t="s">
        <v>451</v>
      </c>
      <c r="D112" s="101"/>
      <c r="E112" s="101"/>
      <c r="F112" s="101"/>
      <c r="G112" s="101"/>
      <c r="H112" s="25"/>
      <c r="I112" s="25"/>
      <c r="J112" s="26"/>
      <c r="K112" s="102" t="s">
        <v>602</v>
      </c>
      <c r="L112" s="102"/>
      <c r="M112" s="102"/>
      <c r="N112" s="102"/>
      <c r="O112" s="93"/>
      <c r="P112" s="93"/>
      <c r="Q112" s="93"/>
      <c r="R112" s="93"/>
      <c r="S112" s="93"/>
      <c r="T112" s="93"/>
    </row>
    <row r="113" spans="1:20">
      <c r="A113" s="28">
        <v>46013</v>
      </c>
      <c r="B113" s="29" t="s">
        <v>450</v>
      </c>
      <c r="C113" s="101"/>
      <c r="D113" s="33">
        <v>13732</v>
      </c>
      <c r="E113" s="23">
        <v>2232</v>
      </c>
      <c r="F113" s="103">
        <v>46038</v>
      </c>
      <c r="G113" s="32">
        <f ca="1">$E$2-F113</f>
        <v>126</v>
      </c>
      <c r="H113" s="25"/>
      <c r="I113" s="25"/>
      <c r="J113" s="26"/>
      <c r="K113" s="102"/>
      <c r="L113" s="102"/>
      <c r="M113" s="102"/>
      <c r="N113" s="102"/>
      <c r="O113" s="93"/>
      <c r="P113" s="93"/>
      <c r="Q113" s="93"/>
      <c r="R113" s="93"/>
      <c r="S113" s="93"/>
      <c r="T113" s="93"/>
    </row>
    <row r="114" spans="1:20">
      <c r="A114" s="100"/>
      <c r="B114" s="101"/>
      <c r="C114" s="101"/>
      <c r="D114" s="33">
        <v>13732</v>
      </c>
      <c r="E114" s="23">
        <v>2232</v>
      </c>
      <c r="F114" s="101"/>
      <c r="G114" s="101"/>
      <c r="H114" s="25"/>
      <c r="I114" s="25"/>
      <c r="J114" s="26" t="s">
        <v>135</v>
      </c>
      <c r="K114" s="102"/>
      <c r="L114" s="102"/>
      <c r="M114" s="102"/>
      <c r="N114" s="102"/>
      <c r="O114" s="93"/>
      <c r="P114" s="93"/>
      <c r="Q114" s="93"/>
      <c r="R114" s="93"/>
      <c r="S114" s="93"/>
      <c r="T114" s="93"/>
    </row>
    <row r="115" spans="1:20">
      <c r="A115" s="100"/>
      <c r="B115" s="101"/>
      <c r="C115" s="105" t="s">
        <v>453</v>
      </c>
      <c r="D115" s="101"/>
      <c r="E115" s="101"/>
      <c r="F115" s="101"/>
      <c r="G115" s="101"/>
      <c r="H115" s="25"/>
      <c r="I115" s="25"/>
      <c r="J115" s="26"/>
      <c r="K115" s="102"/>
      <c r="L115" s="102"/>
      <c r="M115" s="102"/>
      <c r="N115" s="102"/>
      <c r="O115" s="93"/>
      <c r="P115" s="93"/>
      <c r="Q115" s="93"/>
      <c r="R115" s="93"/>
      <c r="S115" s="93"/>
      <c r="T115" s="93"/>
    </row>
    <row r="116" spans="1:20">
      <c r="A116" s="28">
        <v>46129</v>
      </c>
      <c r="B116" s="29" t="s">
        <v>452</v>
      </c>
      <c r="C116" s="101"/>
      <c r="D116" s="33">
        <v>4988</v>
      </c>
      <c r="E116" s="23">
        <v>4988</v>
      </c>
      <c r="F116" s="103">
        <v>46154</v>
      </c>
      <c r="G116" s="32">
        <f ca="1">$E$2-F116</f>
        <v>10</v>
      </c>
      <c r="H116" s="25"/>
      <c r="I116" s="25"/>
      <c r="J116" s="26"/>
      <c r="K116" s="102"/>
      <c r="L116" s="102"/>
      <c r="M116" s="102"/>
      <c r="N116" s="102"/>
      <c r="O116" s="93"/>
      <c r="P116" s="93"/>
      <c r="Q116" s="93"/>
      <c r="R116" s="93"/>
      <c r="S116" s="93"/>
      <c r="T116" s="93"/>
    </row>
    <row r="117" spans="1:20">
      <c r="A117" s="100"/>
      <c r="B117" s="101"/>
      <c r="C117" s="101"/>
      <c r="D117" s="33">
        <v>4988</v>
      </c>
      <c r="E117" s="23">
        <v>4988</v>
      </c>
      <c r="F117" s="101"/>
      <c r="G117" s="101"/>
      <c r="H117" s="25"/>
      <c r="I117" s="25"/>
      <c r="J117" s="26"/>
      <c r="K117" s="102"/>
      <c r="L117" s="102"/>
      <c r="M117" s="102"/>
      <c r="N117" s="102"/>
      <c r="O117" s="93"/>
      <c r="P117" s="93"/>
      <c r="Q117" s="93"/>
      <c r="R117" s="93"/>
      <c r="S117" s="93"/>
      <c r="T117" s="93"/>
    </row>
    <row r="118" spans="1:20">
      <c r="A118" s="100"/>
      <c r="B118" s="101"/>
      <c r="C118" s="27" t="s">
        <v>455</v>
      </c>
      <c r="D118" s="101"/>
      <c r="E118" s="101"/>
      <c r="F118" s="101"/>
      <c r="G118" s="101"/>
      <c r="H118" s="25"/>
      <c r="I118" s="25"/>
      <c r="J118" s="26"/>
      <c r="K118" s="102" t="s">
        <v>603</v>
      </c>
      <c r="L118" s="102"/>
      <c r="M118" s="102"/>
      <c r="N118" s="102"/>
      <c r="O118" s="93"/>
      <c r="P118" s="93"/>
      <c r="Q118" s="93"/>
      <c r="R118" s="93"/>
      <c r="S118" s="93"/>
      <c r="T118" s="93"/>
    </row>
    <row r="119" spans="1:20">
      <c r="A119" s="28">
        <v>46050</v>
      </c>
      <c r="B119" s="29" t="s">
        <v>454</v>
      </c>
      <c r="C119" s="101"/>
      <c r="D119" s="33">
        <v>12200</v>
      </c>
      <c r="E119" s="23">
        <v>6200</v>
      </c>
      <c r="F119" s="103">
        <v>46075</v>
      </c>
      <c r="G119" s="32">
        <f ca="1">$E$2-F119</f>
        <v>89</v>
      </c>
      <c r="H119" s="25"/>
      <c r="I119" s="25"/>
      <c r="J119" s="26"/>
      <c r="K119" s="102"/>
      <c r="L119" s="102"/>
      <c r="M119" s="102"/>
      <c r="N119" s="102"/>
      <c r="O119" s="93"/>
      <c r="P119" s="93"/>
      <c r="Q119" s="93"/>
      <c r="R119" s="93"/>
      <c r="S119" s="93"/>
      <c r="T119" s="93"/>
    </row>
    <row r="120" spans="1:20">
      <c r="A120" s="100"/>
      <c r="B120" s="101"/>
      <c r="C120" s="101"/>
      <c r="D120" s="33">
        <v>12200</v>
      </c>
      <c r="E120" s="23">
        <v>6200</v>
      </c>
      <c r="F120" s="101"/>
      <c r="G120" s="101"/>
      <c r="H120" s="25">
        <f>6200</f>
        <v>6200</v>
      </c>
      <c r="I120" s="25">
        <f>E120-H120</f>
        <v>0</v>
      </c>
      <c r="J120" s="26" t="s">
        <v>378</v>
      </c>
      <c r="K120" s="102"/>
      <c r="L120" s="102"/>
      <c r="M120" s="102"/>
      <c r="N120" s="102"/>
      <c r="O120" s="93"/>
      <c r="P120" s="93"/>
      <c r="Q120" s="93"/>
      <c r="R120" s="93"/>
      <c r="S120" s="93"/>
      <c r="T120" s="93"/>
    </row>
    <row r="121" spans="1:20">
      <c r="A121" s="100"/>
      <c r="B121" s="101"/>
      <c r="C121" s="27" t="s">
        <v>457</v>
      </c>
      <c r="D121" s="101"/>
      <c r="E121" s="101"/>
      <c r="F121" s="101"/>
      <c r="G121" s="101"/>
      <c r="H121" s="25"/>
      <c r="I121" s="25"/>
      <c r="J121" s="26"/>
      <c r="K121" s="102"/>
      <c r="L121" s="102"/>
      <c r="M121" s="102"/>
      <c r="N121" s="102"/>
      <c r="O121" s="93"/>
      <c r="P121" s="93"/>
      <c r="Q121" s="93"/>
      <c r="R121" s="93"/>
      <c r="S121" s="93"/>
      <c r="T121" s="93"/>
    </row>
    <row r="122" spans="1:20">
      <c r="A122" s="28">
        <v>46129</v>
      </c>
      <c r="B122" s="29" t="s">
        <v>456</v>
      </c>
      <c r="C122" s="101"/>
      <c r="D122" s="33">
        <v>2214</v>
      </c>
      <c r="E122" s="23">
        <v>2214</v>
      </c>
      <c r="F122" s="103">
        <v>46154</v>
      </c>
      <c r="G122" s="32">
        <f ca="1">$E$2-F122</f>
        <v>10</v>
      </c>
      <c r="H122" s="25"/>
      <c r="I122" s="25"/>
      <c r="J122" s="26"/>
      <c r="K122" s="102"/>
      <c r="L122" s="102"/>
      <c r="M122" s="102"/>
      <c r="N122" s="102"/>
      <c r="O122" s="93"/>
      <c r="P122" s="93"/>
      <c r="Q122" s="93"/>
      <c r="R122" s="93"/>
      <c r="S122" s="93"/>
      <c r="T122" s="93"/>
    </row>
    <row r="123" spans="1:20">
      <c r="A123" s="100"/>
      <c r="B123" s="101"/>
      <c r="C123" s="101"/>
      <c r="D123" s="33">
        <v>2214</v>
      </c>
      <c r="E123" s="23">
        <v>2214</v>
      </c>
      <c r="F123" s="101"/>
      <c r="G123" s="101"/>
      <c r="H123" s="25"/>
      <c r="I123" s="25"/>
      <c r="J123" s="26"/>
      <c r="K123" s="102"/>
      <c r="L123" s="102"/>
      <c r="M123" s="102"/>
      <c r="N123" s="102"/>
      <c r="O123" s="93"/>
      <c r="P123" s="93"/>
      <c r="Q123" s="93"/>
      <c r="R123" s="93"/>
      <c r="S123" s="93"/>
      <c r="T123" s="93"/>
    </row>
    <row r="124" spans="1:20">
      <c r="A124" s="100"/>
      <c r="B124" s="101"/>
      <c r="C124" s="27" t="s">
        <v>459</v>
      </c>
      <c r="D124" s="101"/>
      <c r="E124" s="101"/>
      <c r="F124" s="101"/>
      <c r="G124" s="101"/>
      <c r="H124" s="25"/>
      <c r="I124" s="25"/>
      <c r="J124" s="26"/>
      <c r="K124" s="102" t="s">
        <v>604</v>
      </c>
      <c r="L124" s="102"/>
      <c r="M124" s="102"/>
      <c r="N124" s="102"/>
      <c r="O124" s="93"/>
      <c r="P124" s="93"/>
      <c r="Q124" s="93"/>
      <c r="R124" s="93"/>
      <c r="S124" s="93"/>
      <c r="T124" s="93"/>
    </row>
    <row r="125" spans="1:20">
      <c r="A125" s="28">
        <v>46099</v>
      </c>
      <c r="B125" s="29" t="s">
        <v>458</v>
      </c>
      <c r="C125" s="101"/>
      <c r="D125" s="33">
        <v>104942</v>
      </c>
      <c r="E125" s="23">
        <v>104942</v>
      </c>
      <c r="F125" s="103">
        <v>46124</v>
      </c>
      <c r="G125" s="32">
        <f ca="1">$E$2-F125</f>
        <v>40</v>
      </c>
      <c r="H125" s="25"/>
      <c r="I125" s="25"/>
      <c r="J125" s="26"/>
      <c r="K125" s="102"/>
      <c r="L125" s="102"/>
      <c r="M125" s="102"/>
      <c r="N125" s="102"/>
      <c r="O125" s="93"/>
      <c r="P125" s="93"/>
      <c r="Q125" s="93"/>
      <c r="R125" s="93"/>
      <c r="S125" s="93"/>
      <c r="T125" s="93"/>
    </row>
    <row r="126" spans="1:20">
      <c r="A126" s="100"/>
      <c r="B126" s="101"/>
      <c r="C126" s="101"/>
      <c r="D126" s="33">
        <v>104942</v>
      </c>
      <c r="E126" s="23">
        <v>104942</v>
      </c>
      <c r="F126" s="101"/>
      <c r="G126" s="101"/>
      <c r="H126" s="25"/>
      <c r="I126" s="25"/>
      <c r="J126" s="26"/>
      <c r="K126" s="102"/>
      <c r="L126" s="102"/>
      <c r="M126" s="102"/>
      <c r="N126" s="102"/>
      <c r="O126" s="93"/>
      <c r="P126" s="93"/>
      <c r="Q126" s="93"/>
      <c r="R126" s="93"/>
      <c r="S126" s="93"/>
      <c r="T126" s="93"/>
    </row>
    <row r="127" spans="1:20">
      <c r="A127" s="100"/>
      <c r="B127" s="101"/>
      <c r="C127" s="27" t="s">
        <v>461</v>
      </c>
      <c r="D127" s="101"/>
      <c r="E127" s="101"/>
      <c r="F127" s="101"/>
      <c r="G127" s="101"/>
      <c r="H127" s="25"/>
      <c r="I127" s="25"/>
      <c r="J127" s="26"/>
      <c r="K127" s="102" t="s">
        <v>605</v>
      </c>
      <c r="L127" s="102"/>
      <c r="M127" s="102"/>
      <c r="N127" s="102"/>
      <c r="O127" s="93"/>
      <c r="P127" s="93"/>
      <c r="Q127" s="93"/>
      <c r="R127" s="93"/>
      <c r="S127" s="93"/>
      <c r="T127" s="93"/>
    </row>
    <row r="128" spans="1:20">
      <c r="A128" s="28">
        <v>46092</v>
      </c>
      <c r="B128" s="33" t="s">
        <v>460</v>
      </c>
      <c r="C128" s="101"/>
      <c r="D128" s="33">
        <v>11511</v>
      </c>
      <c r="E128" s="23">
        <v>11511</v>
      </c>
      <c r="F128" s="103">
        <v>46117</v>
      </c>
      <c r="G128" s="32">
        <f ca="1">$E$2-F128</f>
        <v>47</v>
      </c>
      <c r="H128" s="25"/>
      <c r="I128" s="25"/>
      <c r="J128" s="26"/>
      <c r="K128" s="102"/>
      <c r="L128" s="102"/>
      <c r="M128" s="102"/>
      <c r="N128" s="102"/>
      <c r="O128" s="93"/>
      <c r="P128" s="93"/>
      <c r="Q128" s="93"/>
      <c r="R128" s="93"/>
      <c r="S128" s="93"/>
      <c r="T128" s="93"/>
    </row>
    <row r="129" spans="1:20">
      <c r="A129" s="28">
        <v>46153</v>
      </c>
      <c r="B129" s="33" t="s">
        <v>462</v>
      </c>
      <c r="C129" s="101"/>
      <c r="D129" s="33">
        <v>5201</v>
      </c>
      <c r="E129" s="33">
        <v>5201</v>
      </c>
      <c r="F129" s="103">
        <v>46178</v>
      </c>
      <c r="G129" s="101"/>
      <c r="H129" s="25"/>
      <c r="I129" s="25"/>
      <c r="J129" s="26"/>
      <c r="K129" s="102"/>
      <c r="L129" s="102"/>
      <c r="M129" s="102"/>
      <c r="N129" s="102"/>
      <c r="O129" s="93"/>
      <c r="P129" s="93"/>
      <c r="Q129" s="93"/>
      <c r="R129" s="93"/>
      <c r="S129" s="93"/>
      <c r="T129" s="93"/>
    </row>
    <row r="130" spans="1:20">
      <c r="A130" s="100"/>
      <c r="B130" s="101"/>
      <c r="C130" s="101"/>
      <c r="D130" s="33">
        <v>16712</v>
      </c>
      <c r="E130" s="23">
        <v>16712</v>
      </c>
      <c r="F130" s="101"/>
      <c r="G130" s="101"/>
      <c r="H130" s="25"/>
      <c r="I130" s="25"/>
      <c r="J130" s="26"/>
      <c r="K130" s="102"/>
      <c r="L130" s="102"/>
      <c r="M130" s="102"/>
      <c r="N130" s="102"/>
      <c r="O130" s="93"/>
      <c r="P130" s="93"/>
      <c r="Q130" s="93"/>
      <c r="R130" s="93"/>
      <c r="S130" s="93"/>
      <c r="T130" s="93"/>
    </row>
    <row r="131" spans="1:20">
      <c r="A131" s="100"/>
      <c r="B131" s="101"/>
      <c r="C131" s="27" t="s">
        <v>464</v>
      </c>
      <c r="D131" s="101"/>
      <c r="E131" s="101"/>
      <c r="F131" s="101"/>
      <c r="G131" s="101"/>
      <c r="H131" s="25"/>
      <c r="I131" s="25"/>
      <c r="J131" s="26"/>
      <c r="K131" s="102" t="s">
        <v>606</v>
      </c>
      <c r="L131" s="102"/>
      <c r="M131" s="102"/>
      <c r="N131" s="102"/>
      <c r="O131" s="93"/>
      <c r="P131" s="93"/>
      <c r="Q131" s="93"/>
      <c r="R131" s="93"/>
      <c r="S131" s="93"/>
      <c r="T131" s="93"/>
    </row>
    <row r="132" spans="1:20">
      <c r="A132" s="28">
        <v>46015</v>
      </c>
      <c r="B132" s="33" t="s">
        <v>463</v>
      </c>
      <c r="C132" s="101"/>
      <c r="D132" s="33">
        <v>8682</v>
      </c>
      <c r="E132" s="23">
        <v>6182</v>
      </c>
      <c r="F132" s="103">
        <v>46040</v>
      </c>
      <c r="G132" s="32">
        <f ca="1">$E$2-F132</f>
        <v>124</v>
      </c>
      <c r="H132" s="25"/>
      <c r="I132" s="25"/>
      <c r="J132" s="26"/>
      <c r="K132" s="102"/>
      <c r="L132" s="102"/>
      <c r="M132" s="102"/>
      <c r="N132" s="102"/>
      <c r="O132" s="93"/>
      <c r="P132" s="93"/>
      <c r="Q132" s="93"/>
      <c r="R132" s="93"/>
      <c r="S132" s="93"/>
      <c r="T132" s="93"/>
    </row>
    <row r="133" spans="1:20">
      <c r="A133" s="100"/>
      <c r="B133" s="101"/>
      <c r="C133" s="101"/>
      <c r="D133" s="33">
        <v>8682</v>
      </c>
      <c r="E133" s="23">
        <v>6182</v>
      </c>
      <c r="F133" s="101"/>
      <c r="G133" s="101"/>
      <c r="H133" s="25"/>
      <c r="I133" s="25"/>
      <c r="J133" s="26" t="s">
        <v>135</v>
      </c>
      <c r="K133" s="102"/>
      <c r="L133" s="102"/>
      <c r="M133" s="102"/>
      <c r="N133" s="102"/>
      <c r="O133" s="93"/>
      <c r="P133" s="93"/>
      <c r="Q133" s="93"/>
      <c r="R133" s="93"/>
      <c r="S133" s="93"/>
      <c r="T133" s="93"/>
    </row>
    <row r="134" spans="1:20">
      <c r="A134" s="100"/>
      <c r="B134" s="101"/>
      <c r="C134" s="27" t="s">
        <v>466</v>
      </c>
      <c r="D134" s="101"/>
      <c r="E134" s="101"/>
      <c r="F134" s="101"/>
      <c r="G134" s="101"/>
      <c r="H134" s="25"/>
      <c r="I134" s="25"/>
      <c r="J134" s="26"/>
      <c r="K134" s="102" t="s">
        <v>607</v>
      </c>
      <c r="L134" s="102"/>
      <c r="M134" s="102"/>
      <c r="N134" s="102"/>
      <c r="O134" s="93"/>
      <c r="P134" s="93"/>
      <c r="Q134" s="93"/>
      <c r="R134" s="93"/>
      <c r="S134" s="93"/>
      <c r="T134" s="93"/>
    </row>
    <row r="135" spans="1:20">
      <c r="A135" s="28">
        <v>46121</v>
      </c>
      <c r="B135" s="33" t="s">
        <v>465</v>
      </c>
      <c r="C135" s="101"/>
      <c r="D135" s="33">
        <v>17710</v>
      </c>
      <c r="E135" s="23">
        <v>17710</v>
      </c>
      <c r="F135" s="103">
        <v>46146</v>
      </c>
      <c r="G135" s="32">
        <f ca="1">$E$2-F135</f>
        <v>18</v>
      </c>
      <c r="H135" s="25"/>
      <c r="I135" s="25"/>
      <c r="J135" s="26"/>
      <c r="K135" s="102"/>
      <c r="L135" s="102"/>
      <c r="M135" s="102"/>
      <c r="N135" s="102"/>
      <c r="O135" s="93"/>
      <c r="P135" s="93"/>
      <c r="Q135" s="93"/>
      <c r="R135" s="93"/>
      <c r="S135" s="93"/>
      <c r="T135" s="93"/>
    </row>
    <row r="136" spans="1:20">
      <c r="A136" s="28">
        <v>46122</v>
      </c>
      <c r="B136" s="33" t="s">
        <v>467</v>
      </c>
      <c r="C136" s="101"/>
      <c r="D136" s="33">
        <v>8855</v>
      </c>
      <c r="E136" s="23">
        <v>8855</v>
      </c>
      <c r="F136" s="103">
        <v>46147</v>
      </c>
      <c r="G136" s="32">
        <f ca="1">$E$2-F136</f>
        <v>17</v>
      </c>
      <c r="H136" s="25"/>
      <c r="I136" s="25"/>
      <c r="J136" s="26"/>
      <c r="K136" s="102"/>
      <c r="L136" s="102"/>
      <c r="M136" s="102"/>
      <c r="N136" s="102"/>
      <c r="O136" s="93"/>
      <c r="P136" s="93"/>
      <c r="Q136" s="93"/>
      <c r="R136" s="93"/>
      <c r="S136" s="93"/>
      <c r="T136" s="93"/>
    </row>
    <row r="137" spans="1:20">
      <c r="A137" s="28">
        <v>46130</v>
      </c>
      <c r="B137" s="33" t="s">
        <v>468</v>
      </c>
      <c r="C137" s="101"/>
      <c r="D137" s="33">
        <v>5572</v>
      </c>
      <c r="E137" s="23">
        <v>5572</v>
      </c>
      <c r="F137" s="103">
        <v>46155</v>
      </c>
      <c r="G137" s="32">
        <f ca="1">$E$2-F137</f>
        <v>9</v>
      </c>
      <c r="H137" s="25"/>
      <c r="I137" s="25"/>
      <c r="J137" s="26"/>
      <c r="K137" s="102"/>
      <c r="L137" s="102"/>
      <c r="M137" s="102"/>
      <c r="N137" s="102"/>
      <c r="O137" s="93"/>
      <c r="P137" s="93"/>
      <c r="Q137" s="93"/>
      <c r="R137" s="93"/>
      <c r="S137" s="93"/>
      <c r="T137" s="93"/>
    </row>
    <row r="138" spans="1:20">
      <c r="A138" s="28">
        <v>46142</v>
      </c>
      <c r="B138" s="33" t="s">
        <v>469</v>
      </c>
      <c r="C138" s="101"/>
      <c r="D138" s="33">
        <v>5144</v>
      </c>
      <c r="E138" s="33">
        <v>5144</v>
      </c>
      <c r="F138" s="103">
        <v>46167</v>
      </c>
      <c r="G138" s="101"/>
      <c r="H138" s="25"/>
      <c r="I138" s="25"/>
      <c r="J138" s="26"/>
      <c r="K138" s="102"/>
      <c r="L138" s="102"/>
      <c r="M138" s="102"/>
      <c r="N138" s="102"/>
      <c r="O138" s="93"/>
      <c r="P138" s="93"/>
      <c r="Q138" s="93"/>
      <c r="R138" s="93"/>
      <c r="S138" s="93"/>
      <c r="T138" s="93"/>
    </row>
    <row r="139" spans="1:20">
      <c r="A139" s="28">
        <v>46148</v>
      </c>
      <c r="B139" s="33" t="s">
        <v>470</v>
      </c>
      <c r="C139" s="101"/>
      <c r="D139" s="33">
        <v>2291</v>
      </c>
      <c r="E139" s="33">
        <v>2291</v>
      </c>
      <c r="F139" s="103">
        <v>46173</v>
      </c>
      <c r="G139" s="101"/>
      <c r="H139" s="25"/>
      <c r="I139" s="25"/>
      <c r="J139" s="26"/>
      <c r="K139" s="102"/>
      <c r="L139" s="102"/>
      <c r="M139" s="102"/>
      <c r="N139" s="102"/>
      <c r="O139" s="93"/>
      <c r="P139" s="93"/>
      <c r="Q139" s="93"/>
      <c r="R139" s="93"/>
      <c r="S139" s="93"/>
      <c r="T139" s="93"/>
    </row>
    <row r="140" spans="1:20">
      <c r="A140" s="28">
        <v>46150</v>
      </c>
      <c r="B140" s="33" t="s">
        <v>471</v>
      </c>
      <c r="C140" s="101"/>
      <c r="D140" s="33">
        <v>21163</v>
      </c>
      <c r="E140" s="33">
        <v>21163</v>
      </c>
      <c r="F140" s="103">
        <v>46175</v>
      </c>
      <c r="G140" s="101"/>
      <c r="H140" s="25"/>
      <c r="I140" s="25"/>
      <c r="J140" s="26"/>
      <c r="K140" s="102"/>
      <c r="L140" s="102"/>
      <c r="M140" s="102"/>
      <c r="N140" s="102"/>
      <c r="O140" s="93"/>
      <c r="P140" s="93"/>
      <c r="Q140" s="93"/>
      <c r="R140" s="93"/>
      <c r="S140" s="93"/>
      <c r="T140" s="93"/>
    </row>
    <row r="141" spans="1:20">
      <c r="A141" s="28">
        <v>46156</v>
      </c>
      <c r="B141" s="33" t="s">
        <v>472</v>
      </c>
      <c r="C141" s="101"/>
      <c r="D141" s="33">
        <v>7384</v>
      </c>
      <c r="E141" s="33">
        <v>7384</v>
      </c>
      <c r="F141" s="103">
        <v>46181</v>
      </c>
      <c r="G141" s="101"/>
      <c r="H141" s="25"/>
      <c r="I141" s="25"/>
      <c r="J141" s="26"/>
      <c r="K141" s="102"/>
      <c r="L141" s="102"/>
      <c r="M141" s="102"/>
      <c r="N141" s="102"/>
      <c r="O141" s="93"/>
      <c r="P141" s="93"/>
      <c r="Q141" s="93"/>
      <c r="R141" s="93"/>
      <c r="S141" s="93"/>
      <c r="T141" s="93"/>
    </row>
    <row r="142" spans="1:20">
      <c r="A142" s="100"/>
      <c r="B142" s="101"/>
      <c r="C142" s="101"/>
      <c r="D142" s="33">
        <v>68119</v>
      </c>
      <c r="E142" s="23">
        <v>68119</v>
      </c>
      <c r="F142" s="101"/>
      <c r="G142" s="101"/>
      <c r="H142" s="25"/>
      <c r="I142" s="25"/>
      <c r="J142" s="26"/>
      <c r="K142" s="102"/>
      <c r="L142" s="102"/>
      <c r="M142" s="102"/>
      <c r="N142" s="102"/>
      <c r="O142" s="93"/>
      <c r="P142" s="93"/>
      <c r="Q142" s="93"/>
      <c r="R142" s="93"/>
      <c r="S142" s="93"/>
      <c r="T142" s="93"/>
    </row>
    <row r="143" spans="1:20">
      <c r="A143" s="100"/>
      <c r="B143" s="101"/>
      <c r="C143" s="27" t="s">
        <v>474</v>
      </c>
      <c r="D143" s="101"/>
      <c r="E143" s="101"/>
      <c r="F143" s="101"/>
      <c r="G143" s="101"/>
      <c r="H143" s="25"/>
      <c r="I143" s="25"/>
      <c r="J143" s="26"/>
      <c r="K143" s="102" t="s">
        <v>608</v>
      </c>
      <c r="L143" s="102"/>
      <c r="M143" s="102"/>
      <c r="N143" s="102"/>
      <c r="O143" s="93"/>
      <c r="P143" s="93"/>
      <c r="Q143" s="93"/>
      <c r="R143" s="93"/>
      <c r="S143" s="93"/>
      <c r="T143" s="93"/>
    </row>
    <row r="144" spans="1:20">
      <c r="A144" s="28">
        <v>46115</v>
      </c>
      <c r="B144" s="33" t="s">
        <v>473</v>
      </c>
      <c r="C144" s="101"/>
      <c r="D144" s="33">
        <v>2191</v>
      </c>
      <c r="E144" s="23">
        <v>22</v>
      </c>
      <c r="F144" s="103">
        <v>46140</v>
      </c>
      <c r="G144" s="32">
        <f ca="1">$E$2-F144</f>
        <v>24</v>
      </c>
      <c r="H144" s="25"/>
      <c r="I144" s="25"/>
      <c r="J144" s="26"/>
      <c r="K144" s="102"/>
      <c r="L144" s="102"/>
      <c r="M144" s="102"/>
      <c r="N144" s="102"/>
      <c r="O144" s="93"/>
      <c r="P144" s="93"/>
      <c r="Q144" s="93"/>
      <c r="R144" s="93"/>
      <c r="S144" s="93"/>
      <c r="T144" s="93"/>
    </row>
    <row r="145" spans="1:20">
      <c r="A145" s="28">
        <v>46125</v>
      </c>
      <c r="B145" s="33" t="s">
        <v>475</v>
      </c>
      <c r="C145" s="101"/>
      <c r="D145" s="33">
        <v>1548</v>
      </c>
      <c r="E145" s="23">
        <v>16</v>
      </c>
      <c r="F145" s="103">
        <v>46150</v>
      </c>
      <c r="G145" s="32">
        <f ca="1">$E$2-F145</f>
        <v>14</v>
      </c>
      <c r="H145" s="25"/>
      <c r="I145" s="25"/>
      <c r="J145" s="26"/>
      <c r="K145" s="102"/>
      <c r="L145" s="102"/>
      <c r="M145" s="102"/>
      <c r="N145" s="102"/>
      <c r="O145" s="93"/>
      <c r="P145" s="93"/>
      <c r="Q145" s="93"/>
      <c r="R145" s="93"/>
      <c r="S145" s="93"/>
      <c r="T145" s="93"/>
    </row>
    <row r="146" spans="1:20">
      <c r="A146" s="28">
        <v>46146</v>
      </c>
      <c r="B146" s="33" t="s">
        <v>476</v>
      </c>
      <c r="C146" s="101"/>
      <c r="D146" s="33">
        <v>3660</v>
      </c>
      <c r="E146" s="33">
        <v>3660</v>
      </c>
      <c r="F146" s="103">
        <v>46171</v>
      </c>
      <c r="G146" s="101"/>
      <c r="H146" s="25"/>
      <c r="I146" s="25"/>
      <c r="J146" s="26"/>
      <c r="K146" s="102"/>
      <c r="L146" s="102"/>
      <c r="M146" s="102"/>
      <c r="N146" s="102"/>
      <c r="O146" s="93"/>
      <c r="P146" s="93"/>
      <c r="Q146" s="93"/>
      <c r="R146" s="93"/>
      <c r="S146" s="93"/>
      <c r="T146" s="93"/>
    </row>
    <row r="147" spans="1:20">
      <c r="A147" s="100"/>
      <c r="B147" s="101"/>
      <c r="C147" s="101"/>
      <c r="D147" s="33">
        <v>7399</v>
      </c>
      <c r="E147" s="23">
        <v>3698</v>
      </c>
      <c r="F147" s="101"/>
      <c r="G147" s="101"/>
      <c r="H147" s="25"/>
      <c r="I147" s="25"/>
      <c r="J147" s="26" t="s">
        <v>179</v>
      </c>
      <c r="K147" s="102"/>
      <c r="L147" s="102"/>
      <c r="M147" s="102"/>
      <c r="N147" s="102"/>
      <c r="O147" s="93"/>
      <c r="P147" s="93"/>
      <c r="Q147" s="93"/>
      <c r="R147" s="93"/>
      <c r="S147" s="93"/>
      <c r="T147" s="93"/>
    </row>
    <row r="148" spans="1:20">
      <c r="A148" s="100"/>
      <c r="B148" s="101"/>
      <c r="C148" s="27" t="s">
        <v>478</v>
      </c>
      <c r="D148" s="101"/>
      <c r="E148" s="101"/>
      <c r="F148" s="101"/>
      <c r="G148" s="101"/>
      <c r="H148" s="25"/>
      <c r="I148" s="25"/>
      <c r="J148" s="26"/>
      <c r="K148" s="102" t="s">
        <v>609</v>
      </c>
      <c r="L148" s="102"/>
      <c r="M148" s="102"/>
      <c r="N148" s="102"/>
      <c r="O148" s="93"/>
      <c r="P148" s="93"/>
      <c r="Q148" s="93"/>
      <c r="R148" s="93"/>
      <c r="S148" s="93"/>
      <c r="T148" s="93"/>
    </row>
    <row r="149" spans="1:20">
      <c r="A149" s="28">
        <v>46111</v>
      </c>
      <c r="B149" s="33" t="s">
        <v>477</v>
      </c>
      <c r="C149" s="101"/>
      <c r="D149" s="33">
        <v>1655</v>
      </c>
      <c r="E149" s="23">
        <v>1655</v>
      </c>
      <c r="F149" s="103">
        <v>46136</v>
      </c>
      <c r="G149" s="32">
        <f ca="1">$E$2-F149</f>
        <v>28</v>
      </c>
      <c r="H149" s="25"/>
      <c r="I149" s="25"/>
      <c r="J149" s="26"/>
      <c r="K149" s="102"/>
      <c r="L149" s="102"/>
      <c r="M149" s="102"/>
      <c r="N149" s="102"/>
      <c r="O149" s="93"/>
      <c r="P149" s="93"/>
      <c r="Q149" s="93"/>
      <c r="R149" s="93"/>
      <c r="S149" s="93"/>
      <c r="T149" s="93"/>
    </row>
    <row r="150" spans="1:20">
      <c r="A150" s="28">
        <v>46121</v>
      </c>
      <c r="B150" s="33" t="s">
        <v>479</v>
      </c>
      <c r="C150" s="101"/>
      <c r="D150" s="33">
        <v>1906</v>
      </c>
      <c r="E150" s="23">
        <v>251</v>
      </c>
      <c r="F150" s="103">
        <v>46146</v>
      </c>
      <c r="G150" s="32">
        <f ca="1">$E$2-F150</f>
        <v>18</v>
      </c>
      <c r="H150" s="25"/>
      <c r="I150" s="25"/>
      <c r="J150" s="26"/>
      <c r="K150" s="102"/>
      <c r="L150" s="102"/>
      <c r="M150" s="102"/>
      <c r="N150" s="102"/>
      <c r="O150" s="93"/>
      <c r="P150" s="93"/>
      <c r="Q150" s="93"/>
      <c r="R150" s="93"/>
      <c r="S150" s="93"/>
      <c r="T150" s="93"/>
    </row>
    <row r="151" spans="1:20">
      <c r="A151" s="100"/>
      <c r="B151" s="101"/>
      <c r="C151" s="101"/>
      <c r="D151" s="33">
        <v>3561</v>
      </c>
      <c r="E151" s="23">
        <v>1906</v>
      </c>
      <c r="F151" s="101"/>
      <c r="G151" s="101"/>
      <c r="H151" s="25">
        <v>1906</v>
      </c>
      <c r="I151" s="25">
        <f>E151-H151</f>
        <v>0</v>
      </c>
      <c r="J151" s="26" t="s">
        <v>378</v>
      </c>
      <c r="K151" s="102"/>
      <c r="L151" s="102"/>
      <c r="M151" s="102"/>
      <c r="N151" s="102"/>
      <c r="O151" s="93"/>
      <c r="P151" s="93"/>
      <c r="Q151" s="93"/>
      <c r="R151" s="93"/>
      <c r="S151" s="93"/>
      <c r="T151" s="93"/>
    </row>
    <row r="152" spans="1:20">
      <c r="A152" s="100"/>
      <c r="B152" s="101"/>
      <c r="C152" s="35" t="s">
        <v>500</v>
      </c>
      <c r="D152" s="33">
        <v>905251</v>
      </c>
      <c r="E152" s="23">
        <v>837195</v>
      </c>
      <c r="F152" s="101"/>
      <c r="G152" s="101"/>
      <c r="H152" s="25"/>
      <c r="I152" s="25"/>
      <c r="J152" s="26"/>
      <c r="K152" s="102"/>
      <c r="L152" s="102"/>
      <c r="M152" s="102"/>
      <c r="N152" s="102"/>
      <c r="O152" s="93"/>
      <c r="P152" s="93"/>
      <c r="Q152" s="93"/>
      <c r="R152" s="93"/>
      <c r="S152" s="93"/>
      <c r="T152" s="93"/>
    </row>
    <row r="153" spans="1:20">
      <c r="H153" s="106"/>
      <c r="I153" s="106"/>
      <c r="J153" s="107"/>
      <c r="K153" s="107"/>
      <c r="L153" s="107"/>
      <c r="M153" s="107"/>
      <c r="N153" s="107"/>
    </row>
    <row r="154" spans="1:20">
      <c r="H154" s="106"/>
      <c r="I154" s="106"/>
      <c r="J154" s="107"/>
      <c r="K154" s="107"/>
      <c r="L154" s="107"/>
      <c r="M154" s="107"/>
      <c r="N154" s="107"/>
    </row>
    <row r="155" spans="1:20">
      <c r="H155" s="106"/>
      <c r="I155" s="106"/>
      <c r="J155" s="107"/>
      <c r="K155" s="107"/>
      <c r="L155" s="107"/>
      <c r="M155" s="107"/>
      <c r="N155" s="107"/>
    </row>
    <row r="156" spans="1:20">
      <c r="H156" s="106"/>
      <c r="I156" s="106"/>
      <c r="J156" s="107"/>
      <c r="K156" s="107"/>
      <c r="L156" s="107"/>
      <c r="M156" s="107"/>
      <c r="N156" s="107"/>
    </row>
    <row r="157" spans="1:20">
      <c r="H157" s="106"/>
      <c r="I157" s="106"/>
      <c r="J157" s="107"/>
      <c r="K157" s="107"/>
      <c r="L157" s="107"/>
      <c r="M157" s="107"/>
      <c r="N157" s="107"/>
    </row>
    <row r="158" spans="1:20">
      <c r="H158" s="106"/>
      <c r="I158" s="106"/>
      <c r="J158" s="107"/>
      <c r="K158" s="107"/>
      <c r="L158" s="107"/>
      <c r="M158" s="107"/>
      <c r="N158" s="107"/>
    </row>
    <row r="159" spans="1:20">
      <c r="H159" s="106"/>
      <c r="I159" s="106"/>
      <c r="J159" s="107"/>
      <c r="K159" s="107"/>
      <c r="L159" s="107"/>
      <c r="M159" s="107"/>
      <c r="N159" s="107"/>
    </row>
    <row r="160" spans="1:20">
      <c r="H160" s="106"/>
      <c r="I160" s="106"/>
      <c r="J160" s="107"/>
      <c r="K160" s="107"/>
      <c r="L160" s="107"/>
      <c r="M160" s="107"/>
      <c r="N160" s="107"/>
    </row>
    <row r="161" spans="8:14">
      <c r="H161" s="106"/>
      <c r="I161" s="106"/>
      <c r="J161" s="107"/>
      <c r="K161" s="107"/>
      <c r="L161" s="107"/>
      <c r="M161" s="107"/>
      <c r="N161" s="107"/>
    </row>
    <row r="162" spans="8:14">
      <c r="H162" s="106"/>
      <c r="I162" s="106"/>
      <c r="J162" s="107"/>
      <c r="K162" s="107"/>
      <c r="L162" s="107"/>
      <c r="M162" s="107"/>
      <c r="N162" s="107"/>
    </row>
    <row r="163" spans="8:14">
      <c r="H163" s="106"/>
      <c r="I163" s="106"/>
      <c r="J163" s="107"/>
      <c r="K163" s="107"/>
      <c r="L163" s="107"/>
      <c r="M163" s="107"/>
      <c r="N163" s="107"/>
    </row>
    <row r="164" spans="8:14">
      <c r="H164" s="106"/>
      <c r="I164" s="106"/>
      <c r="J164" s="107"/>
      <c r="K164" s="107"/>
      <c r="L164" s="107"/>
      <c r="M164" s="107"/>
      <c r="N164" s="107"/>
    </row>
    <row r="165" spans="8:14">
      <c r="H165" s="106"/>
      <c r="I165" s="106"/>
      <c r="J165" s="107"/>
      <c r="K165" s="107"/>
      <c r="L165" s="107"/>
      <c r="M165" s="107"/>
      <c r="N165" s="107"/>
    </row>
    <row r="166" spans="8:14">
      <c r="H166" s="106"/>
      <c r="I166" s="106"/>
      <c r="J166" s="107"/>
      <c r="K166" s="107"/>
      <c r="L166" s="107"/>
      <c r="M166" s="107"/>
      <c r="N166" s="107"/>
    </row>
    <row r="167" spans="8:14">
      <c r="H167" s="106"/>
      <c r="I167" s="106"/>
      <c r="J167" s="107"/>
      <c r="K167" s="107"/>
      <c r="L167" s="107"/>
      <c r="M167" s="107"/>
      <c r="N167" s="107"/>
    </row>
    <row r="168" spans="8:14">
      <c r="H168" s="106"/>
      <c r="I168" s="106"/>
      <c r="J168" s="107"/>
      <c r="K168" s="107"/>
      <c r="L168" s="107"/>
      <c r="M168" s="107"/>
      <c r="N168" s="107"/>
    </row>
    <row r="169" spans="8:14">
      <c r="H169" s="106"/>
      <c r="I169" s="106"/>
      <c r="J169" s="107"/>
      <c r="K169" s="107"/>
      <c r="L169" s="107"/>
      <c r="M169" s="107"/>
      <c r="N169" s="107"/>
    </row>
    <row r="170" spans="8:14">
      <c r="H170" s="106"/>
      <c r="I170" s="106"/>
      <c r="J170" s="107"/>
      <c r="K170" s="107"/>
      <c r="L170" s="107"/>
      <c r="M170" s="107"/>
      <c r="N170" s="107"/>
    </row>
    <row r="171" spans="8:14">
      <c r="H171" s="106"/>
      <c r="I171" s="106"/>
      <c r="J171" s="107"/>
      <c r="K171" s="107"/>
      <c r="L171" s="107"/>
      <c r="M171" s="107"/>
      <c r="N171" s="107"/>
    </row>
    <row r="172" spans="8:14">
      <c r="H172" s="106"/>
      <c r="I172" s="106"/>
      <c r="J172" s="107"/>
      <c r="K172" s="107"/>
      <c r="L172" s="107"/>
      <c r="M172" s="107"/>
      <c r="N172" s="107"/>
    </row>
    <row r="173" spans="8:14">
      <c r="H173" s="106"/>
      <c r="I173" s="106"/>
      <c r="J173" s="107"/>
      <c r="K173" s="107"/>
      <c r="L173" s="107"/>
      <c r="M173" s="107"/>
      <c r="N173" s="107"/>
    </row>
    <row r="174" spans="8:14">
      <c r="H174" s="106"/>
      <c r="I174" s="106"/>
      <c r="J174" s="107"/>
      <c r="K174" s="107"/>
      <c r="L174" s="107"/>
      <c r="M174" s="107"/>
      <c r="N174" s="107"/>
    </row>
    <row r="175" spans="8:14">
      <c r="H175" s="106"/>
      <c r="I175" s="106"/>
      <c r="J175" s="107"/>
      <c r="K175" s="107"/>
      <c r="L175" s="107"/>
      <c r="M175" s="107"/>
      <c r="N175" s="107"/>
    </row>
    <row r="176" spans="8:14">
      <c r="H176" s="106"/>
      <c r="I176" s="106"/>
      <c r="J176" s="107"/>
      <c r="K176" s="107"/>
      <c r="L176" s="107"/>
      <c r="M176" s="107"/>
      <c r="N176" s="107"/>
    </row>
    <row r="177" spans="8:14">
      <c r="H177" s="106"/>
      <c r="I177" s="106"/>
      <c r="J177" s="107"/>
      <c r="K177" s="107"/>
      <c r="L177" s="107"/>
      <c r="M177" s="107"/>
      <c r="N177" s="107"/>
    </row>
    <row r="178" spans="8:14">
      <c r="H178" s="106"/>
      <c r="I178" s="106"/>
      <c r="J178" s="107"/>
      <c r="K178" s="107"/>
      <c r="L178" s="107"/>
      <c r="M178" s="107"/>
      <c r="N178" s="107"/>
    </row>
    <row r="179" spans="8:14">
      <c r="H179" s="106"/>
      <c r="I179" s="106"/>
      <c r="J179" s="107"/>
      <c r="K179" s="107"/>
      <c r="L179" s="107"/>
      <c r="M179" s="107"/>
      <c r="N179" s="107"/>
    </row>
    <row r="180" spans="8:14">
      <c r="H180" s="106"/>
      <c r="I180" s="106"/>
      <c r="J180" s="107"/>
      <c r="K180" s="107"/>
      <c r="L180" s="107"/>
      <c r="M180" s="107"/>
      <c r="N180" s="107"/>
    </row>
    <row r="181" spans="8:14">
      <c r="H181" s="106"/>
      <c r="I181" s="106"/>
      <c r="J181" s="107"/>
      <c r="K181" s="107"/>
      <c r="L181" s="107"/>
      <c r="M181" s="107"/>
      <c r="N181" s="107"/>
    </row>
    <row r="182" spans="8:14">
      <c r="H182" s="106"/>
      <c r="I182" s="106"/>
      <c r="J182" s="107"/>
      <c r="K182" s="107"/>
      <c r="L182" s="107"/>
      <c r="M182" s="107"/>
      <c r="N182" s="107"/>
    </row>
    <row r="183" spans="8:14">
      <c r="H183" s="106"/>
      <c r="I183" s="106"/>
      <c r="J183" s="107"/>
      <c r="K183" s="107"/>
      <c r="L183" s="107"/>
      <c r="M183" s="107"/>
      <c r="N183" s="107"/>
    </row>
    <row r="184" spans="8:14">
      <c r="H184" s="106"/>
      <c r="I184" s="106"/>
      <c r="J184" s="107"/>
      <c r="K184" s="107"/>
      <c r="L184" s="107"/>
      <c r="M184" s="107"/>
      <c r="N184" s="107"/>
    </row>
    <row r="185" spans="8:14">
      <c r="H185" s="106"/>
      <c r="I185" s="106"/>
      <c r="J185" s="107"/>
      <c r="K185" s="107"/>
      <c r="L185" s="107"/>
      <c r="M185" s="107"/>
      <c r="N185" s="107"/>
    </row>
    <row r="186" spans="8:14">
      <c r="H186" s="106"/>
      <c r="I186" s="106"/>
      <c r="J186" s="107"/>
      <c r="K186" s="107"/>
      <c r="L186" s="107"/>
      <c r="M186" s="107"/>
      <c r="N186" s="107"/>
    </row>
    <row r="187" spans="8:14">
      <c r="H187" s="106"/>
      <c r="I187" s="106"/>
      <c r="J187" s="107"/>
      <c r="K187" s="107"/>
      <c r="L187" s="107"/>
      <c r="M187" s="107"/>
      <c r="N187" s="107"/>
    </row>
    <row r="188" spans="8:14">
      <c r="H188" s="106"/>
      <c r="I188" s="106"/>
      <c r="J188" s="107"/>
      <c r="K188" s="107"/>
      <c r="L188" s="107"/>
      <c r="M188" s="107"/>
      <c r="N188" s="107"/>
    </row>
    <row r="189" spans="8:14">
      <c r="H189" s="106"/>
      <c r="I189" s="106"/>
      <c r="J189" s="107"/>
      <c r="K189" s="107"/>
      <c r="L189" s="107"/>
      <c r="M189" s="107"/>
      <c r="N189" s="107"/>
    </row>
    <row r="190" spans="8:14">
      <c r="H190" s="106"/>
      <c r="I190" s="106"/>
      <c r="J190" s="107"/>
      <c r="K190" s="107"/>
      <c r="L190" s="107"/>
      <c r="M190" s="107"/>
      <c r="N190" s="107"/>
    </row>
    <row r="191" spans="8:14">
      <c r="H191" s="106"/>
      <c r="I191" s="106"/>
      <c r="J191" s="107"/>
      <c r="K191" s="107"/>
      <c r="L191" s="107"/>
      <c r="M191" s="107"/>
      <c r="N191" s="107"/>
    </row>
    <row r="192" spans="8:14">
      <c r="H192" s="106"/>
      <c r="I192" s="106"/>
      <c r="J192" s="107"/>
      <c r="K192" s="107"/>
      <c r="L192" s="107"/>
      <c r="M192" s="107"/>
      <c r="N192" s="107"/>
    </row>
    <row r="193" spans="8:14">
      <c r="H193" s="106"/>
      <c r="I193" s="106"/>
      <c r="J193" s="107"/>
      <c r="K193" s="107"/>
      <c r="L193" s="107"/>
      <c r="M193" s="107"/>
      <c r="N193" s="107"/>
    </row>
    <row r="194" spans="8:14">
      <c r="H194" s="106"/>
      <c r="I194" s="106"/>
      <c r="J194" s="107"/>
      <c r="K194" s="107"/>
      <c r="L194" s="107"/>
      <c r="M194" s="107"/>
      <c r="N194" s="107"/>
    </row>
    <row r="195" spans="8:14">
      <c r="H195" s="106"/>
      <c r="I195" s="106"/>
      <c r="J195" s="107"/>
      <c r="K195" s="107"/>
      <c r="L195" s="107"/>
      <c r="M195" s="107"/>
      <c r="N195" s="107"/>
    </row>
    <row r="196" spans="8:14">
      <c r="H196" s="106"/>
      <c r="I196" s="106"/>
      <c r="J196" s="107"/>
      <c r="K196" s="107"/>
      <c r="L196" s="107"/>
      <c r="M196" s="107"/>
      <c r="N196" s="107"/>
    </row>
    <row r="197" spans="8:14">
      <c r="H197" s="106"/>
      <c r="I197" s="106"/>
      <c r="J197" s="107"/>
      <c r="K197" s="107"/>
      <c r="L197" s="107"/>
      <c r="M197" s="107"/>
      <c r="N197" s="107"/>
    </row>
    <row r="198" spans="8:14">
      <c r="H198" s="106"/>
      <c r="I198" s="106"/>
      <c r="J198" s="107"/>
      <c r="K198" s="107"/>
      <c r="L198" s="107"/>
      <c r="M198" s="107"/>
      <c r="N198" s="107"/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MASTER_AR_REPORT</vt:lpstr>
      <vt:lpstr>CALLING_LIST</vt:lpstr>
      <vt:lpstr>Watches_Report</vt:lpstr>
      <vt:lpstr>Praveen_Report</vt:lpstr>
      <vt:lpstr>Mujahid_Report</vt:lpstr>
      <vt:lpstr>Vinod_Report</vt:lpstr>
      <vt:lpstr>Watches</vt:lpstr>
      <vt:lpstr>Praveen</vt:lpstr>
      <vt:lpstr>Mujahid</vt:lpstr>
      <vt:lpstr>Vinod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</dc:creator>
  <cp:lastModifiedBy>Anjani Kumar Mishra</cp:lastModifiedBy>
  <dcterms:created xsi:type="dcterms:W3CDTF">2026-05-21T15:15:13Z</dcterms:created>
  <dcterms:modified xsi:type="dcterms:W3CDTF">2026-05-22T15:40:49Z</dcterms:modified>
</cp:coreProperties>
</file>