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345" tabRatio="600" firstSheet="0" activeTab="1" autoFilterDateGrouping="1"/>
  </bookViews>
  <sheets>
    <sheet xmlns:r="http://schemas.openxmlformats.org/officeDocument/2006/relationships" name="Praveen" sheetId="1" state="visible" r:id="rId1"/>
    <sheet xmlns:r="http://schemas.openxmlformats.org/officeDocument/2006/relationships" name="Mujahid" sheetId="2" state="visible" r:id="rId2"/>
    <sheet xmlns:r="http://schemas.openxmlformats.org/officeDocument/2006/relationships" name="Vinod" sheetId="3" state="visible" r:id="rId3"/>
    <sheet xmlns:r="http://schemas.openxmlformats.org/officeDocument/2006/relationships" name="Watches" sheetId="4" state="visible" r:id="rId4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5">
    <font>
      <name val="Times New Roman"/>
      <charset val="204"/>
      <color rgb="FF000000"/>
      <sz val="10"/>
    </font>
    <font>
      <name val="Arial MT"/>
      <sz val="7.5"/>
    </font>
    <font>
      <name val="Arial"/>
      <family val="2"/>
      <b val="1"/>
      <sz val="7.5"/>
    </font>
    <font>
      <name val="Arial"/>
      <family val="2"/>
      <i val="1"/>
      <sz val="7.5"/>
    </font>
    <font>
      <name val="Arial"/>
      <family val="2"/>
      <b val="1"/>
      <color rgb="FF000000"/>
      <sz val="7.5"/>
    </font>
    <font>
      <name val="Arial MT"/>
      <family val="2"/>
      <sz val="7.5"/>
    </font>
    <font>
      <name val="Arial MT"/>
      <b val="1"/>
      <sz val="7.5"/>
    </font>
    <font>
      <name val="Arial MT"/>
      <family val="2"/>
      <b val="1"/>
      <sz val="7.5"/>
    </font>
    <font>
      <name val="Arial"/>
      <family val="2"/>
      <b val="1"/>
      <i val="1"/>
      <sz val="7.5"/>
    </font>
    <font>
      <name val="Arial"/>
      <family val="2"/>
      <b val="1"/>
      <sz val="7"/>
    </font>
    <font>
      <name val="Arial"/>
      <family val="2"/>
      <b val="1"/>
      <color rgb="FF000000"/>
      <sz val="7"/>
    </font>
    <font>
      <name val="Arial"/>
      <family val="2"/>
      <i val="1"/>
      <color rgb="FF000000"/>
      <sz val="7"/>
    </font>
    <font>
      <name val="Times New Roman"/>
      <family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7.5"/>
    </font>
    <font>
      <name val="Times New Roman"/>
      <family val="1"/>
      <b val="1"/>
      <color rgb="FF000000"/>
      <sz val="7.5"/>
    </font>
    <font>
      <name val="Arial"/>
      <family val="2"/>
      <color rgb="FF000000"/>
      <sz val="7.5"/>
    </font>
    <font>
      <name val="Arial"/>
      <family val="2"/>
      <sz val="7"/>
    </font>
    <font>
      <name val="Arial"/>
      <family val="2"/>
      <color rgb="FF000000"/>
      <sz val="7"/>
    </font>
    <font>
      <name val="Times New Roman"/>
      <family val="1"/>
      <color rgb="FF000000"/>
      <sz val="7"/>
    </font>
    <font>
      <name val="Arial"/>
      <family val="2"/>
      <b val="1"/>
      <i val="1"/>
      <sz val="7"/>
    </font>
    <font>
      <name val="Arial"/>
      <family val="2"/>
      <i val="1"/>
      <sz val="7"/>
    </font>
    <font>
      <name val="Arial"/>
      <family val="2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top" wrapText="1"/>
    </xf>
    <xf numFmtId="14" fontId="3" fillId="0" borderId="0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1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14" fontId="12" fillId="0" borderId="0" applyAlignment="1" pivotButton="0" quotePrefix="0" xfId="0">
      <alignment horizontal="left" vertical="top"/>
    </xf>
    <xf numFmtId="0" fontId="2" fillId="2" borderId="2" applyAlignment="1" pivotButton="0" quotePrefix="0" xfId="0">
      <alignment horizontal="center" vertical="top"/>
    </xf>
    <xf numFmtId="0" fontId="6" fillId="2" borderId="2" applyAlignment="1" pivotButton="0" quotePrefix="0" xfId="0">
      <alignment horizontal="center" vertical="top"/>
    </xf>
    <xf numFmtId="0" fontId="7" fillId="2" borderId="2" applyAlignment="1" pivotButton="0" quotePrefix="0" xfId="0">
      <alignment horizontal="center" vertical="top"/>
    </xf>
    <xf numFmtId="0" fontId="8" fillId="2" borderId="2" applyAlignment="1" pivotButton="0" quotePrefix="0" xfId="0">
      <alignment horizontal="center" vertical="top"/>
    </xf>
    <xf numFmtId="0" fontId="16" fillId="0" borderId="2" applyAlignment="1" pivotButton="0" quotePrefix="0" xfId="0">
      <alignment horizontal="left" vertical="top"/>
    </xf>
    <xf numFmtId="0" fontId="17" fillId="0" borderId="2" applyAlignment="1" pivotButton="0" quotePrefix="0" xfId="0">
      <alignment horizontal="left" vertical="top"/>
    </xf>
    <xf numFmtId="0" fontId="13" fillId="0" borderId="2" pivotButton="0" quotePrefix="0" xfId="0"/>
    <xf numFmtId="0" fontId="13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/>
    </xf>
    <xf numFmtId="0" fontId="20" fillId="0" borderId="2" pivotButton="0" quotePrefix="0" xfId="0"/>
    <xf numFmtId="0" fontId="20" fillId="0" borderId="2" applyAlignment="1" pivotButton="0" quotePrefix="0" xfId="0">
      <alignment horizontal="left" vertical="top"/>
    </xf>
    <xf numFmtId="0" fontId="19" fillId="0" borderId="2" applyAlignment="1" pivotButton="0" quotePrefix="0" xfId="0">
      <alignment horizontal="right" vertical="top" wrapText="1"/>
    </xf>
    <xf numFmtId="0" fontId="22" fillId="2" borderId="2" applyAlignment="1" pivotButton="0" quotePrefix="0" xfId="0">
      <alignment horizontal="center" vertical="top"/>
    </xf>
    <xf numFmtId="0" fontId="20" fillId="0" borderId="2" applyAlignment="1" pivotButton="0" quotePrefix="0" xfId="0">
      <alignment horizontal="left" wrapText="1"/>
    </xf>
    <xf numFmtId="0" fontId="23" fillId="0" borderId="2" applyAlignment="1" pivotButton="0" quotePrefix="0" xfId="0">
      <alignment horizontal="right" vertical="top" wrapText="1"/>
    </xf>
    <xf numFmtId="0" fontId="9" fillId="2" borderId="2" applyAlignment="1" pivotButton="0" quotePrefix="0" xfId="0">
      <alignment horizontal="center" vertical="top" wrapText="1"/>
    </xf>
    <xf numFmtId="0" fontId="22" fillId="2" borderId="2" applyAlignment="1" pivotButton="0" quotePrefix="0" xfId="0">
      <alignment horizontal="center" vertical="top" wrapText="1"/>
    </xf>
    <xf numFmtId="2" fontId="9" fillId="0" borderId="2" applyAlignment="1" pivotButton="0" quotePrefix="0" xfId="0">
      <alignment horizontal="right" vertical="top" wrapText="1"/>
    </xf>
    <xf numFmtId="2" fontId="20" fillId="0" borderId="2" applyAlignment="1" pivotButton="0" quotePrefix="0" xfId="0">
      <alignment horizontal="left" wrapText="1"/>
    </xf>
    <xf numFmtId="2" fontId="20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/>
    </xf>
    <xf numFmtId="0" fontId="6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 wrapText="1"/>
    </xf>
    <xf numFmtId="14" fontId="24" fillId="0" borderId="0" applyAlignment="1" pivotButton="0" quotePrefix="0" xfId="0">
      <alignment horizontal="left" vertical="top"/>
    </xf>
    <xf numFmtId="2" fontId="0" fillId="0" borderId="0" applyAlignment="1" pivotButton="0" quotePrefix="0" xfId="0">
      <alignment horizontal="left" vertical="top"/>
    </xf>
    <xf numFmtId="2" fontId="22" fillId="2" borderId="2" applyAlignment="1" pivotButton="0" quotePrefix="0" xfId="0">
      <alignment horizontal="center" vertical="top" wrapText="1"/>
    </xf>
    <xf numFmtId="2" fontId="8" fillId="2" borderId="2" applyAlignment="1" pivotButton="0" quotePrefix="0" xfId="0">
      <alignment horizontal="center" vertical="top"/>
    </xf>
    <xf numFmtId="2" fontId="20" fillId="0" borderId="2" pivotButton="0" quotePrefix="0" xfId="0"/>
    <xf numFmtId="2" fontId="21" fillId="0" borderId="0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9" fillId="2" borderId="2" applyAlignment="1" pivotButton="0" quotePrefix="0" xfId="0">
      <alignment horizontal="center" vertical="center"/>
    </xf>
    <xf numFmtId="2" fontId="22" fillId="2" borderId="2" applyAlignment="1" pivotButton="0" quotePrefix="0" xfId="0">
      <alignment horizontal="center" vertical="center"/>
    </xf>
    <xf numFmtId="0" fontId="22" fillId="2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2" fontId="20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/>
    </xf>
    <xf numFmtId="164" fontId="10" fillId="0" borderId="2" applyAlignment="1" pivotButton="0" quotePrefix="0" xfId="0">
      <alignment horizontal="left" vertical="center" shrinkToFit="1"/>
    </xf>
    <xf numFmtId="0" fontId="19" fillId="0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right" vertical="center" wrapText="1"/>
    </xf>
    <xf numFmtId="164" fontId="20" fillId="0" borderId="2" applyAlignment="1" pivotButton="0" quotePrefix="0" xfId="0">
      <alignment horizontal="right" vertical="center" shrinkToFit="1"/>
    </xf>
    <xf numFmtId="1" fontId="11" fillId="0" borderId="2" applyAlignment="1" pivotButton="0" quotePrefix="0" xfId="0">
      <alignment horizontal="right" vertical="center" shrinkToFit="1"/>
    </xf>
    <xf numFmtId="164" fontId="20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15" fontId="4" fillId="0" borderId="2" applyAlignment="1" pivotButton="0" quotePrefix="0" xfId="0">
      <alignment horizontal="left" vertical="center"/>
    </xf>
    <xf numFmtId="15" fontId="18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4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left" vertical="center"/>
    </xf>
    <xf numFmtId="0" fontId="23" fillId="0" borderId="2" applyAlignment="1" pivotButton="0" quotePrefix="0" xfId="0">
      <alignment horizontal="right" vertical="center" wrapText="1"/>
    </xf>
    <xf numFmtId="2" fontId="10" fillId="0" borderId="2" applyAlignment="1" pivotButton="0" quotePrefix="0" xfId="0">
      <alignment horizontal="right" vertical="center" shrinkToFit="1"/>
    </xf>
    <xf numFmtId="2" fontId="20" fillId="0" borderId="2" applyAlignment="1" pivotButton="0" quotePrefix="0" xfId="0">
      <alignment horizontal="right" vertical="center" shrinkToFit="1"/>
    </xf>
    <xf numFmtId="0" fontId="9" fillId="0" borderId="2" applyAlignment="1" pivotButton="0" quotePrefix="0" xfId="0">
      <alignment horizontal="left" wrapText="1"/>
    </xf>
    <xf numFmtId="2" fontId="20" fillId="0" borderId="2" applyAlignment="1" pivotButton="0" quotePrefix="0" xfId="0">
      <alignment horizontal="left"/>
    </xf>
    <xf numFmtId="0" fontId="2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164" fontId="10" fillId="0" borderId="2" applyAlignment="1" pivotButton="0" quotePrefix="0" xfId="0">
      <alignment horizontal="left" shrinkToFit="1"/>
    </xf>
    <xf numFmtId="0" fontId="19" fillId="0" borderId="2" applyAlignment="1" pivotButton="0" quotePrefix="0" xfId="0">
      <alignment horizontal="left" wrapText="1"/>
    </xf>
    <xf numFmtId="2" fontId="19" fillId="0" borderId="2" applyAlignment="1" pivotButton="0" quotePrefix="0" xfId="0">
      <alignment horizontal="right" wrapText="1"/>
    </xf>
    <xf numFmtId="2" fontId="9" fillId="0" borderId="2" applyAlignment="1" pivotButton="0" quotePrefix="0" xfId="0">
      <alignment horizontal="right" wrapText="1"/>
    </xf>
    <xf numFmtId="164" fontId="20" fillId="0" borderId="2" applyAlignment="1" pivotButton="0" quotePrefix="0" xfId="0">
      <alignment horizontal="right" shrinkToFit="1"/>
    </xf>
    <xf numFmtId="1" fontId="11" fillId="0" borderId="2" applyAlignment="1" pivotButton="0" quotePrefix="0" xfId="0">
      <alignment horizontal="right" shrinkToFit="1"/>
    </xf>
    <xf numFmtId="0" fontId="19" fillId="0" borderId="2" applyAlignment="1" pivotButton="0" quotePrefix="0" xfId="0">
      <alignment horizontal="right" wrapText="1"/>
    </xf>
    <xf numFmtId="0" fontId="20" fillId="7" borderId="2" applyAlignment="1" pivotButton="0" quotePrefix="0" xfId="0">
      <alignment horizontal="left"/>
    </xf>
    <xf numFmtId="0" fontId="9" fillId="6" borderId="2" applyAlignment="1" pivotButton="0" quotePrefix="0" xfId="0">
      <alignment horizontal="left" wrapText="1"/>
    </xf>
    <xf numFmtId="0" fontId="20" fillId="6" borderId="2" applyAlignment="1" pivotButton="0" quotePrefix="0" xfId="0">
      <alignment horizontal="left"/>
    </xf>
    <xf numFmtId="0" fontId="9" fillId="3" borderId="2" applyAlignment="1" pivotButton="0" quotePrefix="0" xfId="0">
      <alignment horizontal="left" wrapText="1"/>
    </xf>
    <xf numFmtId="0" fontId="9" fillId="0" borderId="2" applyAlignment="1" pivotButton="0" quotePrefix="0" xfId="0">
      <alignment horizontal="right" wrapText="1"/>
    </xf>
    <xf numFmtId="0" fontId="4" fillId="0" borderId="2" applyAlignment="1" pivotButton="0" quotePrefix="0" xfId="0">
      <alignment horizontal="center"/>
    </xf>
    <xf numFmtId="2" fontId="20" fillId="5" borderId="2" applyAlignment="1" pivotButton="0" quotePrefix="0" xfId="0">
      <alignment horizontal="left"/>
    </xf>
    <xf numFmtId="2" fontId="20" fillId="6" borderId="2" applyAlignment="1" pivotButton="0" quotePrefix="0" xfId="0">
      <alignment horizontal="left"/>
    </xf>
    <xf numFmtId="0" fontId="9" fillId="2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/>
    </xf>
    <xf numFmtId="0" fontId="20" fillId="8" borderId="2" applyAlignment="1" pivotButton="0" quotePrefix="0" xfId="0">
      <alignment horizontal="left"/>
    </xf>
    <xf numFmtId="0" fontId="19" fillId="8" borderId="2" applyAlignment="1" pivotButton="0" quotePrefix="0" xfId="0">
      <alignment horizontal="left" wrapText="1"/>
    </xf>
    <xf numFmtId="0" fontId="20" fillId="9" borderId="2" applyAlignment="1" pivotButton="0" quotePrefix="0" xfId="0">
      <alignment horizontal="left"/>
    </xf>
    <xf numFmtId="0" fontId="9" fillId="1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 indent="12"/>
    </xf>
    <xf numFmtId="0" fontId="0" fillId="0" borderId="0" applyAlignment="1" pivotButton="0" quotePrefix="0" xfId="0">
      <alignment horizontal="center" wrapText="1"/>
    </xf>
    <xf numFmtId="0" fontId="2" fillId="0" borderId="2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8" fillId="8" borderId="2" applyAlignment="1" pivotButton="0" quotePrefix="0" xfId="0">
      <alignment horizontal="left" vertical="center"/>
    </xf>
    <xf numFmtId="0" fontId="0" fillId="0" borderId="6" pivotButton="0" quotePrefix="0" xfId="0"/>
    <xf numFmtId="0" fontId="22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1" pivotButton="0" quotePrefix="0" xfId="0"/>
    <xf numFmtId="0" fontId="2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81"/>
  <sheetViews>
    <sheetView showGridLines="0" topLeftCell="A15" zoomScale="118" zoomScaleNormal="118" workbookViewId="0">
      <selection activeCell="C64" sqref="C64"/>
    </sheetView>
  </sheetViews>
  <sheetFormatPr baseColWidth="8" defaultRowHeight="12.75"/>
  <cols>
    <col width="10.33203125" bestFit="1" customWidth="1" style="7" min="1" max="1"/>
    <col width="19.83203125" customWidth="1" style="68" min="2" max="2"/>
    <col width="46.1640625" bestFit="1" customWidth="1" style="5" min="3" max="3"/>
    <col width="12.6640625" bestFit="1" customWidth="1" style="5" min="4" max="4"/>
    <col width="10.5" bestFit="1" customWidth="1" style="5" min="5" max="5"/>
    <col width="8.5" bestFit="1" customWidth="1" style="5" min="6" max="6"/>
    <col width="13.1640625" customWidth="1" style="5" min="7" max="7"/>
    <col width="11" bestFit="1" customWidth="1" style="38" min="8" max="8"/>
    <col width="14" bestFit="1" customWidth="1" style="38" min="9" max="9"/>
    <col width="35.1640625" bestFit="1" customWidth="1" style="5" min="10" max="10"/>
    <col width="42.1640625" bestFit="1" customWidth="1" style="5" min="11" max="11"/>
  </cols>
  <sheetData>
    <row r="1" ht="11.1" customHeight="1" s="5">
      <c r="A1" s="4" t="inlineStr">
        <is>
          <t>Group:</t>
        </is>
      </c>
      <c r="B1" s="102" t="inlineStr">
        <is>
          <t>Nazeeb / Praveen</t>
        </is>
      </c>
      <c r="C1" s="110" t="n"/>
      <c r="D1" s="104" t="n"/>
    </row>
    <row r="2" ht="11.1" customHeight="1" s="5">
      <c r="A2" s="4" t="inlineStr">
        <is>
          <t>Details of:</t>
        </is>
      </c>
      <c r="B2" s="102" t="inlineStr">
        <is>
          <t>Pending Bills</t>
        </is>
      </c>
      <c r="C2" s="110" t="n"/>
      <c r="D2" s="2" t="inlineStr">
        <is>
          <t>Today Date:</t>
        </is>
      </c>
      <c r="E2" s="3">
        <f>TODAY()</f>
        <v/>
      </c>
      <c r="F2" s="1" t="n"/>
      <c r="G2" s="1" t="n"/>
    </row>
    <row r="3" ht="4.5" customFormat="1" customHeight="1" s="105"/>
    <row r="4" ht="11.1" customHeight="1" s="5">
      <c r="A4" s="27" t="inlineStr">
        <is>
          <t>Date</t>
        </is>
      </c>
      <c r="B4" s="96" t="inlineStr">
        <is>
          <t>Ref. No.</t>
        </is>
      </c>
      <c r="C4" s="27" t="inlineStr">
        <is>
          <t>Party's Name</t>
        </is>
      </c>
      <c r="D4" s="27" t="inlineStr">
        <is>
          <t>Opening Amt</t>
        </is>
      </c>
      <c r="E4" s="27" t="inlineStr">
        <is>
          <t>Total Amt</t>
        </is>
      </c>
      <c r="F4" s="27" t="inlineStr">
        <is>
          <t>Due on</t>
        </is>
      </c>
      <c r="G4" s="28" t="inlineStr">
        <is>
          <t>Days Overdue</t>
        </is>
      </c>
      <c r="H4" s="39" t="inlineStr">
        <is>
          <t>Paid Amt</t>
        </is>
      </c>
      <c r="I4" s="39" t="inlineStr">
        <is>
          <t>Pending Amt</t>
        </is>
      </c>
      <c r="J4" s="24" t="inlineStr">
        <is>
          <t>Remark (5/20)</t>
        </is>
      </c>
      <c r="K4" s="24" t="inlineStr">
        <is>
          <t>Remark (5/21)</t>
        </is>
      </c>
      <c r="L4" s="111" t="inlineStr">
        <is>
          <t>Last Follow-up Notes</t>
        </is>
      </c>
    </row>
    <row r="5" ht="11.1" customHeight="1" s="5">
      <c r="A5" s="25" t="n"/>
      <c r="B5" s="66" t="n"/>
      <c r="C5" s="25" t="n"/>
      <c r="D5" s="23" t="n"/>
      <c r="E5" s="29" t="n"/>
      <c r="F5" s="25" t="n"/>
      <c r="G5" s="26" t="n"/>
      <c r="H5" s="31" t="n"/>
      <c r="I5" s="31" t="n"/>
      <c r="J5" s="22" t="n"/>
      <c r="K5" s="43" t="n"/>
    </row>
    <row r="6" ht="11.1" customHeight="1" s="5">
      <c r="A6" s="25" t="n"/>
      <c r="B6" s="25" t="n"/>
      <c r="C6" s="77" t="inlineStr">
        <is>
          <t>AMBIKA STATIONERY</t>
        </is>
      </c>
      <c r="D6" s="25" t="n"/>
      <c r="E6" s="30" t="n"/>
      <c r="F6" s="25" t="n"/>
      <c r="G6" s="25" t="n"/>
      <c r="H6" s="78" t="n"/>
      <c r="I6" s="78" t="n"/>
      <c r="J6" s="79" t="n"/>
      <c r="K6" s="80" t="n"/>
      <c r="L6" s="7" t="inlineStr">
        <is>
          <t>NUMBER BUSY | HEWILL PAYNOW | HE WILL PAY AND SEND THE DETAILS | NUMBER BUSY</t>
        </is>
      </c>
    </row>
    <row r="7" ht="11.1" customHeight="1" s="5">
      <c r="A7" s="81" t="n">
        <v>46095</v>
      </c>
      <c r="B7" s="82" t="inlineStr">
        <is>
          <t>C-SLG/2384/25-26</t>
        </is>
      </c>
      <c r="C7" s="25" t="n"/>
      <c r="D7" s="83" t="n">
        <v>8075</v>
      </c>
      <c r="E7" s="84" t="n">
        <v>8075</v>
      </c>
      <c r="F7" s="85" t="n">
        <v>46120</v>
      </c>
      <c r="G7" s="86">
        <f>$E$2-F7</f>
        <v/>
      </c>
      <c r="H7" s="78" t="n"/>
      <c r="I7" s="78">
        <f>E7-H7</f>
        <v/>
      </c>
      <c r="J7" s="78" t="inlineStr">
        <is>
          <t>Number Busy</t>
        </is>
      </c>
      <c r="K7" s="78" t="inlineStr">
        <is>
          <t>Number Busy</t>
        </is>
      </c>
    </row>
    <row r="8" ht="11.1" customHeight="1" s="5">
      <c r="A8" s="25" t="n"/>
      <c r="B8" s="25" t="n"/>
      <c r="C8" s="25" t="n"/>
      <c r="D8" s="87" t="n">
        <v>8075</v>
      </c>
      <c r="E8" s="84" t="n">
        <v>8075</v>
      </c>
      <c r="F8" s="25" t="n"/>
      <c r="G8" s="25" t="n"/>
      <c r="H8" s="78" t="n"/>
      <c r="I8" s="78" t="n"/>
      <c r="J8" s="79" t="n"/>
      <c r="K8" s="80" t="n"/>
    </row>
    <row r="9" ht="11.1" customHeight="1" s="5">
      <c r="A9" s="25" t="n"/>
      <c r="B9" s="25" t="n"/>
      <c r="C9" s="77" t="inlineStr">
        <is>
          <t>BEST ENTERPRISES</t>
        </is>
      </c>
      <c r="D9" s="25" t="n"/>
      <c r="E9" s="30" t="n"/>
      <c r="F9" s="25" t="n"/>
      <c r="G9" s="25" t="n"/>
      <c r="H9" s="78" t="n"/>
      <c r="I9" s="78" t="n"/>
      <c r="J9" s="79" t="n"/>
      <c r="K9" s="80" t="n"/>
      <c r="L9" s="7" t="inlineStr">
        <is>
          <t>RINGING NOT RESPONDING | NUMBER NOT CONNETED | NUMBER NOT CONNETED | WE HAVE MSG INWATTUP | month end HEWILL CLEAR | NUMBER BUSY</t>
        </is>
      </c>
    </row>
    <row r="10" ht="11.1" customHeight="1" s="5">
      <c r="A10" s="81" t="n">
        <v>45996</v>
      </c>
      <c r="B10" s="82" t="inlineStr">
        <is>
          <t>C-SLG/1844/25-26</t>
        </is>
      </c>
      <c r="C10" s="25" t="n"/>
      <c r="D10" s="87" t="n">
        <v>30511</v>
      </c>
      <c r="E10" s="84" t="n">
        <v>30511</v>
      </c>
      <c r="F10" s="85" t="n">
        <v>46021</v>
      </c>
      <c r="G10" s="86">
        <f>$E$2-F10</f>
        <v/>
      </c>
      <c r="H10" s="78" t="n"/>
      <c r="I10" s="78">
        <f>E10-H10</f>
        <v/>
      </c>
      <c r="J10" s="88" t="inlineStr">
        <is>
          <t>Customer Out of Station - Month end he will Pay</t>
        </is>
      </c>
      <c r="K10" s="80" t="n"/>
    </row>
    <row r="11" ht="11.1" customHeight="1" s="5">
      <c r="A11" s="25" t="n"/>
      <c r="B11" s="25" t="n"/>
      <c r="C11" s="25" t="n"/>
      <c r="D11" s="87" t="n">
        <v>30511</v>
      </c>
      <c r="E11" s="84" t="n">
        <v>30511</v>
      </c>
      <c r="F11" s="25" t="n"/>
      <c r="G11" s="25" t="n"/>
      <c r="H11" s="78" t="n"/>
      <c r="I11" s="78" t="n"/>
      <c r="J11" s="79" t="n"/>
      <c r="K11" s="80" t="n"/>
    </row>
    <row r="12" ht="11.1" customHeight="1" s="5">
      <c r="A12" s="25" t="n"/>
      <c r="B12" s="25" t="n"/>
      <c r="C12" s="77" t="inlineStr">
        <is>
          <t>Bhavani Stationery and Gift</t>
        </is>
      </c>
      <c r="D12" s="25" t="n"/>
      <c r="E12" s="30" t="n"/>
      <c r="F12" s="25" t="n"/>
      <c r="G12" s="25" t="n"/>
      <c r="H12" s="78" t="n"/>
      <c r="I12" s="78" t="n"/>
      <c r="J12" s="79" t="n"/>
      <c r="K12" s="80" t="n"/>
      <c r="L12" s="7" t="inlineStr">
        <is>
          <t>NUMBER BUSY | HEWILL PAY TOMMROW SEND PERSON | WILL DO PAYMENT</t>
        </is>
      </c>
    </row>
    <row r="13" ht="11.1" customHeight="1" s="5">
      <c r="A13" s="81" t="n">
        <v>46105</v>
      </c>
      <c r="B13" s="82" t="inlineStr">
        <is>
          <t>C-SLG/2429/25-26</t>
        </is>
      </c>
      <c r="C13" s="25" t="n"/>
      <c r="D13" s="87" t="n">
        <v>1186</v>
      </c>
      <c r="E13" s="84" t="n">
        <v>1186</v>
      </c>
      <c r="F13" s="85" t="n">
        <v>46130</v>
      </c>
      <c r="G13" s="86">
        <f>$E$2-F13</f>
        <v/>
      </c>
      <c r="H13" s="78" t="n"/>
      <c r="I13" s="78" t="n"/>
      <c r="J13" s="79" t="n"/>
      <c r="K13" s="80" t="n"/>
    </row>
    <row r="14" ht="11.1" customHeight="1" s="5">
      <c r="A14" s="81" t="n">
        <v>46156</v>
      </c>
      <c r="B14" s="82" t="inlineStr">
        <is>
          <t>C-SLG/0125/26-27</t>
        </is>
      </c>
      <c r="C14" s="25" t="n"/>
      <c r="D14" s="87" t="n">
        <v>2941</v>
      </c>
      <c r="E14" s="84" t="n">
        <v>2941</v>
      </c>
      <c r="F14" s="85" t="n">
        <v>46181</v>
      </c>
      <c r="G14" s="25" t="n"/>
      <c r="H14" s="78" t="n"/>
      <c r="I14" s="78" t="n"/>
      <c r="J14" s="79" t="n"/>
      <c r="K14" s="80" t="n"/>
    </row>
    <row r="15" ht="11.1" customHeight="1" s="5">
      <c r="A15" s="25" t="n"/>
      <c r="B15" s="25" t="n"/>
      <c r="C15" s="25" t="n"/>
      <c r="D15" s="87" t="n">
        <v>4127</v>
      </c>
      <c r="E15" s="84" t="n">
        <v>4127</v>
      </c>
      <c r="F15" s="25" t="n"/>
      <c r="G15" s="25" t="n"/>
      <c r="H15" s="78" t="n">
        <v>4127</v>
      </c>
      <c r="I15" s="78">
        <f>E15-H15</f>
        <v/>
      </c>
      <c r="J15" s="79" t="inlineStr">
        <is>
          <t>Paid by Cheque</t>
        </is>
      </c>
      <c r="K15" s="80" t="n"/>
    </row>
    <row r="16" ht="11.1" customHeight="1" s="5">
      <c r="A16" s="25" t="n"/>
      <c r="B16" s="25" t="n"/>
      <c r="C16" s="77" t="inlineStr">
        <is>
          <t>Dachapally Book Centre</t>
        </is>
      </c>
      <c r="D16" s="25" t="n"/>
      <c r="E16" s="30" t="n"/>
      <c r="F16" s="25" t="n"/>
      <c r="G16" s="25" t="n"/>
      <c r="H16" s="78" t="n"/>
      <c r="I16" s="78" t="n"/>
      <c r="J16" s="79" t="n"/>
      <c r="K16" s="80" t="n"/>
    </row>
    <row r="17" ht="11.1" customHeight="1" s="5">
      <c r="A17" s="81" t="n">
        <v>46105</v>
      </c>
      <c r="B17" s="82" t="inlineStr">
        <is>
          <t>C-SLG/2427/25-26</t>
        </is>
      </c>
      <c r="C17" s="25" t="n"/>
      <c r="D17" s="87" t="n">
        <v>5152</v>
      </c>
      <c r="E17" s="84" t="n">
        <v>5152</v>
      </c>
      <c r="F17" s="85" t="n">
        <v>46130</v>
      </c>
      <c r="G17" s="86">
        <f>$E$2-F17</f>
        <v/>
      </c>
      <c r="H17" s="78" t="n"/>
      <c r="I17" s="78">
        <f>E17-H17</f>
        <v/>
      </c>
      <c r="J17" s="79" t="inlineStr">
        <is>
          <t>No Number available - Send DSO</t>
        </is>
      </c>
      <c r="K17" s="80" t="n"/>
    </row>
    <row r="18" ht="11.1" customHeight="1" s="5">
      <c r="A18" s="25" t="n"/>
      <c r="B18" s="25" t="n"/>
      <c r="C18" s="25" t="n"/>
      <c r="D18" s="87" t="n">
        <v>5152</v>
      </c>
      <c r="E18" s="84" t="n">
        <v>5152</v>
      </c>
      <c r="F18" s="25" t="n"/>
      <c r="G18" s="25" t="n"/>
      <c r="H18" s="78" t="n"/>
      <c r="I18" s="78" t="n"/>
      <c r="J18" s="79" t="n"/>
      <c r="K18" s="80" t="n"/>
    </row>
    <row r="19" ht="11.1" customHeight="1" s="5">
      <c r="A19" s="25" t="n"/>
      <c r="B19" s="25" t="n"/>
      <c r="C19" s="77" t="inlineStr">
        <is>
          <t>Deccan Book Depot and Stationery</t>
        </is>
      </c>
      <c r="D19" s="25" t="n"/>
      <c r="E19" s="30" t="n"/>
      <c r="F19" s="25" t="n"/>
      <c r="G19" s="25" t="n"/>
      <c r="H19" s="78" t="n"/>
      <c r="I19" s="78" t="n"/>
      <c r="J19" s="79" t="n"/>
      <c r="K19" s="80" t="n"/>
      <c r="L19" s="7" t="inlineStr">
        <is>
          <t>2900 ISSUE NOT RESOVLED</t>
        </is>
      </c>
    </row>
    <row r="20" ht="11.1" customHeight="1" s="5">
      <c r="A20" s="81" t="n">
        <v>45975</v>
      </c>
      <c r="B20" s="82" t="inlineStr">
        <is>
          <t>C-SLG/1655/25-26</t>
        </is>
      </c>
      <c r="C20" s="25" t="n"/>
      <c r="D20" s="87" t="n">
        <v>3540</v>
      </c>
      <c r="E20" s="84" t="n">
        <v>2900</v>
      </c>
      <c r="F20" s="85" t="n">
        <v>46000</v>
      </c>
      <c r="G20" s="86">
        <f>$E$2-F20</f>
        <v/>
      </c>
      <c r="H20" s="78" t="n"/>
      <c r="I20" s="78">
        <f>E20-H20</f>
        <v/>
      </c>
      <c r="J20" s="98" t="inlineStr">
        <is>
          <t>Send DSO with Sign Copies</t>
        </is>
      </c>
      <c r="K20" s="80" t="n"/>
    </row>
    <row r="21" ht="11.1" customHeight="1" s="5">
      <c r="A21" s="81" t="n">
        <v>46069</v>
      </c>
      <c r="B21" s="82" t="inlineStr">
        <is>
          <t>C-SLG/2235/25-26</t>
        </is>
      </c>
      <c r="C21" s="25" t="n"/>
      <c r="D21" s="87" t="n">
        <v>2044</v>
      </c>
      <c r="E21" s="84" t="n">
        <v>2044</v>
      </c>
      <c r="F21" s="85" t="n">
        <v>46094</v>
      </c>
      <c r="G21" s="86">
        <f>$E$2-F21</f>
        <v/>
      </c>
      <c r="H21" s="78" t="n"/>
      <c r="I21" s="78">
        <f>E21-H21</f>
        <v/>
      </c>
      <c r="J21" s="98" t="inlineStr">
        <is>
          <t>Send DSO with Sign Copies</t>
        </is>
      </c>
      <c r="K21" s="80" t="n"/>
    </row>
    <row r="22" ht="11.1" customHeight="1" s="5">
      <c r="A22" s="25" t="n"/>
      <c r="B22" s="25" t="n"/>
      <c r="C22" s="25" t="n"/>
      <c r="D22" s="87" t="n">
        <v>5584</v>
      </c>
      <c r="E22" s="84" t="n">
        <v>4944</v>
      </c>
      <c r="F22" s="25" t="n"/>
      <c r="G22" s="25" t="n"/>
      <c r="H22" s="78" t="n"/>
      <c r="I22" s="78" t="n"/>
      <c r="J22" s="79" t="n"/>
      <c r="K22" s="80" t="n"/>
    </row>
    <row r="23" ht="11.1" customHeight="1" s="5">
      <c r="A23" s="25" t="n"/>
      <c r="B23" s="25" t="n"/>
      <c r="C23" s="77" t="inlineStr">
        <is>
          <t>Dilip Super Market (Manikonda)</t>
        </is>
      </c>
      <c r="D23" s="25" t="n"/>
      <c r="E23" s="30" t="n"/>
      <c r="F23" s="25" t="n"/>
      <c r="G23" s="25" t="n"/>
      <c r="H23" s="78" t="n"/>
      <c r="I23" s="78" t="n"/>
      <c r="J23" s="79" t="n"/>
      <c r="K23" s="80" t="n"/>
    </row>
    <row r="24" ht="11.1" customHeight="1" s="5">
      <c r="A24" s="81" t="n">
        <v>46088</v>
      </c>
      <c r="B24" s="82" t="inlineStr">
        <is>
          <t>C-SLG/2344/25-26</t>
        </is>
      </c>
      <c r="C24" s="25" t="n"/>
      <c r="D24" s="87" t="n">
        <v>2472</v>
      </c>
      <c r="E24" s="84" t="n">
        <v>2472</v>
      </c>
      <c r="F24" s="85" t="n">
        <v>46113</v>
      </c>
      <c r="G24" s="86">
        <f>$E$2-F24</f>
        <v/>
      </c>
      <c r="H24" s="78" t="n"/>
      <c r="I24" s="78">
        <f>E24-H24</f>
        <v/>
      </c>
      <c r="J24" s="79" t="inlineStr">
        <is>
          <t>He will inform to his Sir</t>
        </is>
      </c>
      <c r="K24" s="79" t="inlineStr">
        <is>
          <t>Next month send DSO for Cash - Customer Out of Station</t>
        </is>
      </c>
    </row>
    <row r="25" ht="11.1" customHeight="1" s="5">
      <c r="A25" s="25" t="n"/>
      <c r="B25" s="25" t="n"/>
      <c r="C25" s="25" t="n"/>
      <c r="D25" s="87" t="n">
        <v>2472</v>
      </c>
      <c r="E25" s="84" t="n">
        <v>2472</v>
      </c>
      <c r="F25" s="25" t="n"/>
      <c r="G25" s="25" t="n"/>
      <c r="H25" s="78" t="n"/>
      <c r="I25" s="78" t="n"/>
      <c r="J25" s="79" t="n"/>
      <c r="K25" s="80" t="n"/>
    </row>
    <row r="26" ht="11.1" customHeight="1" s="5">
      <c r="A26" s="25" t="n"/>
      <c r="B26" s="25" t="n"/>
      <c r="C26" s="77" t="inlineStr">
        <is>
          <t>Ever Green Book Centre</t>
        </is>
      </c>
      <c r="D26" s="25" t="n"/>
      <c r="E26" s="30" t="n"/>
      <c r="F26" s="25" t="n"/>
      <c r="G26" s="25" t="n"/>
      <c r="H26" s="78" t="n"/>
      <c r="I26" s="78" t="n"/>
      <c r="J26" s="79" t="n"/>
      <c r="K26" s="79" t="inlineStr">
        <is>
          <t>Number Busy</t>
        </is>
      </c>
    </row>
    <row r="27" ht="11.1" customHeight="1" s="5">
      <c r="A27" s="81" t="n">
        <v>46105</v>
      </c>
      <c r="B27" s="82" t="inlineStr">
        <is>
          <t>C-SLG/2432/25-25</t>
        </is>
      </c>
      <c r="C27" s="25" t="n"/>
      <c r="D27" s="87" t="n">
        <v>381</v>
      </c>
      <c r="E27" s="84" t="n">
        <v>381</v>
      </c>
      <c r="F27" s="85" t="n">
        <v>46130</v>
      </c>
      <c r="G27" s="86">
        <f>$E$2-F27</f>
        <v/>
      </c>
      <c r="H27" s="78" t="n"/>
      <c r="I27" s="78">
        <f>E27-H27</f>
        <v/>
      </c>
      <c r="J27" s="79" t="n"/>
      <c r="K27" s="79" t="inlineStr">
        <is>
          <t>Number Busy</t>
        </is>
      </c>
    </row>
    <row r="28" ht="11.1" customHeight="1" s="5">
      <c r="A28" s="81" t="n">
        <v>46123</v>
      </c>
      <c r="B28" s="82" t="inlineStr">
        <is>
          <t>C-SLG/0029/26-27</t>
        </is>
      </c>
      <c r="C28" s="25" t="n"/>
      <c r="D28" s="87" t="n">
        <v>8874</v>
      </c>
      <c r="E28" s="84" t="n">
        <v>8874</v>
      </c>
      <c r="F28" s="85" t="n">
        <v>46148</v>
      </c>
      <c r="G28" s="86">
        <f>$E$2-F28</f>
        <v/>
      </c>
      <c r="H28" s="78" t="n"/>
      <c r="I28" s="78">
        <f>E28-H28</f>
        <v/>
      </c>
      <c r="J28" s="79" t="n"/>
      <c r="K28" s="79" t="inlineStr">
        <is>
          <t>Number Busy</t>
        </is>
      </c>
    </row>
    <row r="29" ht="11.1" customHeight="1" s="5">
      <c r="A29" s="25" t="n"/>
      <c r="B29" s="25" t="n"/>
      <c r="C29" s="25" t="n"/>
      <c r="D29" s="87" t="n">
        <v>9255</v>
      </c>
      <c r="E29" s="84" t="n">
        <v>9255</v>
      </c>
      <c r="F29" s="25" t="n"/>
      <c r="G29" s="25" t="n"/>
      <c r="H29" s="78" t="n"/>
      <c r="I29" s="78" t="n"/>
      <c r="J29" s="79" t="n"/>
      <c r="K29" s="80" t="n"/>
    </row>
    <row r="30" ht="11.1" customHeight="1" s="5">
      <c r="A30" s="25" t="n"/>
      <c r="B30" s="25" t="n"/>
      <c r="C30" s="77" t="inlineStr">
        <is>
          <t>GLOBAL STATIONERY</t>
        </is>
      </c>
      <c r="D30" s="25" t="n"/>
      <c r="E30" s="30" t="n"/>
      <c r="F30" s="25" t="n"/>
      <c r="G30" s="25" t="n"/>
      <c r="H30" s="78" t="n"/>
      <c r="I30" s="78" t="n"/>
      <c r="J30" s="79" t="n"/>
      <c r="K30" s="80" t="n"/>
      <c r="L30" s="7" t="inlineStr">
        <is>
          <t>SENDBILL IN WATTUP HEWILLPAY | PAID</t>
        </is>
      </c>
    </row>
    <row r="31" ht="11.1" customHeight="1" s="5">
      <c r="A31" s="81" t="n">
        <v>46104</v>
      </c>
      <c r="B31" s="82" t="inlineStr">
        <is>
          <t>C-SLG/2419/25-26</t>
        </is>
      </c>
      <c r="C31" s="25" t="n"/>
      <c r="D31" s="87" t="n">
        <v>1982</v>
      </c>
      <c r="E31" s="84" t="n">
        <v>2</v>
      </c>
      <c r="F31" s="85" t="n">
        <v>46129</v>
      </c>
      <c r="G31" s="86">
        <f>$E$2-F31</f>
        <v/>
      </c>
      <c r="H31" s="78" t="n"/>
      <c r="I31" s="78">
        <f>E31-H31</f>
        <v/>
      </c>
      <c r="J31" s="79" t="n"/>
      <c r="K31" s="80" t="n"/>
    </row>
    <row r="32" ht="11.1" customHeight="1" s="5">
      <c r="A32" s="25" t="n"/>
      <c r="B32" s="25" t="n"/>
      <c r="C32" s="25" t="n"/>
      <c r="D32" s="87" t="n">
        <v>1982</v>
      </c>
      <c r="E32" s="84" t="n">
        <v>2</v>
      </c>
      <c r="F32" s="25" t="n"/>
      <c r="G32" s="25" t="n"/>
      <c r="H32" s="78" t="n"/>
      <c r="I32" s="78" t="n"/>
      <c r="J32" s="79" t="n"/>
      <c r="K32" s="80" t="n"/>
    </row>
    <row r="33" ht="11.1" customHeight="1" s="5">
      <c r="A33" s="25" t="n"/>
      <c r="B33" s="25" t="n"/>
      <c r="C33" s="77" t="inlineStr">
        <is>
          <t>GS Enterprises</t>
        </is>
      </c>
      <c r="D33" s="25" t="n"/>
      <c r="E33" s="30" t="n"/>
      <c r="F33" s="25" t="n"/>
      <c r="G33" s="25" t="n"/>
      <c r="H33" s="78" t="n"/>
      <c r="I33" s="78" t="n"/>
      <c r="J33" s="79" t="n"/>
      <c r="K33" s="80" t="n"/>
      <c r="L33" s="7" t="inlineStr">
        <is>
          <t>number not their | TODAY SEND THE PERSON FOR PAYMENT | 3days | SHAKEEL  HE WILL COLLECT | SHKEEL WILL COLLECT PAYMENT</t>
        </is>
      </c>
    </row>
    <row r="34" ht="11.1" customHeight="1" s="5">
      <c r="A34" s="81" t="n">
        <v>46095</v>
      </c>
      <c r="B34" s="82" t="inlineStr">
        <is>
          <t>C-SLG/2385/25-26</t>
        </is>
      </c>
      <c r="C34" s="25" t="n"/>
      <c r="D34" s="87" t="n">
        <v>2561</v>
      </c>
      <c r="E34" s="84" t="n">
        <v>2561</v>
      </c>
      <c r="F34" s="85" t="n">
        <v>46120</v>
      </c>
      <c r="G34" s="86">
        <f>$E$2-F34</f>
        <v/>
      </c>
      <c r="H34" s="78" t="n"/>
      <c r="I34" s="78">
        <f>E34-H34</f>
        <v/>
      </c>
      <c r="J34" s="79" t="n"/>
      <c r="K34" s="80" t="n"/>
    </row>
    <row r="35" ht="11.1" customHeight="1" s="5">
      <c r="A35" s="25" t="n"/>
      <c r="B35" s="25" t="n"/>
      <c r="C35" s="25" t="n"/>
      <c r="D35" s="87" t="n">
        <v>2561</v>
      </c>
      <c r="E35" s="84" t="n">
        <v>2561</v>
      </c>
      <c r="F35" s="25" t="n"/>
      <c r="G35" s="25" t="n"/>
      <c r="H35" s="78" t="n"/>
      <c r="I35" s="78" t="n"/>
      <c r="J35" s="79" t="n"/>
      <c r="K35" s="80" t="n"/>
    </row>
    <row r="36" ht="11.1" customHeight="1" s="5">
      <c r="A36" s="25" t="n"/>
      <c r="B36" s="25" t="n"/>
      <c r="C36" s="77" t="inlineStr">
        <is>
          <t>Hasti Stationery Mart (Madhapur)</t>
        </is>
      </c>
      <c r="D36" s="25" t="n"/>
      <c r="E36" s="30" t="n"/>
      <c r="F36" s="25" t="n"/>
      <c r="G36" s="25" t="n"/>
      <c r="H36" s="78" t="n"/>
      <c r="I36" s="78" t="n"/>
      <c r="J36" s="79" t="n"/>
      <c r="K36" s="80" t="n"/>
      <c r="L36" s="7" t="inlineStr">
        <is>
          <t>he will pay his in out sation | HE WILL PAY 15TH | RINGING NOT RESPONDING | HE WILL GIVE CASH SEND TOMMROW PERSON</t>
        </is>
      </c>
    </row>
    <row r="37" ht="11.1" customHeight="1" s="5">
      <c r="A37" s="81" t="n">
        <v>46090</v>
      </c>
      <c r="B37" s="82" t="inlineStr">
        <is>
          <t>C-SLG/2351/25-26</t>
        </is>
      </c>
      <c r="C37" s="25" t="n"/>
      <c r="D37" s="87" t="n">
        <v>4181</v>
      </c>
      <c r="E37" s="84" t="n">
        <v>4181</v>
      </c>
      <c r="F37" s="85" t="n">
        <v>46115</v>
      </c>
      <c r="G37" s="86">
        <f>$E$2-F37</f>
        <v/>
      </c>
      <c r="H37" s="78" t="n"/>
      <c r="I37" s="78">
        <f>E37-H37</f>
        <v/>
      </c>
      <c r="J37" s="79" t="n"/>
      <c r="K37" s="80" t="n"/>
    </row>
    <row r="38" ht="11.1" customHeight="1" s="5">
      <c r="A38" s="81" t="n">
        <v>46107</v>
      </c>
      <c r="B38" s="82" t="inlineStr">
        <is>
          <t>C-SLG/2443/25-26</t>
        </is>
      </c>
      <c r="C38" s="25" t="n"/>
      <c r="D38" s="87" t="n">
        <v>947</v>
      </c>
      <c r="E38" s="84" t="n">
        <v>947</v>
      </c>
      <c r="F38" s="85" t="n">
        <v>46132</v>
      </c>
      <c r="G38" s="86">
        <f>$E$2-F38</f>
        <v/>
      </c>
      <c r="H38" s="78" t="n"/>
      <c r="I38" s="78">
        <f>E38-H38</f>
        <v/>
      </c>
      <c r="J38" s="79" t="n"/>
      <c r="K38" s="80" t="n"/>
    </row>
    <row r="39" ht="11.1" customHeight="1" s="5">
      <c r="A39" s="25" t="n"/>
      <c r="B39" s="25" t="n"/>
      <c r="C39" s="25" t="n"/>
      <c r="D39" s="87" t="n">
        <v>5128</v>
      </c>
      <c r="E39" s="84" t="n">
        <v>5128</v>
      </c>
      <c r="F39" s="25" t="n"/>
      <c r="G39" s="25" t="n"/>
      <c r="H39" s="78" t="n"/>
      <c r="I39" s="78" t="n"/>
      <c r="J39" s="79" t="n"/>
      <c r="K39" s="98" t="inlineStr">
        <is>
          <t>Send DSO for Cash Collection</t>
        </is>
      </c>
    </row>
    <row r="40" ht="11.1" customHeight="1" s="5">
      <c r="A40" s="25" t="n"/>
      <c r="B40" s="25" t="n"/>
      <c r="C40" s="89" t="inlineStr">
        <is>
          <t>Hyderabad Communications</t>
        </is>
      </c>
      <c r="D40" s="25" t="n"/>
      <c r="E40" s="30" t="n"/>
      <c r="F40" s="25" t="n"/>
      <c r="G40" s="25" t="n"/>
      <c r="H40" s="78" t="n"/>
      <c r="I40" s="78" t="n"/>
      <c r="J40" s="79" t="n"/>
      <c r="K40" s="80" t="n"/>
    </row>
    <row r="41" ht="11.1" customHeight="1" s="5">
      <c r="A41" s="81" t="n">
        <v>45489</v>
      </c>
      <c r="B41" s="82" t="inlineStr">
        <is>
          <t>C-SLG/631/24-25</t>
        </is>
      </c>
      <c r="C41" s="25" t="n"/>
      <c r="D41" s="87" t="n">
        <v>35769</v>
      </c>
      <c r="E41" s="84" t="n">
        <v>34687</v>
      </c>
      <c r="F41" s="85" t="n">
        <v>45514</v>
      </c>
      <c r="G41" s="86">
        <f>$E$2-F41</f>
        <v/>
      </c>
      <c r="H41" s="78" t="n"/>
      <c r="I41" s="78">
        <f>E41-H41</f>
        <v/>
      </c>
      <c r="J41" s="79" t="n"/>
      <c r="K41" s="80" t="n"/>
    </row>
    <row r="42" ht="11.1" customHeight="1" s="5">
      <c r="A42" s="81" t="n">
        <v>45510</v>
      </c>
      <c r="B42" s="82" t="inlineStr">
        <is>
          <t>C-SLG/800/24-25</t>
        </is>
      </c>
      <c r="C42" s="25" t="n"/>
      <c r="D42" s="87" t="n">
        <v>596</v>
      </c>
      <c r="E42" s="84" t="n">
        <v>596</v>
      </c>
      <c r="F42" s="85" t="n">
        <v>45535</v>
      </c>
      <c r="G42" s="86">
        <f>$E$2-F42</f>
        <v/>
      </c>
      <c r="H42" s="78" t="n"/>
      <c r="I42" s="78">
        <f>E42-H42</f>
        <v/>
      </c>
      <c r="J42" s="79" t="n"/>
      <c r="K42" s="80" t="n"/>
    </row>
    <row r="43" ht="11.1" customHeight="1" s="5">
      <c r="A43" s="81" t="n">
        <v>45533</v>
      </c>
      <c r="B43" s="82" t="inlineStr">
        <is>
          <t>C-SLG/979/24-25</t>
        </is>
      </c>
      <c r="C43" s="25" t="n"/>
      <c r="D43" s="87" t="n">
        <v>43301</v>
      </c>
      <c r="E43" s="84" t="n">
        <v>24001</v>
      </c>
      <c r="F43" s="85" t="n">
        <v>45558</v>
      </c>
      <c r="G43" s="86">
        <f>$E$2-F43</f>
        <v/>
      </c>
      <c r="H43" s="78" t="n"/>
      <c r="I43" s="78">
        <f>E43-H43</f>
        <v/>
      </c>
      <c r="J43" s="79" t="n"/>
      <c r="K43" s="80" t="n"/>
    </row>
    <row r="44" ht="11.1" customHeight="1" s="5">
      <c r="A44" s="25" t="n"/>
      <c r="B44" s="25" t="n"/>
      <c r="C44" s="25" t="n"/>
      <c r="D44" s="87" t="n">
        <v>79666</v>
      </c>
      <c r="E44" s="84" t="n">
        <v>59284</v>
      </c>
      <c r="F44" s="25" t="n"/>
      <c r="G44" s="25" t="n"/>
      <c r="H44" s="78" t="n"/>
      <c r="I44" s="78" t="n"/>
      <c r="J44" s="79" t="n"/>
      <c r="K44" s="80" t="n"/>
    </row>
    <row r="45" ht="11.1" customHeight="1" s="5">
      <c r="A45" s="25" t="n"/>
      <c r="B45" s="25" t="n"/>
      <c r="C45" s="77" t="inlineStr">
        <is>
          <t>JAGDISH BOOK CENTRE</t>
        </is>
      </c>
      <c r="D45" s="25" t="n"/>
      <c r="E45" s="30" t="n"/>
      <c r="F45" s="25" t="n"/>
      <c r="G45" s="25" t="n"/>
      <c r="H45" s="78" t="n"/>
      <c r="I45" s="78" t="n"/>
      <c r="J45" s="79" t="n"/>
      <c r="K45" s="80" t="n"/>
      <c r="L45" s="7" t="inlineStr">
        <is>
          <t>HE  SAID THATHE WILL PAY WENDAY | SENDPERSON TOMMROW HE WILL GIVECHEQUE | SEND TODAY VISIT | given cheque</t>
        </is>
      </c>
    </row>
    <row r="46" ht="11.1" customHeight="1" s="5">
      <c r="A46" s="81" t="n">
        <v>46120</v>
      </c>
      <c r="B46" s="82" t="inlineStr">
        <is>
          <t>C-SLG/0018/26-27</t>
        </is>
      </c>
      <c r="C46" s="25" t="n"/>
      <c r="D46" s="87" t="n">
        <v>5566</v>
      </c>
      <c r="E46" s="84" t="n">
        <v>5566</v>
      </c>
      <c r="F46" s="85" t="n">
        <v>46145</v>
      </c>
      <c r="G46" s="86">
        <f>$E$2-F46</f>
        <v/>
      </c>
      <c r="H46" s="78" t="n"/>
      <c r="I46" s="78" t="n"/>
      <c r="J46" s="79" t="n"/>
      <c r="K46" s="80" t="n"/>
    </row>
    <row r="47" ht="11.1" customHeight="1" s="5">
      <c r="A47" s="25" t="n"/>
      <c r="B47" s="25" t="n"/>
      <c r="C47" s="25" t="n"/>
      <c r="D47" s="87" t="n">
        <v>5566</v>
      </c>
      <c r="E47" s="84" t="n">
        <v>5566</v>
      </c>
      <c r="F47" s="25" t="n"/>
      <c r="G47" s="25" t="n"/>
      <c r="H47" s="78" t="n">
        <v>5566</v>
      </c>
      <c r="I47" s="78">
        <f>E47-H47</f>
        <v/>
      </c>
      <c r="J47" s="79" t="n"/>
      <c r="K47" s="80" t="n"/>
    </row>
    <row r="48" ht="11.1" customHeight="1" s="5">
      <c r="A48" s="25" t="n"/>
      <c r="B48" s="25" t="n"/>
      <c r="C48" s="77" t="inlineStr">
        <is>
          <t>Jaya Stationery &amp; Engg Co</t>
        </is>
      </c>
      <c r="D48" s="25" t="n"/>
      <c r="E48" s="30" t="n"/>
      <c r="F48" s="25" t="n"/>
      <c r="G48" s="25" t="n"/>
      <c r="H48" s="78" t="n"/>
      <c r="I48" s="78" t="n"/>
      <c r="J48" s="79" t="n"/>
      <c r="K48" s="80" t="n"/>
    </row>
    <row r="49" ht="11.1" customHeight="1" s="5">
      <c r="A49" s="81" t="n">
        <v>46129</v>
      </c>
      <c r="B49" s="82" t="inlineStr">
        <is>
          <t>C-SLG/0049/26-27</t>
        </is>
      </c>
      <c r="C49" s="25" t="n"/>
      <c r="D49" s="87" t="n">
        <v>4427</v>
      </c>
      <c r="E49" s="84" t="n">
        <v>4427</v>
      </c>
      <c r="F49" s="85" t="n">
        <v>46154</v>
      </c>
      <c r="G49" s="86">
        <f>$E$2-F49</f>
        <v/>
      </c>
      <c r="H49" s="78" t="n"/>
      <c r="I49" s="78" t="n"/>
      <c r="J49" s="79" t="n"/>
      <c r="K49" s="80" t="n"/>
    </row>
    <row r="50" ht="11.1" customHeight="1" s="5">
      <c r="A50" s="81" t="n">
        <v>46149</v>
      </c>
      <c r="B50" s="82" t="inlineStr">
        <is>
          <t>C-SLG/0099/26-27</t>
        </is>
      </c>
      <c r="C50" s="25" t="n"/>
      <c r="D50" s="87" t="n">
        <v>2945</v>
      </c>
      <c r="E50" s="83" t="n">
        <v>2945</v>
      </c>
      <c r="F50" s="85" t="n">
        <v>46174</v>
      </c>
      <c r="G50" s="25" t="n"/>
      <c r="H50" s="78" t="n"/>
      <c r="I50" s="78" t="n"/>
      <c r="J50" s="79" t="n"/>
      <c r="K50" s="80" t="n"/>
    </row>
    <row r="51" ht="11.1" customHeight="1" s="5">
      <c r="A51" s="25" t="n"/>
      <c r="B51" s="25" t="n"/>
      <c r="C51" s="25" t="n"/>
      <c r="D51" s="87" t="n">
        <v>7372</v>
      </c>
      <c r="E51" s="84" t="n">
        <v>7372</v>
      </c>
      <c r="F51" s="25" t="n"/>
      <c r="G51" s="25" t="n"/>
      <c r="H51" s="78" t="n">
        <v>0</v>
      </c>
      <c r="I51" s="78">
        <f>E51-H51</f>
        <v/>
      </c>
      <c r="J51" s="98" t="inlineStr">
        <is>
          <t>Cheque Ready - Send DSO to Collect</t>
        </is>
      </c>
      <c r="K51" s="80" t="n"/>
    </row>
    <row r="52" ht="11.1" customHeight="1" s="5">
      <c r="A52" s="25" t="n"/>
      <c r="B52" s="25" t="n"/>
      <c r="C52" s="77" t="inlineStr">
        <is>
          <t>Kaanuka Collection</t>
        </is>
      </c>
      <c r="D52" s="25" t="n"/>
      <c r="E52" s="30" t="n"/>
      <c r="F52" s="25" t="n"/>
      <c r="G52" s="25" t="n"/>
      <c r="H52" s="78" t="n"/>
      <c r="I52" s="78" t="n"/>
      <c r="J52" s="79" t="n"/>
      <c r="K52" s="80" t="n"/>
    </row>
    <row r="53" ht="11.1" customHeight="1" s="5">
      <c r="A53" s="81" t="n">
        <v>45915</v>
      </c>
      <c r="B53" s="82" t="inlineStr">
        <is>
          <t>C-SLG/1203/25-26</t>
        </is>
      </c>
      <c r="C53" s="25" t="n"/>
      <c r="D53" s="87" t="n">
        <v>137351</v>
      </c>
      <c r="E53" s="84" t="n">
        <v>1771</v>
      </c>
      <c r="F53" s="85" t="n">
        <v>45940</v>
      </c>
      <c r="G53" s="86">
        <f>$E$2-F53</f>
        <v/>
      </c>
      <c r="H53" s="78" t="n"/>
      <c r="I53" s="78">
        <f>E53-H53</f>
        <v/>
      </c>
      <c r="J53" s="79" t="inlineStr">
        <is>
          <t>Credit Note</t>
        </is>
      </c>
      <c r="K53" s="80" t="n"/>
    </row>
    <row r="54" ht="11.1" customHeight="1" s="5">
      <c r="A54" s="81" t="n">
        <v>46158</v>
      </c>
      <c r="B54" s="82" t="inlineStr">
        <is>
          <t>C-SLG/0141/26-27</t>
        </is>
      </c>
      <c r="C54" s="25" t="n"/>
      <c r="D54" s="87" t="n">
        <v>7266</v>
      </c>
      <c r="E54" s="83" t="n">
        <v>7266</v>
      </c>
      <c r="F54" s="85" t="n">
        <v>46183</v>
      </c>
      <c r="G54" s="25" t="n"/>
      <c r="H54" s="78" t="n"/>
      <c r="I54" s="78" t="n"/>
      <c r="J54" s="79" t="n"/>
      <c r="K54" s="80" t="n"/>
    </row>
    <row r="55" ht="11.1" customHeight="1" s="5">
      <c r="A55" s="81" t="n">
        <v>46158</v>
      </c>
      <c r="B55" s="82" t="inlineStr">
        <is>
          <t>C-SLG/0142/26-27</t>
        </is>
      </c>
      <c r="C55" s="25" t="n"/>
      <c r="D55" s="87" t="n">
        <v>1244</v>
      </c>
      <c r="E55" s="83" t="n">
        <v>1244</v>
      </c>
      <c r="F55" s="85" t="n">
        <v>46183</v>
      </c>
      <c r="G55" s="25" t="n"/>
      <c r="H55" s="78" t="n"/>
      <c r="I55" s="78" t="n"/>
      <c r="J55" s="79" t="n"/>
      <c r="K55" s="80" t="n"/>
    </row>
    <row r="56" ht="11.1" customHeight="1" s="5">
      <c r="A56" s="81" t="n">
        <v>46158</v>
      </c>
      <c r="B56" s="82" t="inlineStr">
        <is>
          <t>C-SLG/0143/26-27</t>
        </is>
      </c>
      <c r="C56" s="25" t="n"/>
      <c r="D56" s="87" t="n">
        <v>830</v>
      </c>
      <c r="E56" s="83" t="n">
        <v>830</v>
      </c>
      <c r="F56" s="85" t="n">
        <v>46183</v>
      </c>
      <c r="G56" s="25" t="n"/>
      <c r="H56" s="78" t="n"/>
      <c r="I56" s="78" t="n"/>
      <c r="J56" s="79" t="n"/>
      <c r="K56" s="80" t="n"/>
    </row>
    <row r="57" ht="11.1" customHeight="1" s="5">
      <c r="A57" s="25" t="n"/>
      <c r="B57" s="25" t="n"/>
      <c r="C57" s="25" t="n"/>
      <c r="D57" s="87" t="n">
        <v>146691</v>
      </c>
      <c r="E57" s="84" t="n">
        <v>11111</v>
      </c>
      <c r="F57" s="25" t="n"/>
      <c r="G57" s="25" t="n"/>
      <c r="H57" s="78" t="n"/>
      <c r="I57" s="78" t="n"/>
      <c r="J57" s="79" t="n"/>
      <c r="K57" s="80" t="n"/>
    </row>
    <row r="58" ht="11.1" customHeight="1" s="5">
      <c r="A58" s="25" t="n"/>
      <c r="B58" s="25" t="n"/>
      <c r="C58" s="77" t="inlineStr">
        <is>
          <t>KITSONS-GACHIBOWLI</t>
        </is>
      </c>
      <c r="D58" s="25" t="n"/>
      <c r="E58" s="30" t="n"/>
      <c r="F58" s="25" t="n"/>
      <c r="G58" s="25" t="n"/>
      <c r="H58" s="78" t="n"/>
      <c r="I58" s="78" t="n"/>
      <c r="J58" s="79" t="n"/>
      <c r="K58" s="80" t="n"/>
      <c r="L58" s="7" t="inlineStr">
        <is>
          <t>NUMBER BUSY | NUMBER BUSY | NUMBER BUSY | CHEQUE READY  SEND THE PERSON</t>
        </is>
      </c>
    </row>
    <row r="59" ht="11.1" customHeight="1" s="5">
      <c r="A59" s="81" t="n">
        <v>45985</v>
      </c>
      <c r="B59" s="82" t="inlineStr">
        <is>
          <t>C-SLG/1754/25-26</t>
        </is>
      </c>
      <c r="C59" s="25" t="n"/>
      <c r="D59" s="87" t="n">
        <v>10978</v>
      </c>
      <c r="E59" s="84" t="n">
        <v>180</v>
      </c>
      <c r="F59" s="85" t="n">
        <v>46010</v>
      </c>
      <c r="G59" s="86">
        <f>$E$2-F59</f>
        <v/>
      </c>
      <c r="H59" s="78" t="n"/>
      <c r="I59" s="78">
        <f>E59-H59</f>
        <v/>
      </c>
      <c r="J59" s="79" t="n"/>
      <c r="K59" s="80" t="n"/>
    </row>
    <row r="60" ht="11.1" customHeight="1" s="5">
      <c r="A60" s="81" t="n">
        <v>46092</v>
      </c>
      <c r="B60" s="82" t="inlineStr">
        <is>
          <t>C-SLG/2369/25-26</t>
        </is>
      </c>
      <c r="C60" s="25" t="n"/>
      <c r="D60" s="87" t="n">
        <v>22195</v>
      </c>
      <c r="E60" s="84" t="n">
        <v>22195</v>
      </c>
      <c r="F60" s="85" t="n">
        <v>46117</v>
      </c>
      <c r="G60" s="86">
        <f>$E$2-F60</f>
        <v/>
      </c>
      <c r="H60" s="78" t="n"/>
      <c r="I60" s="78">
        <f>E60-H60</f>
        <v/>
      </c>
      <c r="J60" s="79" t="n"/>
      <c r="K60" s="80" t="n"/>
    </row>
    <row r="61" ht="11.1" customHeight="1" s="5">
      <c r="A61" s="81" t="n">
        <v>46098</v>
      </c>
      <c r="B61" s="82" t="inlineStr">
        <is>
          <t>C-SLG/2398/25-26</t>
        </is>
      </c>
      <c r="C61" s="25" t="n"/>
      <c r="D61" s="87" t="n">
        <v>15116</v>
      </c>
      <c r="E61" s="84" t="n">
        <v>15116</v>
      </c>
      <c r="F61" s="85" t="n">
        <v>46123</v>
      </c>
      <c r="G61" s="86">
        <f>$E$2-F61</f>
        <v/>
      </c>
      <c r="H61" s="78" t="n"/>
      <c r="I61" s="78">
        <f>E61-H61</f>
        <v/>
      </c>
      <c r="J61" s="79" t="n"/>
      <c r="K61" s="80" t="n"/>
    </row>
    <row r="62" ht="11.1" customHeight="1" s="5">
      <c r="A62" s="25" t="n"/>
      <c r="B62" s="25" t="n"/>
      <c r="C62" s="25" t="n"/>
      <c r="D62" s="87" t="n">
        <v>48289</v>
      </c>
      <c r="E62" s="84" t="n">
        <v>37491</v>
      </c>
      <c r="F62" s="25" t="n"/>
      <c r="G62" s="25" t="n"/>
      <c r="H62" s="78" t="n"/>
      <c r="I62" s="78" t="n"/>
      <c r="J62" s="99" t="inlineStr">
        <is>
          <t>Cheque is ready of amount 37,311</t>
        </is>
      </c>
      <c r="K62" s="80" t="n"/>
    </row>
    <row r="63" ht="11.1" customHeight="1" s="5">
      <c r="A63" s="25" t="n"/>
      <c r="B63" s="25" t="n"/>
      <c r="C63" s="77" t="inlineStr">
        <is>
          <t>KRANTI BOOK HOUSE</t>
        </is>
      </c>
      <c r="D63" s="25" t="n"/>
      <c r="E63" s="30" t="n"/>
      <c r="F63" s="25" t="n"/>
      <c r="G63" s="25" t="n"/>
      <c r="H63" s="78" t="n"/>
      <c r="I63" s="78" t="n"/>
      <c r="J63" s="79" t="n"/>
      <c r="K63" s="80" t="n"/>
    </row>
    <row r="64" ht="11.1" customHeight="1" s="5">
      <c r="A64" s="81" t="n">
        <v>46010</v>
      </c>
      <c r="B64" s="82" t="inlineStr">
        <is>
          <t>Bounce Charges-204</t>
        </is>
      </c>
      <c r="C64" s="25" t="n"/>
      <c r="D64" s="87" t="n">
        <v>500</v>
      </c>
      <c r="E64" s="84" t="n">
        <v>500</v>
      </c>
      <c r="F64" s="85" t="n">
        <v>46035</v>
      </c>
      <c r="G64" s="86">
        <f>$E$2-F64</f>
        <v/>
      </c>
      <c r="H64" s="78" t="n"/>
      <c r="I64" s="78">
        <f>E64-H64</f>
        <v/>
      </c>
      <c r="J64" s="79" t="n"/>
      <c r="K64" s="80" t="n"/>
    </row>
    <row r="65" ht="11.1" customHeight="1" s="5">
      <c r="A65" s="25" t="n"/>
      <c r="B65" s="25" t="n"/>
      <c r="C65" s="25" t="n"/>
      <c r="D65" s="87" t="n">
        <v>500</v>
      </c>
      <c r="E65" s="84" t="n">
        <v>500</v>
      </c>
      <c r="F65" s="25" t="n"/>
      <c r="G65" s="25" t="n"/>
      <c r="H65" s="78" t="n"/>
      <c r="I65" s="78" t="n"/>
      <c r="J65" s="79" t="n"/>
      <c r="K65" s="80" t="n"/>
    </row>
    <row r="66" ht="11.1" customHeight="1" s="5">
      <c r="A66" s="25" t="n"/>
      <c r="B66" s="25" t="n"/>
      <c r="C66" s="77" t="inlineStr">
        <is>
          <t>Life Stationery (Bnj Hills)</t>
        </is>
      </c>
      <c r="D66" s="25" t="n"/>
      <c r="E66" s="30" t="n"/>
      <c r="F66" s="25" t="n"/>
      <c r="G66" s="25" t="n"/>
      <c r="H66" s="78" t="n"/>
      <c r="I66" s="78" t="n"/>
      <c r="J66" s="79" t="n"/>
      <c r="K66" s="80" t="n"/>
    </row>
    <row r="67" ht="11.1" customHeight="1" s="5">
      <c r="A67" s="81" t="n">
        <v>46098</v>
      </c>
      <c r="B67" s="82" t="inlineStr">
        <is>
          <t>C-SLG/2402/25-26</t>
        </is>
      </c>
      <c r="C67" s="25" t="n"/>
      <c r="D67" s="87" t="n">
        <v>2440</v>
      </c>
      <c r="E67" s="84" t="n">
        <v>2440</v>
      </c>
      <c r="F67" s="85" t="n">
        <v>46123</v>
      </c>
      <c r="G67" s="86">
        <f>$E$2-F67</f>
        <v/>
      </c>
      <c r="H67" s="78" t="n"/>
      <c r="I67" s="78">
        <f>E67-H67</f>
        <v/>
      </c>
      <c r="J67" s="79" t="n"/>
      <c r="K67" s="82" t="inlineStr">
        <is>
          <t xml:space="preserve">Not Responding </t>
        </is>
      </c>
    </row>
    <row r="68" ht="11.1" customHeight="1" s="5">
      <c r="A68" s="25" t="n"/>
      <c r="B68" s="25" t="n"/>
      <c r="C68" s="25" t="n"/>
      <c r="D68" s="87" t="n">
        <v>2440</v>
      </c>
      <c r="E68" s="84" t="n">
        <v>2440</v>
      </c>
      <c r="F68" s="25" t="n"/>
      <c r="G68" s="25" t="n"/>
      <c r="H68" s="78" t="n"/>
      <c r="I68" s="78" t="n"/>
      <c r="J68" s="79" t="n"/>
      <c r="K68" s="82" t="n"/>
    </row>
    <row r="69" ht="11.1" customHeight="1" s="5">
      <c r="A69" s="25" t="n"/>
      <c r="B69" s="25" t="n"/>
      <c r="C69" s="89" t="inlineStr">
        <is>
          <t>Mahalaxmi  Enterprises</t>
        </is>
      </c>
      <c r="D69" s="25" t="n"/>
      <c r="E69" s="30" t="n"/>
      <c r="F69" s="25" t="n"/>
      <c r="G69" s="25" t="n"/>
      <c r="H69" s="78" t="n"/>
      <c r="I69" s="78" t="n"/>
      <c r="J69" s="79" t="n"/>
      <c r="K69" s="80" t="n"/>
    </row>
    <row r="70" ht="11.1" customHeight="1" s="5">
      <c r="A70" s="81" t="n">
        <v>46112</v>
      </c>
      <c r="B70" s="82" t="inlineStr">
        <is>
          <t>C-SLG/2494/25-26</t>
        </is>
      </c>
      <c r="C70" s="25" t="n"/>
      <c r="D70" s="87" t="n">
        <v>13321</v>
      </c>
      <c r="E70" s="84" t="n">
        <v>13321</v>
      </c>
      <c r="F70" s="85" t="n">
        <v>46137</v>
      </c>
      <c r="G70" s="86">
        <f>$E$2-F70</f>
        <v/>
      </c>
      <c r="H70" s="78" t="n"/>
      <c r="I70" s="78">
        <f>E70-H70</f>
        <v/>
      </c>
      <c r="J70" s="79" t="n"/>
      <c r="K70" s="80" t="n"/>
    </row>
    <row r="71" ht="11.1" customHeight="1" s="5">
      <c r="A71" s="25" t="n"/>
      <c r="B71" s="25" t="n"/>
      <c r="C71" s="25" t="n"/>
      <c r="D71" s="87" t="n">
        <v>13321</v>
      </c>
      <c r="E71" s="84" t="n">
        <v>13321</v>
      </c>
      <c r="F71" s="25" t="n"/>
      <c r="G71" s="25" t="n"/>
      <c r="H71" s="78" t="n"/>
      <c r="I71" s="78" t="n"/>
      <c r="J71" s="79" t="n"/>
      <c r="K71" s="80" t="n"/>
    </row>
    <row r="72" ht="11.1" customHeight="1" s="5">
      <c r="A72" s="25" t="n"/>
      <c r="B72" s="25" t="n"/>
      <c r="C72" s="77" t="inlineStr">
        <is>
          <t>MARUTHI ENTERPRISES</t>
        </is>
      </c>
      <c r="D72" s="25" t="n"/>
      <c r="E72" s="30" t="n"/>
      <c r="F72" s="25" t="n"/>
      <c r="G72" s="25" t="n"/>
      <c r="H72" s="78" t="n"/>
      <c r="I72" s="78" t="n"/>
      <c r="J72" s="79" t="n"/>
      <c r="K72" s="80" t="n"/>
      <c r="L72" s="7" t="inlineStr">
        <is>
          <t>HE WILL READY THE CHEQUE | NEXT WEEK</t>
        </is>
      </c>
    </row>
    <row r="73" ht="11.1" customHeight="1" s="5">
      <c r="A73" s="81" t="n">
        <v>46107</v>
      </c>
      <c r="B73" s="82" t="inlineStr">
        <is>
          <t>C-SLG/2440/25-26</t>
        </is>
      </c>
      <c r="C73" s="25" t="n"/>
      <c r="D73" s="87" t="n">
        <v>8855</v>
      </c>
      <c r="E73" s="84" t="n">
        <v>8855</v>
      </c>
      <c r="F73" s="85" t="n">
        <v>46132</v>
      </c>
      <c r="G73" s="86">
        <f>$E$2-F73</f>
        <v/>
      </c>
      <c r="H73" s="78" t="n"/>
      <c r="I73" s="78">
        <f>E73-H73</f>
        <v/>
      </c>
      <c r="J73" s="79" t="n"/>
      <c r="K73" s="82" t="inlineStr">
        <is>
          <t>Send DSO on Saturday for Payment Collection</t>
        </is>
      </c>
    </row>
    <row r="74" ht="11.1" customHeight="1" s="5">
      <c r="A74" s="25" t="n"/>
      <c r="B74" s="25" t="n"/>
      <c r="C74" s="25" t="n"/>
      <c r="D74" s="87" t="n">
        <v>8855</v>
      </c>
      <c r="E74" s="84" t="n">
        <v>8855</v>
      </c>
      <c r="F74" s="25" t="n"/>
      <c r="G74" s="25" t="n"/>
      <c r="H74" s="78" t="n"/>
      <c r="I74" s="78" t="n"/>
      <c r="J74" s="79" t="n"/>
      <c r="K74" s="80" t="n"/>
    </row>
    <row r="75" ht="11.1" customHeight="1" s="5">
      <c r="A75" s="25" t="n"/>
      <c r="B75" s="25" t="n"/>
      <c r="C75" s="77" t="inlineStr">
        <is>
          <t>MASTER SAAB STATIONARY</t>
        </is>
      </c>
      <c r="D75" s="25" t="n"/>
      <c r="E75" s="30" t="n"/>
      <c r="F75" s="25" t="n"/>
      <c r="G75" s="25" t="n"/>
      <c r="H75" s="78" t="n"/>
      <c r="I75" s="78" t="n"/>
      <c r="J75" s="79" t="n"/>
      <c r="K75" s="80" t="n"/>
      <c r="L75" s="7" t="inlineStr">
        <is>
          <t>NUMBER  BUSY | RINGING NOT RESPONDING | NUMBER BUSY | NUMBERBUSY | TOMMROW  SEND PERSON</t>
        </is>
      </c>
    </row>
    <row r="76" ht="11.1" customHeight="1" s="5">
      <c r="A76" s="81" t="n">
        <v>46099</v>
      </c>
      <c r="B76" s="82" t="inlineStr">
        <is>
          <t>C-SLG/2409/25-26</t>
        </is>
      </c>
      <c r="C76" s="25" t="n"/>
      <c r="D76" s="87" t="n">
        <v>4079</v>
      </c>
      <c r="E76" s="84" t="n">
        <v>4079</v>
      </c>
      <c r="F76" s="85" t="n">
        <v>46124</v>
      </c>
      <c r="G76" s="86">
        <f>$E$2-F76</f>
        <v/>
      </c>
      <c r="H76" s="78" t="n"/>
      <c r="I76" s="78">
        <f>E76-H76</f>
        <v/>
      </c>
      <c r="J76" s="79" t="n"/>
      <c r="K76" s="80" t="n"/>
    </row>
    <row r="77" ht="11.1" customHeight="1" s="5">
      <c r="A77" s="25" t="n"/>
      <c r="B77" s="25" t="n"/>
      <c r="C77" s="25" t="n"/>
      <c r="D77" s="87" t="n">
        <v>4079</v>
      </c>
      <c r="E77" s="84" t="n">
        <v>4079</v>
      </c>
      <c r="F77" s="25" t="n"/>
      <c r="G77" s="25" t="n"/>
      <c r="H77" s="78" t="n"/>
      <c r="I77" s="78" t="n"/>
      <c r="J77" s="99" t="inlineStr">
        <is>
          <t>Need to Send DSO</t>
        </is>
      </c>
      <c r="K77" s="80" t="n"/>
    </row>
    <row r="78" ht="11.1" customHeight="1" s="5">
      <c r="A78" s="25" t="n"/>
      <c r="B78" s="25" t="n"/>
      <c r="C78" s="77" t="inlineStr">
        <is>
          <t>Nagesh Stationery &amp; Xerox</t>
        </is>
      </c>
      <c r="D78" s="25" t="n"/>
      <c r="E78" s="30" t="n"/>
      <c r="F78" s="25" t="n"/>
      <c r="G78" s="25" t="n"/>
      <c r="H78" s="78" t="n"/>
      <c r="I78" s="78" t="n"/>
      <c r="J78" s="79" t="n"/>
      <c r="K78" s="80" t="n"/>
      <c r="L78" s="7" t="inlineStr">
        <is>
          <t>RINGING NOT RESPONDING | RINGING NOT RESPONDING | RINGING NOT RESPONDING | HE  HIS  IN OUT SATION HEWILL RETURN</t>
        </is>
      </c>
    </row>
    <row r="79" ht="11.1" customHeight="1" s="5">
      <c r="A79" s="81" t="n">
        <v>45968</v>
      </c>
      <c r="B79" s="82" t="inlineStr">
        <is>
          <t>C-SLG/1619/25-26</t>
        </is>
      </c>
      <c r="C79" s="25" t="n"/>
      <c r="D79" s="87" t="n">
        <v>1680</v>
      </c>
      <c r="E79" s="84" t="n">
        <v>1680</v>
      </c>
      <c r="F79" s="85" t="n">
        <v>45993</v>
      </c>
      <c r="G79" s="86">
        <f>$E$2-F79</f>
        <v/>
      </c>
      <c r="H79" s="78" t="n"/>
      <c r="I79" s="78">
        <f>E79-H79</f>
        <v/>
      </c>
      <c r="J79" s="79" t="inlineStr">
        <is>
          <t>Customer Out of Station</t>
        </is>
      </c>
      <c r="K79" s="80" t="n"/>
    </row>
    <row r="80" ht="11.1" customHeight="1" s="5">
      <c r="A80" s="25" t="n"/>
      <c r="B80" s="25" t="n"/>
      <c r="C80" s="25" t="n"/>
      <c r="D80" s="87" t="n">
        <v>1680</v>
      </c>
      <c r="E80" s="84" t="n">
        <v>1680</v>
      </c>
      <c r="F80" s="25" t="n"/>
      <c r="G80" s="25" t="n"/>
      <c r="H80" s="78" t="n"/>
      <c r="I80" s="78" t="n"/>
      <c r="J80" s="79" t="n"/>
      <c r="K80" s="80" t="n"/>
    </row>
    <row r="81" ht="11.1" customHeight="1" s="5">
      <c r="A81" s="25" t="n"/>
      <c r="B81" s="25" t="n"/>
      <c r="C81" s="77" t="inlineStr">
        <is>
          <t>NavDurga Stationery</t>
        </is>
      </c>
      <c r="D81" s="25" t="n"/>
      <c r="E81" s="30" t="n"/>
      <c r="F81" s="25" t="n"/>
      <c r="G81" s="25" t="n"/>
      <c r="H81" s="78" t="n"/>
      <c r="I81" s="78" t="n"/>
      <c r="J81" s="79" t="n"/>
      <c r="K81" s="80" t="n"/>
      <c r="L81" s="7" t="inlineStr">
        <is>
          <t>NUMBER BUSY | NUMBER BUSY | NUMBER BUSY | NUMBERBUSY | MSG IN WATTUP | NUMBERBUSY</t>
        </is>
      </c>
    </row>
    <row r="82" ht="11.1" customHeight="1" s="5">
      <c r="A82" s="81" t="n">
        <v>46097</v>
      </c>
      <c r="B82" s="82" t="inlineStr">
        <is>
          <t>C-SLG/2389/25-26</t>
        </is>
      </c>
      <c r="C82" s="25" t="n"/>
      <c r="D82" s="87" t="n">
        <v>6289</v>
      </c>
      <c r="E82" s="84" t="n">
        <v>6289</v>
      </c>
      <c r="F82" s="85" t="n">
        <v>46122</v>
      </c>
      <c r="G82" s="86">
        <f>$E$2-F82</f>
        <v/>
      </c>
      <c r="H82" s="78" t="n"/>
      <c r="I82" s="78">
        <f>E82-H82</f>
        <v/>
      </c>
      <c r="J82" s="79" t="n"/>
      <c r="K82" s="99" t="inlineStr">
        <is>
          <t>Customer is saying NO outstanding - Send DSO</t>
        </is>
      </c>
    </row>
    <row r="83" ht="11.1" customHeight="1" s="5">
      <c r="A83" s="25" t="n"/>
      <c r="B83" s="25" t="n"/>
      <c r="C83" s="25" t="n"/>
      <c r="D83" s="87" t="n">
        <v>6289</v>
      </c>
      <c r="E83" s="84" t="n">
        <v>6289</v>
      </c>
      <c r="F83" s="25" t="n"/>
      <c r="G83" s="25" t="n"/>
      <c r="H83" s="78" t="n"/>
      <c r="I83" s="78" t="n"/>
      <c r="J83" s="79" t="n"/>
      <c r="K83" s="80" t="n"/>
    </row>
    <row r="84" ht="11.1" customHeight="1" s="5">
      <c r="A84" s="25" t="n"/>
      <c r="B84" s="25" t="n"/>
      <c r="C84" s="77" t="inlineStr">
        <is>
          <t>New Vidya Book Point  (Alkapur)</t>
        </is>
      </c>
      <c r="D84" s="25" t="n"/>
      <c r="E84" s="30" t="n"/>
      <c r="F84" s="25" t="n"/>
      <c r="G84" s="25" t="n"/>
      <c r="H84" s="78" t="n"/>
      <c r="I84" s="78" t="n"/>
      <c r="J84" s="79" t="n"/>
      <c r="K84" s="80" t="n"/>
      <c r="L84" s="7" t="inlineStr">
        <is>
          <t>RINGING NOT RESPONDING | RINGING NOT RESPONDING | RINGING NOT RESPONDING | NUMBERBUSY | RINGING NOT RESPONDING | RINGING NOT RESPONDING</t>
        </is>
      </c>
    </row>
    <row r="85" ht="11.1" customHeight="1" s="5">
      <c r="A85" s="81" t="n">
        <v>46084</v>
      </c>
      <c r="B85" s="82" t="inlineStr">
        <is>
          <t>C-SLG/2311/25-26</t>
        </is>
      </c>
      <c r="C85" s="25" t="n"/>
      <c r="D85" s="87" t="n">
        <v>9268</v>
      </c>
      <c r="E85" s="84" t="n">
        <v>9268</v>
      </c>
      <c r="F85" s="85" t="n">
        <v>46109</v>
      </c>
      <c r="G85" s="86">
        <f>$E$2-F85</f>
        <v/>
      </c>
      <c r="H85" s="78" t="n"/>
      <c r="I85" s="78">
        <f>E85-H85</f>
        <v/>
      </c>
      <c r="J85" s="79" t="n"/>
      <c r="K85" s="80" t="n"/>
    </row>
    <row r="86" ht="11.1" customHeight="1" s="5">
      <c r="A86" s="81" t="n">
        <v>46111</v>
      </c>
      <c r="B86" s="82" t="inlineStr">
        <is>
          <t>C-SLG/2480/25-26</t>
        </is>
      </c>
      <c r="C86" s="25" t="n"/>
      <c r="D86" s="87" t="n">
        <v>7960</v>
      </c>
      <c r="E86" s="84" t="n">
        <v>7960</v>
      </c>
      <c r="F86" s="85" t="n">
        <v>46136</v>
      </c>
      <c r="G86" s="86">
        <f>$E$2-F86</f>
        <v/>
      </c>
      <c r="H86" s="78" t="n"/>
      <c r="I86" s="78">
        <f>E86-H86</f>
        <v/>
      </c>
      <c r="J86" s="79" t="n"/>
      <c r="K86" s="80" t="n"/>
    </row>
    <row r="87" ht="11.1" customHeight="1" s="5">
      <c r="A87" s="25" t="n"/>
      <c r="B87" s="25" t="n"/>
      <c r="C87" s="25" t="n"/>
      <c r="D87" s="87" t="n">
        <v>17228</v>
      </c>
      <c r="E87" s="84" t="n">
        <v>17228</v>
      </c>
      <c r="F87" s="25" t="n"/>
      <c r="G87" s="25" t="n"/>
      <c r="H87" s="78" t="n"/>
      <c r="I87" s="78" t="n"/>
      <c r="J87" s="82" t="inlineStr">
        <is>
          <t>Sent DSO Today</t>
        </is>
      </c>
      <c r="K87" s="80" t="n"/>
    </row>
    <row r="88" ht="11.1" customHeight="1" s="5">
      <c r="A88" s="25" t="n"/>
      <c r="B88" s="25" t="n"/>
      <c r="C88" s="77" t="inlineStr">
        <is>
          <t>Popular Book House</t>
        </is>
      </c>
      <c r="D88" s="25" t="n"/>
      <c r="E88" s="30" t="n"/>
      <c r="F88" s="25" t="n"/>
      <c r="G88" s="25" t="n"/>
      <c r="H88" s="78" t="n"/>
      <c r="I88" s="78" t="n"/>
      <c r="J88" s="79" t="n"/>
      <c r="K88" s="80" t="n"/>
      <c r="L88" s="7" t="inlineStr">
        <is>
          <t>RINGING NOT RESPONDING | RINGING NOT RESPONDING | SEND PERSON WITH BILLS | TODAY SEND THE PERSON FOR PAYMENT | RINGING NOT RESPONDING</t>
        </is>
      </c>
    </row>
    <row r="89" ht="11.1" customHeight="1" s="5">
      <c r="A89" s="81" t="n">
        <v>46051</v>
      </c>
      <c r="B89" s="82" t="inlineStr">
        <is>
          <t>C-SLG/2142/25-26</t>
        </is>
      </c>
      <c r="C89" s="25" t="n"/>
      <c r="D89" s="87" t="n">
        <v>3096</v>
      </c>
      <c r="E89" s="84" t="n">
        <v>720</v>
      </c>
      <c r="F89" s="85" t="n">
        <v>46076</v>
      </c>
      <c r="G89" s="86">
        <f>$E$2-F89</f>
        <v/>
      </c>
      <c r="H89" s="78" t="n"/>
      <c r="I89" s="78">
        <f>E89-H89</f>
        <v/>
      </c>
      <c r="J89" s="79" t="n"/>
      <c r="K89" s="80" t="n"/>
    </row>
    <row r="90" ht="11.1" customHeight="1" s="5">
      <c r="A90" s="81" t="n">
        <v>46088</v>
      </c>
      <c r="B90" s="82" t="inlineStr">
        <is>
          <t>C-SLG/2348/25-26</t>
        </is>
      </c>
      <c r="C90" s="25" t="n"/>
      <c r="D90" s="87" t="n">
        <v>15106</v>
      </c>
      <c r="E90" s="84" t="n">
        <v>15106</v>
      </c>
      <c r="F90" s="85" t="n">
        <v>46113</v>
      </c>
      <c r="G90" s="86">
        <f>$E$2-F90</f>
        <v/>
      </c>
      <c r="H90" s="78" t="n"/>
      <c r="I90" s="78">
        <f>E90-H90</f>
        <v/>
      </c>
      <c r="J90" s="79" t="inlineStr">
        <is>
          <t>Not Responding</t>
        </is>
      </c>
      <c r="K90" s="80" t="n"/>
    </row>
    <row r="91" ht="11.1" customHeight="1" s="5">
      <c r="A91" s="25" t="n"/>
      <c r="B91" s="25" t="n"/>
      <c r="C91" s="25" t="n"/>
      <c r="D91" s="87" t="n">
        <v>18202</v>
      </c>
      <c r="E91" s="84" t="n">
        <v>15826</v>
      </c>
      <c r="F91" s="25" t="n"/>
      <c r="G91" s="25" t="n"/>
      <c r="H91" s="78" t="n"/>
      <c r="I91" s="78" t="n"/>
      <c r="J91" s="79" t="n"/>
      <c r="K91" s="80" t="n"/>
    </row>
    <row r="92" ht="11.1" customHeight="1" s="5">
      <c r="A92" s="25" t="n"/>
      <c r="B92" s="25" t="n"/>
      <c r="C92" s="77" t="inlineStr">
        <is>
          <t>RADIANT BOOK HOUSE</t>
        </is>
      </c>
      <c r="D92" s="25" t="n"/>
      <c r="E92" s="30" t="n"/>
      <c r="F92" s="25" t="n"/>
      <c r="G92" s="25" t="n"/>
      <c r="H92" s="78" t="n"/>
      <c r="I92" s="78" t="n"/>
      <c r="J92" s="79" t="n"/>
      <c r="K92" s="80" t="n"/>
      <c r="L92" s="7" t="inlineStr">
        <is>
          <t>RINGING NOT RESPONDING | RINGING NOT RESPONDING | RINGING NOT RESPONDING | TODAY SEND THE PERSON FOR PAYMENT | RINGING NOT RESPONDING | RINGING NOT RESPONDING | RINGING NOT RESPONDING</t>
        </is>
      </c>
    </row>
    <row r="93" ht="11.1" customHeight="1" s="5">
      <c r="A93" s="81" t="n">
        <v>45909</v>
      </c>
      <c r="B93" s="82" t="inlineStr">
        <is>
          <t>C-SLG/1122/25-26</t>
        </is>
      </c>
      <c r="C93" s="25" t="n"/>
      <c r="D93" s="87" t="n">
        <v>11800</v>
      </c>
      <c r="E93" s="84" t="n">
        <v>7800</v>
      </c>
      <c r="F93" s="85" t="n">
        <v>45934</v>
      </c>
      <c r="G93" s="86">
        <f>$E$2-F93</f>
        <v/>
      </c>
      <c r="H93" s="78" t="n"/>
      <c r="I93" s="78">
        <f>E93-H93</f>
        <v/>
      </c>
      <c r="J93" s="79" t="inlineStr">
        <is>
          <t>Not Responding</t>
        </is>
      </c>
      <c r="K93" s="79" t="inlineStr">
        <is>
          <t>Not Responding</t>
        </is>
      </c>
    </row>
    <row r="94" ht="11.1" customHeight="1" s="5">
      <c r="A94" s="25" t="n"/>
      <c r="B94" s="25" t="n"/>
      <c r="C94" s="25" t="n"/>
      <c r="D94" s="87" t="n">
        <v>11800</v>
      </c>
      <c r="E94" s="84" t="n">
        <v>7800</v>
      </c>
      <c r="F94" s="25" t="n"/>
      <c r="G94" s="25" t="n"/>
      <c r="H94" s="78" t="n"/>
      <c r="I94" s="78" t="n"/>
      <c r="J94" s="79" t="n"/>
      <c r="K94" s="80" t="n"/>
    </row>
    <row r="95" ht="11.1" customHeight="1" s="5">
      <c r="A95" s="25" t="n"/>
      <c r="B95" s="25" t="n"/>
      <c r="C95" s="77" t="inlineStr">
        <is>
          <t>R.B.Novelty</t>
        </is>
      </c>
      <c r="D95" s="25" t="n"/>
      <c r="E95" s="30" t="n"/>
      <c r="F95" s="25" t="n"/>
      <c r="G95" s="25" t="n"/>
      <c r="H95" s="78" t="n"/>
      <c r="I95" s="78" t="n"/>
      <c r="J95" s="79" t="n"/>
      <c r="K95" s="80" t="n"/>
      <c r="L95" s="7" t="inlineStr">
        <is>
          <t>CUSTOMER  SAID THAT SEND DSO  HE WANT TO TALK | TODAY SEND THE PERSON FOR PAYMENT | MUJHID WILL COLLECT | SIR WILL TALK</t>
        </is>
      </c>
    </row>
    <row r="96" ht="11.1" customHeight="1" s="5">
      <c r="A96" s="81" t="n">
        <v>46065</v>
      </c>
      <c r="B96" s="82" t="inlineStr">
        <is>
          <t>C-SLG/2222/25-26</t>
        </is>
      </c>
      <c r="C96" s="25" t="n"/>
      <c r="D96" s="87" t="n">
        <v>31317</v>
      </c>
      <c r="E96" s="84" t="n">
        <v>31317</v>
      </c>
      <c r="F96" s="85" t="n">
        <v>46090</v>
      </c>
      <c r="G96" s="86">
        <f>$E$2-F96</f>
        <v/>
      </c>
      <c r="H96" s="78" t="n"/>
      <c r="I96" s="78">
        <f>E96-H96</f>
        <v/>
      </c>
      <c r="J96" s="79" t="inlineStr">
        <is>
          <t>Price Difference Issue - Sir will Visit</t>
        </is>
      </c>
      <c r="K96" s="80" t="n"/>
    </row>
    <row r="97" ht="11.1" customHeight="1" s="5">
      <c r="A97" s="25" t="n"/>
      <c r="B97" s="25" t="n"/>
      <c r="C97" s="25" t="n"/>
      <c r="D97" s="87" t="n">
        <v>31317</v>
      </c>
      <c r="E97" s="84" t="n">
        <v>31317</v>
      </c>
      <c r="F97" s="25" t="n"/>
      <c r="G97" s="25" t="n"/>
      <c r="H97" s="78" t="n"/>
      <c r="I97" s="78" t="n"/>
      <c r="J97" s="79" t="n"/>
      <c r="K97" s="80" t="n"/>
    </row>
    <row r="98" ht="11.1" customHeight="1" s="5">
      <c r="A98" s="25" t="n"/>
      <c r="B98" s="25" t="n"/>
      <c r="C98" s="77" t="inlineStr">
        <is>
          <t>Reliable Book Centre</t>
        </is>
      </c>
      <c r="D98" s="25" t="n"/>
      <c r="E98" s="30" t="n"/>
      <c r="F98" s="25" t="n"/>
      <c r="G98" s="25" t="n"/>
      <c r="H98" s="78" t="n"/>
      <c r="I98" s="78" t="n"/>
      <c r="J98" s="79" t="n"/>
      <c r="K98" s="80" t="n"/>
      <c r="L98" s="7" t="inlineStr">
        <is>
          <t>number not conneted | NUMBER  NOT CONNETED | NUMBER  NOT CONNETED | MSG IN WATTUP | NUMBER  NOT CONNETED | NUMBER  NOT CONNETED | RINGING NOT RESPONDING</t>
        </is>
      </c>
    </row>
    <row r="99" ht="11.1" customHeight="1" s="5">
      <c r="A99" s="81" t="n">
        <v>45989</v>
      </c>
      <c r="B99" s="82" t="inlineStr">
        <is>
          <t>C-SLG/1791/25-26</t>
        </is>
      </c>
      <c r="C99" s="25" t="n"/>
      <c r="D99" s="87" t="n">
        <v>9440</v>
      </c>
      <c r="E99" s="84" t="n">
        <v>9440</v>
      </c>
      <c r="F99" s="85" t="n">
        <v>46014</v>
      </c>
      <c r="G99" s="86">
        <f>$E$2-F99</f>
        <v/>
      </c>
      <c r="H99" s="78" t="n"/>
      <c r="I99" s="78">
        <f>E99-H99</f>
        <v/>
      </c>
      <c r="J99" s="79" t="n"/>
      <c r="K99" s="82" t="inlineStr">
        <is>
          <t>Sent DSO</t>
        </is>
      </c>
    </row>
    <row r="100" ht="11.1" customHeight="1" s="5">
      <c r="A100" s="81" t="n">
        <v>46021</v>
      </c>
      <c r="B100" s="82" t="inlineStr">
        <is>
          <t>C-SLG/2005/25-26</t>
        </is>
      </c>
      <c r="C100" s="25" t="n"/>
      <c r="D100" s="87" t="n">
        <v>643</v>
      </c>
      <c r="E100" s="84" t="n">
        <v>643</v>
      </c>
      <c r="F100" s="85" t="n">
        <v>46046</v>
      </c>
      <c r="G100" s="86">
        <f>$E$2-F100</f>
        <v/>
      </c>
      <c r="H100" s="78" t="n"/>
      <c r="I100" s="78">
        <f>E100-H100</f>
        <v/>
      </c>
      <c r="J100" s="79" t="n"/>
      <c r="K100" s="82" t="inlineStr">
        <is>
          <t>Sent DSO</t>
        </is>
      </c>
    </row>
    <row r="101" ht="11.1" customHeight="1" s="5">
      <c r="A101" s="25" t="n"/>
      <c r="B101" s="25" t="n"/>
      <c r="C101" s="25" t="n"/>
      <c r="D101" s="87" t="n">
        <v>10083</v>
      </c>
      <c r="E101" s="84" t="n">
        <v>10083</v>
      </c>
      <c r="F101" s="25" t="n"/>
      <c r="G101" s="25" t="n"/>
      <c r="H101" s="78" t="n"/>
      <c r="I101" s="78" t="n"/>
      <c r="J101" s="79" t="n"/>
      <c r="K101" s="80" t="n"/>
    </row>
    <row r="102" ht="11.1" customHeight="1" s="5">
      <c r="A102" s="25" t="n"/>
      <c r="B102" s="25" t="n"/>
      <c r="C102" s="77" t="inlineStr">
        <is>
          <t>RR HOSIPATALITY SERVICES</t>
        </is>
      </c>
      <c r="D102" s="25" t="n"/>
      <c r="E102" s="30" t="n"/>
      <c r="F102" s="25" t="n"/>
      <c r="G102" s="25" t="n"/>
      <c r="H102" s="78" t="n">
        <v>0</v>
      </c>
      <c r="I102" s="78" t="n">
        <v>0</v>
      </c>
      <c r="J102" s="79" t="inlineStr">
        <is>
          <t>Stock Returned - Full Amount</t>
        </is>
      </c>
      <c r="K102" s="80" t="n"/>
    </row>
    <row r="103" ht="11.1" customHeight="1" s="5">
      <c r="A103" s="81" t="n">
        <v>46046</v>
      </c>
      <c r="B103" s="82" t="inlineStr">
        <is>
          <t>C-SLG/2102/25-26</t>
        </is>
      </c>
      <c r="C103" s="25" t="n"/>
      <c r="D103" s="87" t="n">
        <v>99017</v>
      </c>
      <c r="E103" s="84" t="n">
        <v>49017</v>
      </c>
      <c r="F103" s="85" t="n">
        <v>46071</v>
      </c>
      <c r="G103" s="86">
        <f>$E$2-F103</f>
        <v/>
      </c>
      <c r="H103" s="78" t="n">
        <v>49017</v>
      </c>
      <c r="I103" s="78" t="n">
        <v>0</v>
      </c>
      <c r="J103" s="82" t="inlineStr">
        <is>
          <t>Stock Returned to Nujeed</t>
        </is>
      </c>
      <c r="K103" s="80" t="n"/>
    </row>
    <row r="104" ht="11.1" customHeight="1" s="5">
      <c r="A104" s="25" t="n"/>
      <c r="B104" s="25" t="n"/>
      <c r="C104" s="25" t="n"/>
      <c r="D104" s="87" t="n">
        <v>99017</v>
      </c>
      <c r="E104" s="84" t="n">
        <v>49017</v>
      </c>
      <c r="F104" s="25" t="n"/>
      <c r="G104" s="25" t="n"/>
      <c r="H104" s="78" t="n">
        <v>49017</v>
      </c>
      <c r="I104" s="78" t="n">
        <v>0</v>
      </c>
      <c r="J104" s="82" t="n"/>
      <c r="K104" s="80" t="n"/>
    </row>
    <row r="105" ht="11.1" customHeight="1" s="5">
      <c r="A105" s="25" t="n"/>
      <c r="B105" s="25" t="n"/>
      <c r="C105" s="77" t="inlineStr">
        <is>
          <t>Sai Vaishnavi Book Agency</t>
        </is>
      </c>
      <c r="D105" s="25" t="n"/>
      <c r="E105" s="30" t="n"/>
      <c r="F105" s="25" t="n"/>
      <c r="G105" s="25" t="n"/>
      <c r="H105" s="78" t="n"/>
      <c r="I105" s="78" t="n"/>
      <c r="J105" s="79" t="n"/>
      <c r="K105" s="80" t="n"/>
      <c r="L105" s="7" t="inlineStr">
        <is>
          <t>RINGING NOT RESPONDING | RINGING NOT RESPONDING | RINGING NOT RESPONDING | NUMBER BUSY | HE WILL PAYNEXT WEEK ONLINE</t>
        </is>
      </c>
    </row>
    <row r="106" ht="11.1" customHeight="1" s="5">
      <c r="A106" s="81" t="n">
        <v>46083</v>
      </c>
      <c r="B106" s="82" t="inlineStr">
        <is>
          <t>C-SLG/2298/25-26</t>
        </is>
      </c>
      <c r="C106" s="25" t="n"/>
      <c r="D106" s="87" t="n">
        <v>14106</v>
      </c>
      <c r="E106" s="84" t="n">
        <v>14106</v>
      </c>
      <c r="F106" s="85" t="n">
        <v>46108</v>
      </c>
      <c r="G106" s="86">
        <f>$E$2-F106</f>
        <v/>
      </c>
      <c r="H106" s="78" t="n"/>
      <c r="I106" s="78">
        <f>E106-H106</f>
        <v/>
      </c>
      <c r="J106" s="79" t="n"/>
      <c r="K106" s="82" t="inlineStr">
        <is>
          <t>Sent Scanner on Whatsapp</t>
        </is>
      </c>
    </row>
    <row r="107" ht="11.1" customHeight="1" s="5">
      <c r="A107" s="25" t="n"/>
      <c r="B107" s="25" t="n"/>
      <c r="C107" s="25" t="n"/>
      <c r="D107" s="87" t="n">
        <v>14106</v>
      </c>
      <c r="E107" s="84" t="n">
        <v>14106</v>
      </c>
      <c r="F107" s="25" t="n"/>
      <c r="G107" s="25" t="n"/>
      <c r="H107" s="78" t="n"/>
      <c r="I107" s="78" t="n"/>
      <c r="J107" s="79" t="n"/>
      <c r="K107" s="80" t="n"/>
    </row>
    <row r="108" ht="11.1" customHeight="1" s="5">
      <c r="A108" s="25" t="n"/>
      <c r="B108" s="25" t="n"/>
      <c r="C108" s="77" t="inlineStr">
        <is>
          <t>Shiva Book Stall</t>
        </is>
      </c>
      <c r="D108" s="25" t="n"/>
      <c r="E108" s="30" t="n"/>
      <c r="F108" s="25" t="n"/>
      <c r="G108" s="25" t="n"/>
      <c r="H108" s="78" t="n"/>
      <c r="I108" s="78" t="n"/>
      <c r="J108" s="79" t="n"/>
      <c r="K108" s="80" t="n"/>
      <c r="L108" s="7" t="inlineStr">
        <is>
          <t>send bill in wattup | HE WILL PAY ON MONDAY | MONDAY  SEND THE SHAKEEL  HE WILL  RETURN THE STOCK</t>
        </is>
      </c>
    </row>
    <row r="109" ht="11.1" customHeight="1" s="5">
      <c r="A109" s="81" t="n">
        <v>46076</v>
      </c>
      <c r="B109" s="82" t="inlineStr">
        <is>
          <t>C-SLG/2269/25-26</t>
        </is>
      </c>
      <c r="C109" s="25" t="n"/>
      <c r="D109" s="87" t="n">
        <v>9399</v>
      </c>
      <c r="E109" s="84" t="n">
        <v>9399</v>
      </c>
      <c r="F109" s="85" t="n">
        <v>46101</v>
      </c>
      <c r="G109" s="86">
        <f>$E$2-F109</f>
        <v/>
      </c>
      <c r="H109" s="78" t="n"/>
      <c r="I109" s="78">
        <f>E109-H109</f>
        <v/>
      </c>
      <c r="J109" s="90" t="inlineStr">
        <is>
          <t>Some Issue - Send DSO</t>
        </is>
      </c>
      <c r="K109" s="80" t="n"/>
    </row>
    <row r="110" ht="11.1" customHeight="1" s="5">
      <c r="A110" s="25" t="n"/>
      <c r="B110" s="25" t="n"/>
      <c r="C110" s="25" t="n"/>
      <c r="D110" s="87" t="n">
        <v>9399</v>
      </c>
      <c r="E110" s="84" t="n">
        <v>9399</v>
      </c>
      <c r="F110" s="25" t="n"/>
      <c r="G110" s="25" t="n"/>
      <c r="H110" s="78" t="n"/>
      <c r="I110" s="78" t="n"/>
      <c r="J110" s="79" t="n"/>
      <c r="K110" s="80" t="n"/>
    </row>
    <row r="111" ht="11.1" customHeight="1" s="5">
      <c r="A111" s="25" t="n"/>
      <c r="B111" s="25" t="n"/>
      <c r="C111" s="77" t="inlineStr">
        <is>
          <t>SHRI SHARADA  BOOK DISTRIBUTERS</t>
        </is>
      </c>
      <c r="D111" s="25" t="n"/>
      <c r="E111" s="30" t="n"/>
      <c r="F111" s="25" t="n"/>
      <c r="G111" s="25" t="n"/>
      <c r="H111" s="78" t="n"/>
      <c r="I111" s="78" t="n"/>
      <c r="J111" s="79" t="n"/>
      <c r="K111" s="80" t="n"/>
    </row>
    <row r="112" ht="11.1" customHeight="1" s="5">
      <c r="A112" s="81" t="n">
        <v>46133</v>
      </c>
      <c r="B112" s="82" t="inlineStr">
        <is>
          <t>C-SLG/0061/26-27</t>
        </is>
      </c>
      <c r="C112" s="25" t="n"/>
      <c r="D112" s="87" t="n">
        <v>670</v>
      </c>
      <c r="E112" s="84" t="n">
        <v>670</v>
      </c>
      <c r="F112" s="85" t="n">
        <v>46158</v>
      </c>
      <c r="G112" s="86">
        <f>$E$2-F112</f>
        <v/>
      </c>
      <c r="H112" s="78" t="n"/>
      <c r="I112" s="78">
        <f>E112-H112</f>
        <v/>
      </c>
      <c r="J112" s="79" t="n"/>
      <c r="K112" s="80" t="n"/>
    </row>
    <row r="113" ht="11.1" customHeight="1" s="5">
      <c r="A113" s="25" t="n"/>
      <c r="B113" s="25" t="n"/>
      <c r="C113" s="25" t="n"/>
      <c r="D113" s="87" t="n">
        <v>670</v>
      </c>
      <c r="E113" s="84" t="n">
        <v>670</v>
      </c>
      <c r="F113" s="25" t="n"/>
      <c r="G113" s="25" t="n"/>
      <c r="H113" s="78" t="n"/>
      <c r="I113" s="78" t="n"/>
      <c r="J113" s="79" t="n"/>
      <c r="K113" s="80" t="n"/>
    </row>
    <row r="114" ht="11.1" customHeight="1" s="5">
      <c r="A114" s="25" t="n"/>
      <c r="B114" s="25" t="n"/>
      <c r="C114" s="77" t="inlineStr">
        <is>
          <t>SIDDHARTHA STATIONERY &amp; ELECRTRICAL</t>
        </is>
      </c>
      <c r="D114" s="25" t="n"/>
      <c r="E114" s="30" t="n"/>
      <c r="F114" s="25" t="n"/>
      <c r="G114" s="25" t="n"/>
      <c r="H114" s="78" t="n"/>
      <c r="I114" s="78" t="n"/>
      <c r="J114" s="79" t="n"/>
      <c r="K114" s="80" t="n"/>
      <c r="L114" s="7" t="inlineStr">
        <is>
          <t>RINGING NOT RESPONDING | RINGING NOT RESPONDING | NUMBER BUSY | RINGING NOT RESPONDING | RINGING NOT RESPONDING | RINGING NOT RESPONDING</t>
        </is>
      </c>
    </row>
    <row r="115" ht="11.1" customHeight="1" s="5">
      <c r="A115" s="81" t="n">
        <v>46057</v>
      </c>
      <c r="B115" s="82" t="inlineStr">
        <is>
          <t>C-SLG/2179/25-26</t>
        </is>
      </c>
      <c r="C115" s="25" t="n"/>
      <c r="D115" s="87" t="n">
        <v>5370</v>
      </c>
      <c r="E115" s="84" t="n">
        <v>5370</v>
      </c>
      <c r="F115" s="85" t="n">
        <v>46082</v>
      </c>
      <c r="G115" s="86">
        <f>$E$2-F115</f>
        <v/>
      </c>
      <c r="H115" s="78" t="n"/>
      <c r="I115" s="78">
        <f>E115-H115</f>
        <v/>
      </c>
      <c r="J115" s="79" t="n"/>
      <c r="K115" s="82" t="inlineStr">
        <is>
          <t>Number Busy</t>
        </is>
      </c>
    </row>
    <row r="116" ht="11.1" customHeight="1" s="5">
      <c r="A116" s="25" t="n"/>
      <c r="B116" s="25" t="n"/>
      <c r="C116" s="25" t="n"/>
      <c r="D116" s="87" t="n">
        <v>5370</v>
      </c>
      <c r="E116" s="84" t="n">
        <v>5370</v>
      </c>
      <c r="F116" s="25" t="n"/>
      <c r="G116" s="25" t="n"/>
      <c r="H116" s="78" t="n"/>
      <c r="I116" s="78" t="n"/>
      <c r="J116" s="79" t="n"/>
      <c r="K116" s="80" t="n"/>
    </row>
    <row r="117" ht="11.1" customHeight="1" s="5">
      <c r="A117" s="25" t="n"/>
      <c r="B117" s="25" t="n"/>
      <c r="C117" s="77" t="inlineStr">
        <is>
          <t>SREE VENKATESHWARA PUBLISHERS</t>
        </is>
      </c>
      <c r="D117" s="25" t="n"/>
      <c r="E117" s="30" t="n"/>
      <c r="F117" s="25" t="n"/>
      <c r="G117" s="25" t="n"/>
      <c r="H117" s="78" t="n"/>
      <c r="I117" s="78" t="n"/>
      <c r="J117" s="79" t="n"/>
      <c r="K117" s="80" t="n"/>
      <c r="L117" s="7" t="inlineStr">
        <is>
          <t>RINGING NOT RESPONDING | NUMBER BUSY | NUMBER BUSY | RINGING NOT RESPONDING | RINGING NOT RESPONDING | NUMBER BUSY | AFTER 10D HE WILL PAY</t>
        </is>
      </c>
    </row>
    <row r="118" ht="11.1" customHeight="1" s="5">
      <c r="A118" s="81" t="n">
        <v>45968</v>
      </c>
      <c r="B118" s="82" t="inlineStr">
        <is>
          <t>C-SLG/1620/25-26</t>
        </is>
      </c>
      <c r="C118" s="25" t="n"/>
      <c r="D118" s="87" t="n">
        <v>5248</v>
      </c>
      <c r="E118" s="84" t="n">
        <v>5248</v>
      </c>
      <c r="F118" s="85" t="n">
        <v>45993</v>
      </c>
      <c r="G118" s="86">
        <f>$E$2-F118</f>
        <v/>
      </c>
      <c r="H118" s="78" t="n"/>
      <c r="I118" s="78">
        <f>E118-H118</f>
        <v/>
      </c>
      <c r="J118" s="79" t="inlineStr">
        <is>
          <t>After 10d Collect Payment</t>
        </is>
      </c>
      <c r="K118" s="80" t="n"/>
    </row>
    <row r="119" ht="11.1" customHeight="1" s="5">
      <c r="A119" s="81" t="n">
        <v>45981</v>
      </c>
      <c r="B119" s="82" t="inlineStr">
        <is>
          <t>C-SLG/1718/25-26</t>
        </is>
      </c>
      <c r="C119" s="25" t="n"/>
      <c r="D119" s="87" t="n">
        <v>1170</v>
      </c>
      <c r="E119" s="84" t="n">
        <v>1170</v>
      </c>
      <c r="F119" s="85" t="n">
        <v>46006</v>
      </c>
      <c r="G119" s="86">
        <f>$E$2-F119</f>
        <v/>
      </c>
      <c r="H119" s="78" t="n"/>
      <c r="I119" s="78">
        <f>E119-H119</f>
        <v/>
      </c>
      <c r="J119" s="79" t="inlineStr">
        <is>
          <t>After 10d Collect Payment</t>
        </is>
      </c>
      <c r="K119" s="80" t="n"/>
    </row>
    <row r="120" ht="11.1" customHeight="1" s="5">
      <c r="A120" s="81" t="n">
        <v>45987</v>
      </c>
      <c r="B120" s="82" t="inlineStr">
        <is>
          <t>C-SLG/1773/25-26</t>
        </is>
      </c>
      <c r="C120" s="25" t="n"/>
      <c r="D120" s="87" t="n">
        <v>23364</v>
      </c>
      <c r="E120" s="84" t="n">
        <v>6342</v>
      </c>
      <c r="F120" s="85" t="n">
        <v>46012</v>
      </c>
      <c r="G120" s="86">
        <f>$E$2-F120</f>
        <v/>
      </c>
      <c r="H120" s="78" t="n"/>
      <c r="I120" s="78">
        <f>E120-H120</f>
        <v/>
      </c>
      <c r="J120" s="79" t="inlineStr">
        <is>
          <t>After 10d Collect Payment</t>
        </is>
      </c>
      <c r="K120" s="80" t="n"/>
    </row>
    <row r="121" ht="11.1" customHeight="1" s="5">
      <c r="A121" s="81" t="n">
        <v>46049</v>
      </c>
      <c r="B121" s="82" t="inlineStr">
        <is>
          <t>C-SLG/2108/25-26</t>
        </is>
      </c>
      <c r="C121" s="25" t="n"/>
      <c r="D121" s="87" t="n">
        <v>47824</v>
      </c>
      <c r="E121" s="84" t="n">
        <v>47824</v>
      </c>
      <c r="F121" s="85" t="n">
        <v>46074</v>
      </c>
      <c r="G121" s="86">
        <f>$E$2-F121</f>
        <v/>
      </c>
      <c r="H121" s="78" t="n"/>
      <c r="I121" s="78">
        <f>E121-H121</f>
        <v/>
      </c>
      <c r="J121" s="79" t="inlineStr">
        <is>
          <t>After 10d Collect Payment</t>
        </is>
      </c>
      <c r="K121" s="80" t="n"/>
    </row>
    <row r="122" ht="11.1" customHeight="1" s="5">
      <c r="A122" s="25" t="n"/>
      <c r="B122" s="25" t="n"/>
      <c r="C122" s="25" t="n"/>
      <c r="D122" s="87" t="n">
        <v>77606</v>
      </c>
      <c r="E122" s="84" t="n">
        <v>60584</v>
      </c>
      <c r="F122" s="25" t="n"/>
      <c r="G122" s="25" t="n"/>
      <c r="H122" s="78" t="n"/>
      <c r="I122" s="78" t="n"/>
      <c r="J122" s="79" t="n"/>
      <c r="K122" s="80" t="n"/>
    </row>
    <row r="123" ht="11.1" customHeight="1" s="5">
      <c r="A123" s="25" t="n"/>
      <c r="B123" s="25" t="n"/>
      <c r="C123" s="77" t="inlineStr">
        <is>
          <t>SRI RAKHI BOOK CENTER</t>
        </is>
      </c>
      <c r="D123" s="25" t="n"/>
      <c r="E123" s="30" t="n"/>
      <c r="F123" s="25" t="n"/>
      <c r="G123" s="25" t="n"/>
      <c r="H123" s="78" t="n"/>
      <c r="I123" s="78" t="n"/>
      <c r="J123" s="79" t="n"/>
      <c r="K123" s="80" t="n"/>
      <c r="L123" s="7" t="inlineStr">
        <is>
          <t>RINGING NOT RESPONDING | RINGING NOT RESPONDING | RINGING NOT RESPONDING | RINGING NOT RESPONDING | RINGING NOT RESPONDING | RINGING NOT RESPONDING | RINGING NOT RESPONDING</t>
        </is>
      </c>
    </row>
    <row r="124" ht="11.1" customHeight="1" s="5">
      <c r="A124" s="81" t="n">
        <v>46052</v>
      </c>
      <c r="B124" s="82" t="inlineStr">
        <is>
          <t>C-SLG/2148/25-26</t>
        </is>
      </c>
      <c r="C124" s="25" t="n"/>
      <c r="D124" s="87" t="n">
        <v>25760</v>
      </c>
      <c r="E124" s="84" t="n">
        <v>25760</v>
      </c>
      <c r="F124" s="85" t="n">
        <v>46077</v>
      </c>
      <c r="G124" s="86">
        <f>$E$2-F124</f>
        <v/>
      </c>
      <c r="H124" s="78" t="n"/>
      <c r="I124" s="78">
        <f>E124-H124</f>
        <v/>
      </c>
      <c r="J124" s="79" t="n"/>
      <c r="K124" s="100" t="inlineStr">
        <is>
          <t>Send DSO for Stock Return Collection</t>
        </is>
      </c>
    </row>
    <row r="125" ht="11.1" customHeight="1" s="5">
      <c r="A125" s="25" t="n"/>
      <c r="B125" s="25" t="n"/>
      <c r="C125" s="25" t="n"/>
      <c r="D125" s="87" t="n">
        <v>25760</v>
      </c>
      <c r="E125" s="84" t="n">
        <v>25760</v>
      </c>
      <c r="F125" s="25" t="n"/>
      <c r="G125" s="25" t="n"/>
      <c r="H125" s="78" t="n"/>
      <c r="I125" s="78" t="n"/>
      <c r="J125" s="79" t="n"/>
      <c r="K125" s="80" t="n"/>
    </row>
    <row r="126" ht="11.1" customHeight="1" s="5">
      <c r="A126" s="25" t="n"/>
      <c r="B126" s="25" t="n"/>
      <c r="C126" s="77" t="inlineStr">
        <is>
          <t>Sri Shyam Enterprises</t>
        </is>
      </c>
      <c r="D126" s="25" t="n"/>
      <c r="E126" s="30" t="n"/>
      <c r="F126" s="25" t="n"/>
      <c r="G126" s="25" t="n"/>
      <c r="H126" s="78" t="n"/>
      <c r="I126" s="78" t="n"/>
      <c r="J126" s="79" t="n"/>
      <c r="K126" s="80" t="n"/>
      <c r="L126" s="7" t="inlineStr">
        <is>
          <t>8686705353 | HE SAID THAT SENDBILLWITHPERSON</t>
        </is>
      </c>
    </row>
    <row r="127" ht="11.1" customHeight="1" s="5">
      <c r="A127" s="81" t="n">
        <v>46007</v>
      </c>
      <c r="B127" s="82" t="inlineStr">
        <is>
          <t>C-SLG/1902/25-26</t>
        </is>
      </c>
      <c r="C127" s="25" t="n"/>
      <c r="D127" s="87" t="n">
        <v>1180</v>
      </c>
      <c r="E127" s="84" t="n">
        <v>100</v>
      </c>
      <c r="F127" s="85" t="n">
        <v>46032</v>
      </c>
      <c r="G127" s="86">
        <f>$E$2-F127</f>
        <v/>
      </c>
      <c r="H127" s="78" t="n"/>
      <c r="I127" s="78">
        <f>E127-H127</f>
        <v/>
      </c>
      <c r="J127" s="79" t="n"/>
      <c r="K127" s="80" t="n"/>
    </row>
    <row r="128" ht="11.1" customHeight="1" s="5">
      <c r="A128" s="25" t="n"/>
      <c r="B128" s="25" t="n"/>
      <c r="C128" s="25" t="n"/>
      <c r="D128" s="87" t="n">
        <v>1180</v>
      </c>
      <c r="E128" s="84" t="n">
        <v>100</v>
      </c>
      <c r="F128" s="25" t="n"/>
      <c r="G128" s="25" t="n"/>
      <c r="H128" s="78" t="n"/>
      <c r="I128" s="78" t="n"/>
      <c r="J128" s="79" t="n"/>
      <c r="K128" s="80" t="n"/>
    </row>
    <row r="129" ht="11.1" customHeight="1" s="5">
      <c r="A129" s="25" t="n"/>
      <c r="B129" s="25" t="n"/>
      <c r="C129" s="77" t="inlineStr">
        <is>
          <t>SRI VENKTESHWARA BOOK HOUSE</t>
        </is>
      </c>
      <c r="D129" s="25" t="n"/>
      <c r="E129" s="30" t="n"/>
      <c r="F129" s="25" t="n"/>
      <c r="G129" s="25" t="n"/>
      <c r="H129" s="78" t="n"/>
      <c r="I129" s="78" t="n"/>
      <c r="J129" s="79" t="n"/>
      <c r="K129" s="80" t="n"/>
    </row>
    <row r="130" ht="11.1" customHeight="1" s="5">
      <c r="A130" s="81" t="n">
        <v>46129</v>
      </c>
      <c r="B130" s="82" t="inlineStr">
        <is>
          <t>C-SLG/0050/26-27</t>
        </is>
      </c>
      <c r="C130" s="25" t="n"/>
      <c r="D130" s="87" t="n">
        <v>5517</v>
      </c>
      <c r="E130" s="84" t="n">
        <v>5517</v>
      </c>
      <c r="F130" s="85" t="n">
        <v>46154</v>
      </c>
      <c r="G130" s="86">
        <f>$E$2-F130</f>
        <v/>
      </c>
      <c r="H130" s="78" t="n"/>
      <c r="I130" s="78">
        <f>E130-H130</f>
        <v/>
      </c>
      <c r="J130" s="79" t="n"/>
      <c r="K130" s="80" t="n"/>
    </row>
    <row r="131" ht="11.1" customHeight="1" s="5">
      <c r="A131" s="25" t="n"/>
      <c r="B131" s="25" t="n"/>
      <c r="C131" s="25" t="n"/>
      <c r="D131" s="87" t="n">
        <v>5517</v>
      </c>
      <c r="E131" s="84" t="n">
        <v>5517</v>
      </c>
      <c r="F131" s="25" t="n"/>
      <c r="G131" s="25" t="n"/>
      <c r="H131" s="78" t="n"/>
      <c r="I131" s="78" t="n"/>
      <c r="J131" s="79" t="n"/>
      <c r="K131" s="80" t="n"/>
    </row>
    <row r="132" ht="11.1" customHeight="1" s="5">
      <c r="A132" s="25" t="n"/>
      <c r="B132" s="25" t="n"/>
      <c r="C132" s="91" t="inlineStr">
        <is>
          <t>SRI VIDYA SARASWATI COLLECTION</t>
        </is>
      </c>
      <c r="D132" s="25" t="n"/>
      <c r="E132" s="30" t="n"/>
      <c r="F132" s="25" t="n"/>
      <c r="G132" s="25" t="n"/>
      <c r="H132" s="78" t="n"/>
      <c r="I132" s="78" t="n"/>
      <c r="J132" s="79" t="n"/>
      <c r="K132" s="80" t="n"/>
      <c r="L132" s="7" t="inlineStr">
        <is>
          <t>RINGING NOT  RESPONDING | RINGING NOT  RESPONDING</t>
        </is>
      </c>
    </row>
    <row r="133" ht="11.1" customHeight="1" s="5">
      <c r="A133" s="81" t="n">
        <v>46105</v>
      </c>
      <c r="B133" s="82" t="inlineStr">
        <is>
          <t>C-SLG/2425/25-26</t>
        </is>
      </c>
      <c r="C133" s="25" t="n"/>
      <c r="D133" s="87" t="n">
        <v>12031</v>
      </c>
      <c r="E133" s="84" t="n">
        <v>12031</v>
      </c>
      <c r="F133" s="85" t="n">
        <v>46130</v>
      </c>
      <c r="G133" s="86">
        <f>$E$2-F133</f>
        <v/>
      </c>
      <c r="H133" s="78" t="n"/>
      <c r="I133" s="78">
        <f>E133-H133</f>
        <v/>
      </c>
      <c r="J133" s="79" t="inlineStr">
        <is>
          <t xml:space="preserve">Not Called </t>
        </is>
      </c>
      <c r="K133" s="80" t="n"/>
    </row>
    <row r="134" ht="11.1" customHeight="1" s="5">
      <c r="A134" s="81" t="n">
        <v>46122</v>
      </c>
      <c r="B134" s="82" t="inlineStr">
        <is>
          <t>C-SLG/0027/26-27</t>
        </is>
      </c>
      <c r="C134" s="25" t="n"/>
      <c r="D134" s="87" t="n">
        <v>6100</v>
      </c>
      <c r="E134" s="84" t="n">
        <v>6100</v>
      </c>
      <c r="F134" s="85" t="n">
        <v>46147</v>
      </c>
      <c r="G134" s="86">
        <f>$E$2-F134</f>
        <v/>
      </c>
      <c r="H134" s="78" t="n"/>
      <c r="I134" s="78">
        <f>E134-H134</f>
        <v/>
      </c>
      <c r="J134" s="79" t="inlineStr">
        <is>
          <t xml:space="preserve">Not Called </t>
        </is>
      </c>
      <c r="K134" s="80" t="n"/>
    </row>
    <row r="135" ht="11.1" customHeight="1" s="5">
      <c r="A135" s="81" t="n">
        <v>46137</v>
      </c>
      <c r="B135" s="82" t="inlineStr">
        <is>
          <t>C-SLG/0070/26-27</t>
        </is>
      </c>
      <c r="C135" s="25" t="n"/>
      <c r="D135" s="87" t="n">
        <v>3812</v>
      </c>
      <c r="E135" s="83" t="n">
        <v>3812</v>
      </c>
      <c r="F135" s="85" t="n">
        <v>46162</v>
      </c>
      <c r="G135" s="25" t="n"/>
      <c r="H135" s="78" t="n"/>
      <c r="I135" s="78" t="n"/>
      <c r="J135" s="79" t="n"/>
      <c r="K135" s="80" t="n"/>
    </row>
    <row r="136" ht="11.1" customHeight="1" s="5">
      <c r="A136" s="25" t="n"/>
      <c r="B136" s="25" t="n"/>
      <c r="C136" s="25" t="n"/>
      <c r="D136" s="87" t="n">
        <v>21943</v>
      </c>
      <c r="E136" s="84" t="n">
        <v>21943</v>
      </c>
      <c r="F136" s="25" t="n"/>
      <c r="G136" s="25" t="n"/>
      <c r="H136" s="78" t="n"/>
      <c r="I136" s="78" t="n"/>
      <c r="J136" s="79" t="n"/>
      <c r="K136" s="80" t="n"/>
    </row>
    <row r="137" ht="11.1" customHeight="1" s="5">
      <c r="A137" s="25" t="n"/>
      <c r="B137" s="25" t="n"/>
      <c r="C137" s="77" t="inlineStr">
        <is>
          <t>Stationey Xerox</t>
        </is>
      </c>
      <c r="D137" s="25" t="n"/>
      <c r="E137" s="30" t="n"/>
      <c r="F137" s="25" t="n"/>
      <c r="G137" s="25" t="n"/>
      <c r="H137" s="78" t="n"/>
      <c r="I137" s="78" t="n"/>
      <c r="J137" s="79" t="n"/>
      <c r="K137" s="80" t="n"/>
      <c r="L137" s="7" t="inlineStr">
        <is>
          <t>RINGING NOT RESPONDING | RINGING NOT RESPONDING | RINGING NOT RESPONDING | RINGING NOT RESPONDING | RINGING NOT RESPONDING | RINGING NOT RESPONDING | RINGING NOT RESPONDING</t>
        </is>
      </c>
    </row>
    <row r="138" ht="11.1" customHeight="1" s="5">
      <c r="A138" s="81" t="n">
        <v>46059</v>
      </c>
      <c r="B138" s="82" t="inlineStr">
        <is>
          <t>C-SLG/2197/25-26</t>
        </is>
      </c>
      <c r="C138" s="25" t="n"/>
      <c r="D138" s="87" t="n">
        <v>19279</v>
      </c>
      <c r="E138" s="84" t="n">
        <v>19279</v>
      </c>
      <c r="F138" s="85" t="n">
        <v>46084</v>
      </c>
      <c r="G138" s="86">
        <f>$E$2-F138</f>
        <v/>
      </c>
      <c r="H138" s="78" t="n"/>
      <c r="I138" s="78">
        <f>E138-H138</f>
        <v/>
      </c>
      <c r="J138" s="79" t="n"/>
      <c r="K138" s="79" t="inlineStr">
        <is>
          <t>Not responding</t>
        </is>
      </c>
    </row>
    <row r="139" ht="11.1" customHeight="1" s="5">
      <c r="A139" s="25" t="n"/>
      <c r="B139" s="25" t="n"/>
      <c r="C139" s="25" t="n"/>
      <c r="D139" s="87" t="n">
        <v>19279</v>
      </c>
      <c r="E139" s="84" t="n">
        <v>19279</v>
      </c>
      <c r="F139" s="25" t="n"/>
      <c r="G139" s="25" t="n"/>
      <c r="H139" s="78" t="n"/>
      <c r="I139" s="78" t="n"/>
      <c r="J139" s="79" t="n"/>
      <c r="K139" s="80" t="n"/>
    </row>
    <row r="140" ht="11.1" customHeight="1" s="5">
      <c r="A140" s="25" t="n"/>
      <c r="B140" s="25" t="n"/>
      <c r="C140" s="77" t="inlineStr">
        <is>
          <t>THE DECCAN PEN STORE</t>
        </is>
      </c>
      <c r="D140" s="25" t="n"/>
      <c r="E140" s="30" t="n"/>
      <c r="F140" s="25" t="n"/>
      <c r="G140" s="25" t="n"/>
      <c r="H140" s="78" t="n"/>
      <c r="I140" s="78" t="n"/>
      <c r="J140" s="79" t="n"/>
      <c r="K140" s="80" t="n"/>
      <c r="L140" s="7" t="inlineStr">
        <is>
          <t>RINGING NOT  RESPONDING | RINGING NOT  RESPONDING | RINGING NOT  RESPONDING | RINGING NOT  RESPONDING</t>
        </is>
      </c>
    </row>
    <row r="141" ht="11.1" customHeight="1" s="5">
      <c r="A141" s="81" t="n">
        <v>46105</v>
      </c>
      <c r="B141" s="82" t="inlineStr">
        <is>
          <t>C-SLG/2430/25-26</t>
        </is>
      </c>
      <c r="C141" s="25" t="n"/>
      <c r="D141" s="87" t="n">
        <v>3988</v>
      </c>
      <c r="E141" s="84" t="n">
        <v>3988</v>
      </c>
      <c r="F141" s="85" t="n">
        <v>46130</v>
      </c>
      <c r="G141" s="86">
        <f>$E$2-F141</f>
        <v/>
      </c>
      <c r="H141" s="78" t="n"/>
      <c r="I141" s="78">
        <f>E141-H141</f>
        <v/>
      </c>
      <c r="J141" s="79" t="n"/>
      <c r="K141" s="79" t="inlineStr">
        <is>
          <t>Not responding</t>
        </is>
      </c>
    </row>
    <row r="142" ht="11.1" customHeight="1" s="5">
      <c r="A142" s="81" t="n">
        <v>46121</v>
      </c>
      <c r="B142" s="82" t="inlineStr">
        <is>
          <t>C-SLG/002/26-27</t>
        </is>
      </c>
      <c r="C142" s="25" t="n"/>
      <c r="D142" s="87" t="n">
        <v>2021</v>
      </c>
      <c r="E142" s="84" t="n">
        <v>2021</v>
      </c>
      <c r="F142" s="85" t="n">
        <v>46146</v>
      </c>
      <c r="G142" s="86">
        <f>$E$2-F142</f>
        <v/>
      </c>
      <c r="H142" s="78" t="n"/>
      <c r="I142" s="78">
        <f>E142-H142</f>
        <v/>
      </c>
      <c r="J142" s="79" t="n"/>
      <c r="K142" s="79" t="inlineStr">
        <is>
          <t>Not responding</t>
        </is>
      </c>
    </row>
    <row r="143" ht="11.1" customHeight="1" s="5">
      <c r="A143" s="25" t="n"/>
      <c r="B143" s="25" t="n"/>
      <c r="C143" s="25" t="n"/>
      <c r="D143" s="87" t="n">
        <v>6009</v>
      </c>
      <c r="E143" s="84" t="n">
        <v>6009</v>
      </c>
      <c r="F143" s="25" t="n"/>
      <c r="G143" s="25" t="n"/>
      <c r="H143" s="78" t="n"/>
      <c r="I143" s="78" t="n"/>
      <c r="J143" s="79" t="n"/>
      <c r="K143" s="80" t="n"/>
    </row>
    <row r="144" ht="11.1" customHeight="1" s="5">
      <c r="A144" s="25" t="n"/>
      <c r="B144" s="25" t="n"/>
      <c r="C144" s="77" t="inlineStr">
        <is>
          <t>TRIBHUVAN BOOKS &amp; STATIONERY</t>
        </is>
      </c>
      <c r="D144" s="25" t="n"/>
      <c r="E144" s="30" t="n"/>
      <c r="F144" s="25" t="n"/>
      <c r="G144" s="25" t="n"/>
      <c r="H144" s="78" t="n"/>
      <c r="I144" s="78" t="n"/>
      <c r="J144" s="79" t="n"/>
      <c r="K144" s="80" t="n"/>
      <c r="L144" s="7" t="inlineStr">
        <is>
          <t>NUMBER BUSY | RINGING NOT  RESPONDING | RINGING NOT  RESPONDING | BUSY</t>
        </is>
      </c>
    </row>
    <row r="145" ht="11.1" customHeight="1" s="5">
      <c r="A145" s="81" t="n">
        <v>46107</v>
      </c>
      <c r="B145" s="82" t="inlineStr">
        <is>
          <t>C-SLG/2445/25-26</t>
        </is>
      </c>
      <c r="C145" s="25" t="n"/>
      <c r="D145" s="87" t="n">
        <v>28248</v>
      </c>
      <c r="E145" s="84" t="n">
        <v>28248</v>
      </c>
      <c r="F145" s="85" t="n">
        <v>46132</v>
      </c>
      <c r="G145" s="86">
        <f>$E$2-F145</f>
        <v/>
      </c>
      <c r="H145" s="78" t="n"/>
      <c r="I145" s="78">
        <f>E145-H145</f>
        <v/>
      </c>
      <c r="J145" s="79" t="n"/>
      <c r="K145" s="98" t="inlineStr">
        <is>
          <t xml:space="preserve">Send DSO with Bill </t>
        </is>
      </c>
    </row>
    <row r="146" ht="11.1" customHeight="1" s="5">
      <c r="A146" s="25" t="n"/>
      <c r="B146" s="25" t="n"/>
      <c r="C146" s="25" t="n"/>
      <c r="D146" s="87" t="n">
        <v>28248</v>
      </c>
      <c r="E146" s="84" t="n">
        <v>28248</v>
      </c>
      <c r="F146" s="25" t="n"/>
      <c r="G146" s="25" t="n"/>
      <c r="H146" s="78" t="n"/>
      <c r="I146" s="78" t="n"/>
      <c r="J146" s="79" t="n"/>
      <c r="K146" s="80" t="n"/>
    </row>
    <row r="147" ht="11.1" customHeight="1" s="5">
      <c r="A147" s="25" t="n"/>
      <c r="B147" s="25" t="n"/>
      <c r="C147" s="77" t="inlineStr">
        <is>
          <t>T.V Gupta</t>
        </is>
      </c>
      <c r="D147" s="25" t="n"/>
      <c r="E147" s="30" t="n"/>
      <c r="F147" s="25" t="n"/>
      <c r="G147" s="25" t="n"/>
      <c r="H147" s="78" t="n"/>
      <c r="I147" s="78" t="n"/>
      <c r="J147" s="79" t="n"/>
      <c r="K147" s="80" t="n"/>
    </row>
    <row r="148" ht="11.1" customHeight="1" s="5">
      <c r="A148" s="81" t="n">
        <v>46130</v>
      </c>
      <c r="B148" s="82" t="inlineStr">
        <is>
          <t>C-SLG/0055/26-27</t>
        </is>
      </c>
      <c r="C148" s="25" t="n"/>
      <c r="D148" s="87" t="n">
        <v>3176</v>
      </c>
      <c r="E148" s="84" t="n">
        <v>3176</v>
      </c>
      <c r="F148" s="85" t="n">
        <v>46155</v>
      </c>
      <c r="G148" s="86">
        <f>$E$2-F148</f>
        <v/>
      </c>
      <c r="H148" s="78" t="n"/>
      <c r="I148" s="78">
        <f>E148-H148</f>
        <v/>
      </c>
      <c r="J148" s="79" t="n"/>
      <c r="K148" s="80" t="n"/>
    </row>
    <row r="149" ht="11.1" customHeight="1" s="5">
      <c r="A149" s="25" t="n"/>
      <c r="B149" s="25" t="n"/>
      <c r="C149" s="25" t="n"/>
      <c r="D149" s="87" t="n">
        <v>3176</v>
      </c>
      <c r="E149" s="84" t="n">
        <v>3176</v>
      </c>
      <c r="F149" s="25" t="n"/>
      <c r="G149" s="25" t="n"/>
      <c r="H149" s="78" t="n"/>
      <c r="I149" s="78" t="n"/>
      <c r="J149" s="79" t="n"/>
      <c r="K149" s="80" t="n"/>
    </row>
    <row r="150" ht="11.1" customHeight="1" s="5">
      <c r="A150" s="25" t="n"/>
      <c r="B150" s="25" t="n"/>
      <c r="C150" s="77" t="inlineStr">
        <is>
          <t>United Paper &amp; Stationery</t>
        </is>
      </c>
      <c r="D150" s="25" t="n"/>
      <c r="E150" s="30" t="n"/>
      <c r="F150" s="25" t="n"/>
      <c r="G150" s="25" t="n"/>
      <c r="H150" s="78" t="n"/>
      <c r="I150" s="78" t="n"/>
      <c r="J150" s="79" t="n"/>
      <c r="K150" s="80" t="n"/>
    </row>
    <row r="151" ht="11.1" customHeight="1" s="5">
      <c r="A151" s="81" t="n">
        <v>46134</v>
      </c>
      <c r="B151" s="82" t="inlineStr">
        <is>
          <t>C-SLG/0063/26-27</t>
        </is>
      </c>
      <c r="C151" s="25" t="n"/>
      <c r="D151" s="87" t="n">
        <v>458</v>
      </c>
      <c r="E151" s="83" t="n">
        <v>458</v>
      </c>
      <c r="F151" s="85" t="n">
        <v>46159</v>
      </c>
      <c r="G151" s="86">
        <f>$E$2-F151</f>
        <v/>
      </c>
      <c r="H151" s="78" t="n"/>
      <c r="I151" s="78">
        <f>E151-H151</f>
        <v/>
      </c>
      <c r="J151" s="79" t="n"/>
      <c r="K151" s="80" t="n"/>
    </row>
    <row r="152" ht="11.1" customHeight="1" s="5">
      <c r="A152" s="25" t="n"/>
      <c r="B152" s="25" t="n"/>
      <c r="C152" s="25" t="n"/>
      <c r="D152" s="87" t="n">
        <v>458</v>
      </c>
      <c r="E152" s="84" t="n">
        <v>458</v>
      </c>
      <c r="F152" s="25" t="n"/>
      <c r="G152" s="25" t="n"/>
      <c r="H152" s="78" t="n"/>
      <c r="I152" s="78" t="n"/>
      <c r="J152" s="79" t="n"/>
      <c r="K152" s="80" t="n"/>
    </row>
    <row r="153" ht="11.1" customHeight="1" s="5">
      <c r="A153" s="25" t="n"/>
      <c r="B153" s="25" t="n"/>
      <c r="C153" s="77" t="inlineStr">
        <is>
          <t>Universal Book Shop</t>
        </is>
      </c>
      <c r="D153" s="25" t="n"/>
      <c r="E153" s="30" t="n"/>
      <c r="F153" s="25" t="n"/>
      <c r="G153" s="25" t="n"/>
      <c r="H153" s="78" t="n"/>
      <c r="I153" s="78" t="n"/>
      <c r="J153" s="79" t="n"/>
      <c r="K153" s="80" t="n"/>
      <c r="L153" s="7" t="inlineStr">
        <is>
          <t>RINGING NOT RESPONDING | RINGING NOT RESPONDING | RINGING NOT RESPONDING | RINGING NOT RESPONDING | MONDAY  HE WILL PAY | RINGING NOT RESPONDING</t>
        </is>
      </c>
    </row>
    <row r="154" ht="11.1" customHeight="1" s="5">
      <c r="A154" s="81" t="n">
        <v>45965</v>
      </c>
      <c r="B154" s="82" t="inlineStr">
        <is>
          <t>C-SLG/1597/25-26</t>
        </is>
      </c>
      <c r="C154" s="25" t="n"/>
      <c r="D154" s="87" t="n">
        <v>31676</v>
      </c>
      <c r="E154" s="84" t="n">
        <v>9357</v>
      </c>
      <c r="F154" s="85" t="n">
        <v>45990</v>
      </c>
      <c r="G154" s="86">
        <f>$E$2-F154</f>
        <v/>
      </c>
      <c r="H154" s="78" t="n"/>
      <c r="I154" s="78">
        <f>E154-H154</f>
        <v/>
      </c>
      <c r="J154" s="79" t="inlineStr">
        <is>
          <t>He will Pay in 2 days</t>
        </is>
      </c>
      <c r="K154" s="80" t="n"/>
    </row>
    <row r="155" ht="11.1" customHeight="1" s="5">
      <c r="A155" s="81" t="n">
        <v>46021</v>
      </c>
      <c r="B155" s="82" t="inlineStr">
        <is>
          <t>C-SLG/2013/25-26</t>
        </is>
      </c>
      <c r="C155" s="25" t="n"/>
      <c r="D155" s="87" t="n">
        <v>643</v>
      </c>
      <c r="E155" s="84" t="n">
        <v>643</v>
      </c>
      <c r="F155" s="85" t="n">
        <v>46046</v>
      </c>
      <c r="G155" s="86">
        <f>$E$2-F155</f>
        <v/>
      </c>
      <c r="H155" s="78" t="n"/>
      <c r="I155" s="78">
        <f>E155-H155</f>
        <v/>
      </c>
      <c r="J155" s="79" t="n"/>
      <c r="K155" s="80" t="n"/>
    </row>
    <row r="156" ht="11.1" customHeight="1" s="5">
      <c r="A156" s="25" t="n"/>
      <c r="B156" s="25" t="n"/>
      <c r="C156" s="25" t="n"/>
      <c r="D156" s="87" t="n">
        <v>32319</v>
      </c>
      <c r="E156" s="84" t="n">
        <v>10000</v>
      </c>
      <c r="F156" s="25" t="n"/>
      <c r="G156" s="25" t="n"/>
      <c r="H156" s="78" t="n"/>
      <c r="I156" s="78" t="n"/>
      <c r="J156" s="79" t="n"/>
      <c r="K156" s="80" t="n"/>
    </row>
    <row r="157" ht="11.1" customHeight="1" s="5">
      <c r="A157" s="25" t="n"/>
      <c r="B157" s="25" t="n"/>
      <c r="C157" s="77" t="inlineStr">
        <is>
          <t>Vidya Book Poin't</t>
        </is>
      </c>
      <c r="D157" s="25" t="n"/>
      <c r="E157" s="30" t="n"/>
      <c r="F157" s="25" t="n"/>
      <c r="G157" s="25" t="n"/>
      <c r="H157" s="78" t="n"/>
      <c r="I157" s="78" t="n"/>
      <c r="J157" s="79" t="n"/>
      <c r="K157" s="80" t="n"/>
      <c r="L157" s="7" t="inlineStr">
        <is>
          <t>RINGING NOT RESPONDING | RINGING NOT RESPONDING | NUMBER BUSY | RINGING NOT RESPONDING</t>
        </is>
      </c>
    </row>
    <row r="158" ht="11.1" customHeight="1" s="5">
      <c r="A158" s="81" t="n">
        <v>46099</v>
      </c>
      <c r="B158" s="82" t="inlineStr">
        <is>
          <t>C-SLG/2408/25-26</t>
        </is>
      </c>
      <c r="C158" s="25" t="n"/>
      <c r="D158" s="87" t="n">
        <v>12623</v>
      </c>
      <c r="E158" s="84" t="n">
        <v>12623</v>
      </c>
      <c r="F158" s="85" t="n">
        <v>46124</v>
      </c>
      <c r="G158" s="86">
        <f>$E$2-F158</f>
        <v/>
      </c>
      <c r="H158" s="78" t="n"/>
      <c r="I158" s="78">
        <f>E158-H158</f>
        <v/>
      </c>
      <c r="J158" s="79" t="n"/>
      <c r="K158" s="80" t="n"/>
    </row>
    <row r="159" ht="11.1" customHeight="1" s="5">
      <c r="A159" s="25" t="n"/>
      <c r="B159" s="25" t="n"/>
      <c r="C159" s="25" t="n"/>
      <c r="D159" s="87" t="n">
        <v>12623</v>
      </c>
      <c r="E159" s="84" t="n">
        <v>12623</v>
      </c>
      <c r="F159" s="25" t="n"/>
      <c r="G159" s="25" t="n"/>
      <c r="H159" s="78" t="n"/>
      <c r="I159" s="78" t="n"/>
      <c r="J159" s="82" t="inlineStr">
        <is>
          <t>Sent DSO Today</t>
        </is>
      </c>
      <c r="K159" s="80" t="n"/>
    </row>
    <row r="160" ht="11.1" customHeight="1" s="5">
      <c r="A160" s="25" t="n"/>
      <c r="B160" s="25" t="n"/>
      <c r="C160" s="77" t="inlineStr">
        <is>
          <t>Vidya Book Point(Vijaynagar Colony)</t>
        </is>
      </c>
      <c r="D160" s="25" t="n"/>
      <c r="E160" s="25" t="n"/>
      <c r="F160" s="25" t="n"/>
      <c r="G160" s="25" t="n"/>
      <c r="H160" s="78" t="n"/>
      <c r="I160" s="78" t="n"/>
      <c r="J160" s="79" t="n"/>
      <c r="K160" s="80" t="n"/>
      <c r="L160" s="7" t="inlineStr">
        <is>
          <t>RINGING NOT RESPONDING | RINGING NOT RESPONDING | RINGING NOT RESPONDING | HE SAID THAT  HE GIVEN CHEQUE | HE SAID THAT HE WILL GIVE CHEQUE | MONDAY  HE WILL GIVE CHEQUE | NUMBER BUSY</t>
        </is>
      </c>
    </row>
    <row r="161" ht="11.1" customHeight="1" s="5">
      <c r="A161" s="81" t="n">
        <v>46059</v>
      </c>
      <c r="B161" s="82" t="inlineStr">
        <is>
          <t>C-SLG/2187/25-26</t>
        </is>
      </c>
      <c r="C161" s="25" t="n"/>
      <c r="D161" s="87" t="n">
        <v>9634</v>
      </c>
      <c r="E161" s="92" t="n">
        <v>9634</v>
      </c>
      <c r="F161" s="85" t="n">
        <v>46084</v>
      </c>
      <c r="G161" s="86">
        <f>$E$2-F161</f>
        <v/>
      </c>
      <c r="H161" s="78" t="n"/>
      <c r="I161" s="78">
        <f>E161-H161</f>
        <v/>
      </c>
      <c r="J161" s="79" t="n"/>
      <c r="K161" s="80" t="n"/>
    </row>
    <row r="162" ht="11.1" customHeight="1" s="5">
      <c r="A162" s="81" t="n">
        <v>46088</v>
      </c>
      <c r="B162" s="82" t="inlineStr">
        <is>
          <t>C-SLG/2345/25-26</t>
        </is>
      </c>
      <c r="C162" s="25" t="n"/>
      <c r="D162" s="87" t="n">
        <v>4466</v>
      </c>
      <c r="E162" s="92" t="n">
        <v>4466</v>
      </c>
      <c r="F162" s="85" t="n">
        <v>46113</v>
      </c>
      <c r="G162" s="86">
        <f>$E$2-F162</f>
        <v/>
      </c>
      <c r="H162" s="78" t="n"/>
      <c r="I162" s="78">
        <f>E162-H162</f>
        <v/>
      </c>
      <c r="J162" s="79" t="n"/>
      <c r="K162" s="80" t="n"/>
    </row>
    <row r="163" ht="11.1" customHeight="1" s="5">
      <c r="A163" s="25" t="n"/>
      <c r="B163" s="25" t="n"/>
      <c r="C163" s="25" t="n"/>
      <c r="D163" s="87" t="n">
        <v>14100</v>
      </c>
      <c r="E163" s="92" t="n">
        <v>14100</v>
      </c>
      <c r="F163" s="25" t="n"/>
      <c r="G163" s="25" t="n"/>
      <c r="H163" s="78" t="n"/>
      <c r="I163" s="78" t="n"/>
      <c r="J163" s="82" t="inlineStr">
        <is>
          <t>Sent DSO Today</t>
        </is>
      </c>
      <c r="K163" s="80" t="n"/>
    </row>
    <row r="164" ht="11.1" customHeight="1" s="5">
      <c r="A164" s="25" t="n"/>
      <c r="B164" s="25" t="n"/>
      <c r="C164" s="77" t="inlineStr">
        <is>
          <t>VIDYA COLLECTION</t>
        </is>
      </c>
      <c r="D164" s="25" t="n"/>
      <c r="E164" s="25" t="n"/>
      <c r="F164" s="25" t="n"/>
      <c r="G164" s="25" t="n"/>
      <c r="H164" s="78" t="n"/>
      <c r="I164" s="78" t="n"/>
      <c r="J164" s="79" t="n"/>
      <c r="K164" s="80" t="n"/>
      <c r="L164" s="7" t="inlineStr">
        <is>
          <t>RINGING NOT RESPONDING | NUMBER BUSY | RINGING NOT RESPONDING | RINGING NOT RESPONDING</t>
        </is>
      </c>
    </row>
    <row r="165" ht="11.1" customHeight="1" s="5">
      <c r="A165" s="81" t="n">
        <v>46084</v>
      </c>
      <c r="B165" s="82" t="inlineStr">
        <is>
          <t>C-SLG/2313/25-26</t>
        </is>
      </c>
      <c r="C165" s="25" t="n"/>
      <c r="D165" s="87" t="n">
        <v>6372</v>
      </c>
      <c r="E165" s="92" t="n">
        <v>6372</v>
      </c>
      <c r="F165" s="85" t="n">
        <v>46109</v>
      </c>
      <c r="G165" s="86">
        <f>$E$2-F165</f>
        <v/>
      </c>
      <c r="H165" s="78" t="n"/>
      <c r="I165" s="78">
        <f>E165-H165</f>
        <v/>
      </c>
      <c r="J165" s="79" t="n"/>
      <c r="K165" s="80" t="n"/>
    </row>
    <row r="166" ht="11.1" customHeight="1" s="5">
      <c r="A166" s="25" t="n"/>
      <c r="B166" s="25" t="n"/>
      <c r="C166" s="25" t="n"/>
      <c r="D166" s="87" t="n">
        <v>6372</v>
      </c>
      <c r="E166" s="92" t="n">
        <v>6372</v>
      </c>
      <c r="F166" s="25" t="n"/>
      <c r="G166" s="25" t="n"/>
      <c r="H166" s="78" t="n"/>
      <c r="I166" s="78" t="n"/>
      <c r="J166" s="82" t="inlineStr">
        <is>
          <t>Sent DSO Today</t>
        </is>
      </c>
      <c r="K166" s="80" t="n"/>
    </row>
    <row r="167" ht="11.1" customHeight="1" s="5">
      <c r="A167" s="25" t="n"/>
      <c r="B167" s="25" t="n"/>
      <c r="C167" s="77" t="inlineStr">
        <is>
          <t>Vidya Collection (New)</t>
        </is>
      </c>
      <c r="D167" s="25" t="n"/>
      <c r="E167" s="25" t="n"/>
      <c r="F167" s="25" t="n"/>
      <c r="G167" s="25" t="n"/>
      <c r="H167" s="78" t="n"/>
      <c r="I167" s="78" t="n"/>
      <c r="J167" s="79" t="n"/>
      <c r="K167" s="80" t="n"/>
      <c r="L167" s="7" t="inlineStr">
        <is>
          <t>number busy | NUMBER BUSY | NUMBER BUSY | RINGING NOT RESPONDING | NUMBER  NOT CONNETED | RINGING NOT RESPONDING | NUMBER BUSY</t>
        </is>
      </c>
    </row>
    <row r="168" ht="11.1" customHeight="1" s="5">
      <c r="A168" s="81" t="n">
        <v>46070</v>
      </c>
      <c r="B168" s="82" t="inlineStr">
        <is>
          <t>C-SLG/2246/25-26</t>
        </is>
      </c>
      <c r="C168" s="25" t="n"/>
      <c r="D168" s="87" t="n">
        <v>9276</v>
      </c>
      <c r="E168" s="92" t="n">
        <v>9276</v>
      </c>
      <c r="F168" s="85" t="n">
        <v>46095</v>
      </c>
      <c r="G168" s="86">
        <f>$E$2-F168</f>
        <v/>
      </c>
      <c r="H168" s="78" t="n"/>
      <c r="I168" s="78">
        <f>E168-H168</f>
        <v/>
      </c>
      <c r="J168" s="79" t="n"/>
      <c r="K168" s="80" t="n"/>
    </row>
    <row r="169" ht="11.1" customHeight="1" s="5">
      <c r="A169" s="81" t="n">
        <v>46071</v>
      </c>
      <c r="B169" s="82" t="inlineStr">
        <is>
          <t>C-SLG/2254/25-26</t>
        </is>
      </c>
      <c r="C169" s="25" t="n"/>
      <c r="D169" s="87" t="n">
        <v>1274</v>
      </c>
      <c r="E169" s="92" t="n">
        <v>1274</v>
      </c>
      <c r="F169" s="85" t="n">
        <v>46096</v>
      </c>
      <c r="G169" s="86">
        <f>$E$2-F169</f>
        <v/>
      </c>
      <c r="H169" s="78" t="n"/>
      <c r="I169" s="78">
        <f>E169-H169</f>
        <v/>
      </c>
      <c r="J169" s="79" t="n"/>
      <c r="K169" s="80" t="n"/>
    </row>
    <row r="170" ht="11.1" customHeight="1" s="5">
      <c r="A170" s="81" t="n">
        <v>46084</v>
      </c>
      <c r="B170" s="82" t="inlineStr">
        <is>
          <t>C-SLG/2312/25-26</t>
        </is>
      </c>
      <c r="C170" s="25" t="n"/>
      <c r="D170" s="87" t="n">
        <v>6712</v>
      </c>
      <c r="E170" s="92" t="n">
        <v>6712</v>
      </c>
      <c r="F170" s="85" t="n">
        <v>46109</v>
      </c>
      <c r="G170" s="86">
        <f>$E$2-F170</f>
        <v/>
      </c>
      <c r="H170" s="78" t="n"/>
      <c r="I170" s="78">
        <f>E170-H170</f>
        <v/>
      </c>
      <c r="J170" s="79" t="n"/>
      <c r="K170" s="80" t="n"/>
    </row>
    <row r="171" ht="11.1" customHeight="1" s="5">
      <c r="A171" s="25" t="n"/>
      <c r="B171" s="25" t="n"/>
      <c r="C171" s="25" t="n"/>
      <c r="D171" s="87" t="n">
        <v>17262</v>
      </c>
      <c r="E171" s="92" t="n">
        <v>17262</v>
      </c>
      <c r="F171" s="25" t="n"/>
      <c r="G171" s="25" t="n"/>
      <c r="H171" s="78" t="n"/>
      <c r="I171" s="78" t="n"/>
      <c r="J171" s="82" t="inlineStr">
        <is>
          <t>Sent DSO Today</t>
        </is>
      </c>
      <c r="K171" s="80" t="n"/>
    </row>
    <row r="172" ht="11.1" customHeight="1" s="5">
      <c r="A172" s="25" t="n"/>
      <c r="B172" s="25" t="n"/>
      <c r="C172" s="77" t="inlineStr">
        <is>
          <t>VIJAYALAKSHMI ENTERPRISES</t>
        </is>
      </c>
      <c r="D172" s="25" t="n"/>
      <c r="E172" s="25" t="n"/>
      <c r="F172" s="25" t="n"/>
      <c r="G172" s="25" t="n"/>
      <c r="H172" s="78" t="n"/>
      <c r="I172" s="78" t="n"/>
      <c r="J172" s="79" t="n"/>
      <c r="K172" s="80" t="n"/>
    </row>
    <row r="173" ht="11.1" customHeight="1" s="5">
      <c r="A173" s="81" t="n">
        <v>46010</v>
      </c>
      <c r="B173" s="82" t="inlineStr">
        <is>
          <t>Bounce Charges-204</t>
        </is>
      </c>
      <c r="C173" s="25" t="n"/>
      <c r="D173" s="87" t="n">
        <v>500</v>
      </c>
      <c r="E173" s="92" t="n">
        <v>500</v>
      </c>
      <c r="F173" s="85" t="n">
        <v>46010</v>
      </c>
      <c r="G173" s="86">
        <f>$E$2-F173</f>
        <v/>
      </c>
      <c r="H173" s="78" t="n"/>
      <c r="I173" s="78">
        <f>E173-H173</f>
        <v/>
      </c>
      <c r="J173" s="79" t="n"/>
      <c r="K173" s="80" t="n"/>
    </row>
    <row r="174" ht="11.1" customHeight="1" s="5">
      <c r="A174" s="25" t="n"/>
      <c r="B174" s="25" t="n"/>
      <c r="C174" s="25" t="n"/>
      <c r="D174" s="87" t="n">
        <v>500</v>
      </c>
      <c r="E174" s="92" t="n">
        <v>500</v>
      </c>
      <c r="F174" s="25" t="n"/>
      <c r="G174" s="25" t="n"/>
      <c r="H174" s="78" t="n"/>
      <c r="I174" s="78" t="n"/>
      <c r="J174" s="79" t="n"/>
      <c r="K174" s="80" t="n"/>
    </row>
    <row r="175" ht="11.1" customHeight="1" s="5">
      <c r="A175" s="25" t="n"/>
      <c r="B175" s="25" t="n"/>
      <c r="C175" s="77" t="inlineStr">
        <is>
          <t>WITTYSHOP INDIA</t>
        </is>
      </c>
      <c r="D175" s="25" t="n"/>
      <c r="E175" s="25" t="n"/>
      <c r="F175" s="25" t="n"/>
      <c r="G175" s="25" t="n"/>
      <c r="H175" s="78" t="n"/>
      <c r="I175" s="78" t="n"/>
      <c r="J175" s="79" t="n"/>
      <c r="K175" s="80" t="n"/>
      <c r="L175" s="7" t="inlineStr">
        <is>
          <t>CHEQUE READY | CHEQUE READY | CHEQUE READY | CHEQUE READY | Paid by Cheque</t>
        </is>
      </c>
    </row>
    <row r="176" ht="11.1" customHeight="1" s="5">
      <c r="A176" s="81" t="n">
        <v>46098</v>
      </c>
      <c r="B176" s="82" t="inlineStr">
        <is>
          <t>C-SLG/2397/25-26</t>
        </is>
      </c>
      <c r="C176" s="25" t="n"/>
      <c r="D176" s="87" t="n">
        <v>15868</v>
      </c>
      <c r="E176" s="92" t="n">
        <v>15868</v>
      </c>
      <c r="F176" s="85" t="n">
        <v>46123</v>
      </c>
      <c r="G176" s="86">
        <f>$E$2-F176</f>
        <v/>
      </c>
      <c r="H176" s="78" t="n"/>
      <c r="I176" s="78" t="n"/>
      <c r="J176" s="79" t="n"/>
      <c r="K176" s="80" t="n"/>
    </row>
    <row r="177" ht="11.1" customHeight="1" s="5">
      <c r="A177" s="25" t="n"/>
      <c r="B177" s="25" t="n"/>
      <c r="C177" s="25" t="n"/>
      <c r="D177" s="87" t="n">
        <v>15868</v>
      </c>
      <c r="E177" s="92" t="n">
        <v>15868</v>
      </c>
      <c r="F177" s="25" t="n"/>
      <c r="G177" s="25" t="n"/>
      <c r="H177" s="78" t="n">
        <v>15868</v>
      </c>
      <c r="I177" s="78">
        <f>E177-H177</f>
        <v/>
      </c>
      <c r="J177" s="79" t="inlineStr">
        <is>
          <t>Paid by Cheque</t>
        </is>
      </c>
      <c r="K177" s="80" t="n"/>
    </row>
    <row r="178" ht="11.1" customHeight="1" s="5">
      <c r="A178" s="25" t="n"/>
      <c r="B178" s="25" t="n"/>
      <c r="C178" s="77" t="inlineStr">
        <is>
          <t>YADA LAXMAIAH BOOK SELLERS &amp; STATIONERY</t>
        </is>
      </c>
      <c r="D178" s="25" t="n"/>
      <c r="E178" s="25" t="n"/>
      <c r="F178" s="25" t="n"/>
      <c r="G178" s="25" t="n"/>
      <c r="H178" s="78" t="n"/>
      <c r="I178" s="78" t="n"/>
      <c r="J178" s="79" t="n"/>
      <c r="K178" s="80" t="n"/>
      <c r="L178" s="7" t="inlineStr">
        <is>
          <t>RINGING NOT RESPONDING | RINGING NOT RESPONDING | RINGING NOT RESPONDING | RINGING NOT RESPONDING | MSGIN WATTUP | RINGING NOT RESPONDING | NUMBER BUSY</t>
        </is>
      </c>
    </row>
    <row r="179" ht="11.1" customHeight="1" s="5">
      <c r="A179" s="81" t="n">
        <v>46002</v>
      </c>
      <c r="B179" s="82" t="inlineStr">
        <is>
          <t>C-SLG/1879/25-26</t>
        </is>
      </c>
      <c r="C179" s="25" t="n"/>
      <c r="D179" s="87" t="n">
        <v>5197</v>
      </c>
      <c r="E179" s="92" t="n">
        <v>5197</v>
      </c>
      <c r="F179" s="85" t="n">
        <v>46027</v>
      </c>
      <c r="G179" s="86">
        <f>$E$2-F179</f>
        <v/>
      </c>
      <c r="H179" s="78" t="n"/>
      <c r="I179" s="78">
        <f>E179-H179</f>
        <v/>
      </c>
      <c r="J179" s="79" t="n"/>
      <c r="K179" s="80" t="n"/>
    </row>
    <row r="180" ht="11.1" customHeight="1" s="5">
      <c r="A180" s="25" t="n"/>
      <c r="B180" s="25" t="n"/>
      <c r="C180" s="25" t="n"/>
      <c r="D180" s="87" t="n">
        <v>5197</v>
      </c>
      <c r="E180" s="92" t="n">
        <v>5197</v>
      </c>
      <c r="F180" s="25" t="n"/>
      <c r="G180" s="25" t="n"/>
      <c r="H180" s="78" t="n"/>
      <c r="I180" s="78" t="n"/>
      <c r="J180" s="79" t="n"/>
      <c r="K180" s="80" t="n"/>
    </row>
    <row r="181" ht="11.1" customHeight="1" s="5">
      <c r="A181" s="25" t="n"/>
      <c r="B181" s="25" t="n"/>
      <c r="C181" s="93" t="inlineStr">
        <is>
          <t>TOTAL AMOUNT</t>
        </is>
      </c>
      <c r="D181" s="87" t="n">
        <v>992959</v>
      </c>
      <c r="E181" s="92" t="n">
        <v>726782</v>
      </c>
      <c r="F181" s="25" t="n"/>
      <c r="G181" s="25" t="n"/>
      <c r="H181" s="94">
        <f>SUM(H15:H180)</f>
        <v/>
      </c>
      <c r="I181" s="95">
        <f>SUM(I4:I180)</f>
        <v/>
      </c>
      <c r="J181" s="78" t="n"/>
      <c r="K181" s="80" t="n"/>
    </row>
    <row r="182" ht="11.1" customHeight="1" s="5"/>
    <row r="183" ht="11.1" customHeight="1" s="5"/>
    <row r="184" ht="11.1" customHeight="1" s="5"/>
    <row r="185" ht="11.1" customHeight="1" s="5"/>
    <row r="186" ht="11.1" customHeight="1" s="5"/>
    <row r="187" ht="11.1" customHeight="1" s="5"/>
    <row r="188" ht="11.1" customHeight="1" s="5"/>
    <row r="189" ht="11.1" customHeight="1" s="5"/>
    <row r="190" ht="11.1" customHeight="1" s="5"/>
    <row r="191" ht="11.1" customHeight="1" s="5"/>
    <row r="192" ht="11.1" customHeight="1" s="5"/>
    <row r="193" ht="11.1" customHeight="1" s="5"/>
    <row r="194" ht="11.1" customHeight="1" s="5"/>
    <row r="195" ht="11.1" customHeight="1" s="5"/>
    <row r="196" ht="11.1" customHeight="1" s="5"/>
    <row r="197" ht="11.1" customHeight="1" s="5"/>
    <row r="198" ht="11.1" customHeight="1" s="5"/>
    <row r="199" ht="11.1" customHeight="1" s="5"/>
    <row r="200" ht="11.1" customHeight="1" s="5"/>
    <row r="201" ht="11.1" customHeight="1" s="5"/>
    <row r="202" ht="11.1" customHeight="1" s="5"/>
    <row r="203" ht="11.1" customHeight="1" s="5"/>
    <row r="204" ht="11.1" customHeight="1" s="5"/>
    <row r="205" ht="11.1" customHeight="1" s="5"/>
    <row r="206" ht="11.1" customHeight="1" s="5"/>
    <row r="207" ht="11.1" customHeight="1" s="5"/>
    <row r="208" ht="11.1" customHeight="1" s="5"/>
  </sheetData>
  <mergeCells count="4">
    <mergeCell ref="B1:C1"/>
    <mergeCell ref="B2:C2"/>
    <mergeCell ref="A3:XFD3"/>
    <mergeCell ref="D1:G1"/>
  </mergeCells>
  <pageMargins left="0.7" right="0.7" top="0.75" bottom="0.75" header="0.3" footer="0.3"/>
  <pageSetup orientation="portrait" scale="45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7"/>
  <sheetViews>
    <sheetView showGridLines="0" tabSelected="1" topLeftCell="B1" zoomScale="150" zoomScaleNormal="150" workbookViewId="0">
      <pane ySplit="4" topLeftCell="A55" activePane="bottomLeft" state="frozen"/>
      <selection activeCell="B1" sqref="B1"/>
      <selection pane="bottomLeft" activeCell="J63" sqref="J63"/>
    </sheetView>
  </sheetViews>
  <sheetFormatPr baseColWidth="8" defaultRowHeight="12.75"/>
  <cols>
    <col width="11.83203125" bestFit="1" customWidth="1" style="8" min="1" max="1"/>
    <col width="19.33203125" bestFit="1" customWidth="1" style="5" min="2" max="2"/>
    <col width="32.83203125" bestFit="1" customWidth="1" style="8" min="3" max="3"/>
    <col width="13.5" bestFit="1" customWidth="1" style="5" min="4" max="4"/>
    <col width="13.1640625" bestFit="1" customWidth="1" style="8" min="5" max="5"/>
    <col width="10" bestFit="1" customWidth="1" style="5" min="6" max="6"/>
    <col width="16.1640625" bestFit="1" customWidth="1" style="5" min="7" max="7"/>
    <col width="15" bestFit="1" customWidth="1" style="5" min="9" max="9"/>
    <col width="36" bestFit="1" customWidth="1" style="5" min="10" max="10"/>
  </cols>
  <sheetData>
    <row r="1">
      <c r="A1" s="32" t="inlineStr">
        <is>
          <t>Group:</t>
        </is>
      </c>
      <c r="B1" s="102" t="inlineStr">
        <is>
          <t>Mujahid</t>
        </is>
      </c>
      <c r="C1" s="110" t="n"/>
    </row>
    <row r="2">
      <c r="A2" s="32" t="inlineStr">
        <is>
          <t>Details of:</t>
        </is>
      </c>
      <c r="B2" s="102" t="inlineStr">
        <is>
          <t>Pending Bills</t>
        </is>
      </c>
      <c r="C2" s="110" t="n"/>
      <c r="D2" s="36" t="inlineStr">
        <is>
          <t>Today Date:</t>
        </is>
      </c>
      <c r="E2" s="9">
        <f>TODAY()</f>
        <v/>
      </c>
    </row>
    <row r="3" ht="7.5" customHeight="1" s="5"/>
    <row r="4">
      <c r="A4" s="10" t="inlineStr">
        <is>
          <t>Date</t>
        </is>
      </c>
      <c r="B4" s="11" t="inlineStr">
        <is>
          <t>Ref. No.</t>
        </is>
      </c>
      <c r="C4" s="11" t="inlineStr">
        <is>
          <t>Party's Name</t>
        </is>
      </c>
      <c r="D4" s="12" t="inlineStr">
        <is>
          <t>Opening Amt</t>
        </is>
      </c>
      <c r="E4" s="10" t="inlineStr">
        <is>
          <t>Total Amt</t>
        </is>
      </c>
      <c r="F4" s="11" t="inlineStr">
        <is>
          <t>Due on</t>
        </is>
      </c>
      <c r="G4" s="13" t="inlineStr">
        <is>
          <t>Days Overdue</t>
        </is>
      </c>
      <c r="H4" s="13" t="inlineStr">
        <is>
          <t>Paid Amt</t>
        </is>
      </c>
      <c r="I4" s="13" t="inlineStr">
        <is>
          <t>Pending Amt</t>
        </is>
      </c>
      <c r="J4" s="24" t="inlineStr">
        <is>
          <t>Remark (5/22)</t>
        </is>
      </c>
      <c r="K4" s="111" t="inlineStr">
        <is>
          <t>Last Follow-up Notes</t>
        </is>
      </c>
    </row>
    <row r="5">
      <c r="A5" s="15" t="n"/>
      <c r="B5" s="14" t="n"/>
      <c r="C5" s="15" t="n"/>
      <c r="D5" s="14" t="n"/>
      <c r="E5" s="15" t="n"/>
      <c r="F5" s="14" t="n"/>
      <c r="G5" s="14" t="n"/>
      <c r="H5" s="14" t="n"/>
      <c r="I5" s="14" t="n"/>
      <c r="J5" s="14" t="n"/>
    </row>
    <row r="6" customFormat="1" s="6">
      <c r="A6" s="61" t="n"/>
      <c r="B6" s="62" t="n"/>
      <c r="C6" s="61" t="inlineStr">
        <is>
          <t>BAGARIA AGENCIES</t>
        </is>
      </c>
      <c r="D6" s="62" t="n"/>
      <c r="E6" s="61" t="n"/>
      <c r="F6" s="62" t="n"/>
      <c r="G6" s="62" t="n"/>
      <c r="H6" s="62" t="n"/>
      <c r="I6" s="62" t="n"/>
      <c r="J6" s="62" t="n"/>
    </row>
    <row r="7" customFormat="1" s="6">
      <c r="A7" s="63" t="n">
        <v>45083</v>
      </c>
      <c r="B7" s="62" t="inlineStr">
        <is>
          <t>Bounce Charges-429</t>
        </is>
      </c>
      <c r="C7" s="61" t="n"/>
      <c r="D7" s="62" t="n">
        <v>500</v>
      </c>
      <c r="E7" s="61" t="n">
        <v>500</v>
      </c>
      <c r="F7" s="64" t="n">
        <v>45083</v>
      </c>
      <c r="G7" s="62">
        <f>$E$2-F7</f>
        <v/>
      </c>
      <c r="H7" s="62" t="n"/>
      <c r="I7" s="62" t="n"/>
      <c r="J7" s="62" t="inlineStr">
        <is>
          <t>Old Issue</t>
        </is>
      </c>
    </row>
    <row r="8" customFormat="1" s="6">
      <c r="A8" s="63" t="n">
        <v>46087</v>
      </c>
      <c r="B8" s="62" t="inlineStr">
        <is>
          <t>C-SLG/2322/25-26</t>
        </is>
      </c>
      <c r="C8" s="61" t="n"/>
      <c r="D8" s="62" t="n">
        <v>1427</v>
      </c>
      <c r="E8" s="61" t="n">
        <v>1427</v>
      </c>
      <c r="F8" s="64" t="n">
        <v>46112</v>
      </c>
      <c r="G8" s="62">
        <f>$E$2-F8</f>
        <v/>
      </c>
      <c r="H8" s="62" t="n"/>
      <c r="I8" s="62" t="n"/>
      <c r="J8" s="62" t="inlineStr">
        <is>
          <t>Sample Piece to MJ</t>
        </is>
      </c>
    </row>
    <row r="9" customFormat="1" s="6">
      <c r="A9" s="61" t="n"/>
      <c r="B9" s="62" t="n"/>
      <c r="C9" s="61" t="n"/>
      <c r="D9" s="62" t="n">
        <v>1927</v>
      </c>
      <c r="E9" s="61" t="n">
        <v>1927</v>
      </c>
      <c r="F9" s="62" t="n"/>
      <c r="G9" s="62" t="n"/>
      <c r="H9" s="62" t="n"/>
      <c r="I9" s="62" t="n"/>
      <c r="J9" s="62" t="n"/>
    </row>
    <row r="10" customFormat="1" s="6">
      <c r="A10" s="61" t="n"/>
      <c r="B10" s="62" t="n"/>
      <c r="C10" s="61" t="inlineStr">
        <is>
          <t>BALAJI ENTERPRISES</t>
        </is>
      </c>
      <c r="D10" s="62" t="n"/>
      <c r="E10" s="61" t="n"/>
      <c r="F10" s="62" t="n"/>
      <c r="G10" s="62" t="n"/>
      <c r="H10" s="62" t="n"/>
      <c r="I10" s="62" t="n"/>
      <c r="J10" s="62" t="n"/>
      <c r="K10" s="7" t="inlineStr">
        <is>
          <t>HE WILL PAY  CALL BACK | cheque given</t>
        </is>
      </c>
    </row>
    <row r="11" customFormat="1" s="6">
      <c r="A11" s="63" t="n">
        <v>45870</v>
      </c>
      <c r="B11" s="62" t="inlineStr">
        <is>
          <t>Bounce Charges-803</t>
        </is>
      </c>
      <c r="C11" s="61" t="n"/>
      <c r="D11" s="62" t="n">
        <v>500</v>
      </c>
      <c r="E11" s="61" t="n">
        <v>400</v>
      </c>
      <c r="F11" s="64" t="n">
        <v>45895</v>
      </c>
      <c r="G11" s="62">
        <f>$E$2-F11</f>
        <v/>
      </c>
      <c r="H11" s="62" t="n"/>
      <c r="I11" s="62" t="n"/>
      <c r="J11" s="62" t="inlineStr">
        <is>
          <t>Customer Paid</t>
        </is>
      </c>
    </row>
    <row r="12" customFormat="1" s="6">
      <c r="A12" s="63" t="n">
        <v>46119</v>
      </c>
      <c r="B12" s="62" t="inlineStr">
        <is>
          <t>Bounce Charges-168</t>
        </is>
      </c>
      <c r="C12" s="61" t="n"/>
      <c r="D12" s="62" t="n">
        <v>500</v>
      </c>
      <c r="E12" s="61" t="n">
        <v>500</v>
      </c>
      <c r="F12" s="64" t="n">
        <v>46144</v>
      </c>
      <c r="G12" s="62">
        <f>$E$2-F12</f>
        <v/>
      </c>
      <c r="H12" s="62" t="n"/>
      <c r="I12" s="62" t="n"/>
      <c r="J12" s="62" t="inlineStr">
        <is>
          <t>Customer Paid</t>
        </is>
      </c>
    </row>
    <row r="13" customFormat="1" s="6">
      <c r="A13" s="63" t="n">
        <v>46156</v>
      </c>
      <c r="B13" s="62" t="inlineStr">
        <is>
          <t>C-SLG/0127/26-27</t>
        </is>
      </c>
      <c r="C13" s="61" t="n"/>
      <c r="D13" s="62" t="n">
        <v>28600</v>
      </c>
      <c r="E13" s="61" t="n">
        <v>28600</v>
      </c>
      <c r="F13" s="64" t="n">
        <v>46181</v>
      </c>
      <c r="G13" s="62" t="n"/>
      <c r="H13" s="62" t="n"/>
      <c r="I13" s="62" t="n"/>
      <c r="J13" s="62" t="n"/>
    </row>
    <row r="14" customFormat="1" s="6">
      <c r="A14" s="61" t="n"/>
      <c r="B14" s="62" t="n"/>
      <c r="C14" s="61" t="n"/>
      <c r="D14" s="62" t="n">
        <v>29600</v>
      </c>
      <c r="E14" s="61" t="n">
        <v>29500</v>
      </c>
      <c r="F14" s="62" t="n"/>
      <c r="G14" s="62" t="n"/>
      <c r="H14" s="62" t="n"/>
      <c r="I14" s="62" t="n"/>
      <c r="J14" s="62" t="n"/>
    </row>
    <row r="15" customFormat="1" s="6">
      <c r="A15" s="61" t="n"/>
      <c r="B15" s="62" t="n"/>
      <c r="C15" s="61" t="inlineStr">
        <is>
          <t>BANNU ENTERPRISES</t>
        </is>
      </c>
      <c r="D15" s="62" t="n"/>
      <c r="E15" s="61" t="n"/>
      <c r="F15" s="62" t="n"/>
      <c r="G15" s="62" t="n"/>
      <c r="H15" s="62" t="n"/>
      <c r="I15" s="62" t="n"/>
      <c r="J15" s="62" t="n"/>
      <c r="K15" s="7" t="inlineStr">
        <is>
          <t>HE WILL PAY IN 2 DAYS | paid 20000 remaing he will pay</t>
        </is>
      </c>
    </row>
    <row r="16" customFormat="1" s="6">
      <c r="A16" s="63" t="n">
        <v>46107</v>
      </c>
      <c r="B16" s="62" t="inlineStr">
        <is>
          <t>C-SLG/2438/25-26</t>
        </is>
      </c>
      <c r="C16" s="61" t="n"/>
      <c r="D16" s="62" t="n">
        <v>67462</v>
      </c>
      <c r="E16" s="61" t="n">
        <v>67462</v>
      </c>
      <c r="F16" s="64" t="n">
        <v>46107</v>
      </c>
      <c r="G16" s="62">
        <f>$E$2-F16</f>
        <v/>
      </c>
      <c r="H16" s="62" t="n"/>
      <c r="I16" s="62" t="n"/>
      <c r="J16" s="62" t="inlineStr">
        <is>
          <t>DSO will Collect</t>
        </is>
      </c>
    </row>
    <row r="17" customFormat="1" s="6">
      <c r="A17" s="61" t="n"/>
      <c r="B17" s="62" t="n"/>
      <c r="C17" s="61" t="n"/>
      <c r="D17" s="62" t="n">
        <v>67462</v>
      </c>
      <c r="E17" s="61" t="n">
        <v>67462</v>
      </c>
      <c r="F17" s="62" t="n"/>
      <c r="G17" s="62" t="n"/>
      <c r="H17" s="62">
        <f>20000</f>
        <v/>
      </c>
      <c r="I17" s="62">
        <f>E17-H17</f>
        <v/>
      </c>
      <c r="J17" s="62" t="n"/>
    </row>
    <row r="18" customFormat="1" s="6">
      <c r="A18" s="61" t="n"/>
      <c r="B18" s="62" t="n"/>
      <c r="C18" s="61" t="inlineStr">
        <is>
          <t>DHANLAKSHMI ENTERPRISES</t>
        </is>
      </c>
      <c r="D18" s="62" t="n"/>
      <c r="E18" s="61" t="n"/>
      <c r="F18" s="62" t="n"/>
      <c r="G18" s="62" t="n"/>
      <c r="H18" s="62" t="n"/>
      <c r="I18" s="62" t="n"/>
      <c r="J18" s="62" t="n"/>
      <c r="K18" s="7" t="inlineStr">
        <is>
          <t>RINGING NOT RESPONDING | RINGING NOT RESPONDING | RINGING NOT RESPONDING | CHEQUE  GIVEN | PAID</t>
        </is>
      </c>
    </row>
    <row r="19" customFormat="1" s="6">
      <c r="A19" s="63" t="n">
        <v>46087</v>
      </c>
      <c r="B19" s="62" t="inlineStr">
        <is>
          <t>Bounce Charges-2567</t>
        </is>
      </c>
      <c r="C19" s="61" t="n"/>
      <c r="D19" s="62" t="n">
        <v>500</v>
      </c>
      <c r="E19" s="61" t="n">
        <v>500</v>
      </c>
      <c r="F19" s="64" t="n">
        <v>46112</v>
      </c>
      <c r="G19" s="62">
        <f>$E$2-F19</f>
        <v/>
      </c>
      <c r="H19" s="62" t="n"/>
      <c r="I19" s="62" t="n"/>
      <c r="J19" s="62" t="inlineStr">
        <is>
          <t>Number Busy</t>
        </is>
      </c>
    </row>
    <row r="20" customFormat="1" s="6">
      <c r="A20" s="61" t="n"/>
      <c r="B20" s="62" t="n"/>
      <c r="C20" s="61" t="n"/>
      <c r="D20" s="62" t="n">
        <v>500</v>
      </c>
      <c r="E20" s="61" t="n">
        <v>500</v>
      </c>
      <c r="F20" s="62" t="n"/>
      <c r="G20" s="62" t="n"/>
      <c r="H20" s="62" t="n"/>
      <c r="I20" s="62" t="n"/>
      <c r="J20" s="62" t="n"/>
    </row>
    <row r="21" customFormat="1" s="6">
      <c r="A21" s="61" t="n"/>
      <c r="B21" s="62" t="n"/>
      <c r="C21" s="65" t="inlineStr">
        <is>
          <t>Dynamic Computer &amp; Stationery</t>
        </is>
      </c>
      <c r="D21" s="62" t="n"/>
      <c r="E21" s="61" t="n"/>
      <c r="F21" s="62" t="n"/>
      <c r="G21" s="62" t="n"/>
      <c r="H21" s="62" t="n"/>
      <c r="I21" s="62" t="n"/>
      <c r="J21" s="62" t="n"/>
      <c r="K21" s="7" t="inlineStr">
        <is>
          <t>NUMBER  BUSY | NUMBER  BUSY | NUMBER  BUSY | NUMBER  BUSY</t>
        </is>
      </c>
    </row>
    <row r="22" customFormat="1" s="6">
      <c r="A22" s="63" t="n">
        <v>46008</v>
      </c>
      <c r="B22" s="62" t="inlineStr">
        <is>
          <t>C-SLG/1915/25-26</t>
        </is>
      </c>
      <c r="C22" s="61" t="n"/>
      <c r="D22" s="62" t="n">
        <v>132634</v>
      </c>
      <c r="E22" s="61" t="n">
        <v>101670</v>
      </c>
      <c r="F22" s="64" t="n">
        <v>46033</v>
      </c>
      <c r="G22" s="62">
        <f>$E$2-F22</f>
        <v/>
      </c>
      <c r="H22" s="62" t="n"/>
      <c r="I22" s="62" t="n"/>
      <c r="J22" s="62" t="inlineStr">
        <is>
          <t>DSO will Collect</t>
        </is>
      </c>
    </row>
    <row r="23" customFormat="1" s="6">
      <c r="A23" s="63" t="n">
        <v>46009</v>
      </c>
      <c r="B23" s="62" t="inlineStr">
        <is>
          <t>C-SLG/1933/25-26</t>
        </is>
      </c>
      <c r="C23" s="61" t="n"/>
      <c r="D23" s="62" t="n">
        <v>45784</v>
      </c>
      <c r="E23" s="61" t="n">
        <v>45784</v>
      </c>
      <c r="F23" s="64" t="n">
        <v>46034</v>
      </c>
      <c r="G23" s="62">
        <f>$E$2-F23</f>
        <v/>
      </c>
      <c r="H23" s="62" t="n"/>
      <c r="I23" s="62" t="n"/>
      <c r="J23" s="62" t="inlineStr">
        <is>
          <t>DSO will Collect</t>
        </is>
      </c>
    </row>
    <row r="24" customFormat="1" s="6">
      <c r="A24" s="63" t="n">
        <v>46011</v>
      </c>
      <c r="B24" s="62" t="inlineStr">
        <is>
          <t>C-SLG/1938/25-26</t>
        </is>
      </c>
      <c r="C24" s="61" t="n"/>
      <c r="D24" s="62" t="n">
        <v>217599</v>
      </c>
      <c r="E24" s="61" t="n">
        <v>217599</v>
      </c>
      <c r="F24" s="64" t="n">
        <v>46036</v>
      </c>
      <c r="G24" s="62">
        <f>$E$2-F24</f>
        <v/>
      </c>
      <c r="H24" s="62" t="n"/>
      <c r="I24" s="62" t="n"/>
      <c r="J24" s="62" t="inlineStr">
        <is>
          <t>DSO will Collect</t>
        </is>
      </c>
    </row>
    <row r="25" customFormat="1" s="6">
      <c r="A25" s="63" t="n">
        <v>46094</v>
      </c>
      <c r="B25" s="62" t="inlineStr">
        <is>
          <t>C-SLG/2380/25-26</t>
        </is>
      </c>
      <c r="C25" s="61" t="n"/>
      <c r="D25" s="62" t="n">
        <v>134125</v>
      </c>
      <c r="E25" s="61" t="n">
        <v>134125</v>
      </c>
      <c r="F25" s="64" t="n">
        <v>46119</v>
      </c>
      <c r="G25" s="62">
        <f>$E$2-F25</f>
        <v/>
      </c>
      <c r="H25" s="62" t="n"/>
      <c r="I25" s="62" t="n"/>
      <c r="J25" s="62" t="inlineStr">
        <is>
          <t>DSO will Collect</t>
        </is>
      </c>
    </row>
    <row r="26" customFormat="1" s="6">
      <c r="A26" s="63" t="n">
        <v>46108</v>
      </c>
      <c r="B26" s="62" t="inlineStr">
        <is>
          <t>C-SLG/2461/25-26</t>
        </is>
      </c>
      <c r="C26" s="61" t="n"/>
      <c r="D26" s="62" t="n">
        <v>97809</v>
      </c>
      <c r="E26" s="61" t="n">
        <v>97809</v>
      </c>
      <c r="F26" s="64" t="n">
        <v>46133</v>
      </c>
      <c r="G26" s="62">
        <f>$E$2-F26</f>
        <v/>
      </c>
      <c r="H26" s="62" t="n"/>
      <c r="I26" s="62" t="n"/>
      <c r="J26" s="62" t="inlineStr">
        <is>
          <t>DSO will Collect</t>
        </is>
      </c>
    </row>
    <row r="27" customFormat="1" s="6">
      <c r="A27" s="63" t="n">
        <v>46127</v>
      </c>
      <c r="B27" s="62" t="inlineStr">
        <is>
          <t>C-SLG/0042/26-27</t>
        </is>
      </c>
      <c r="C27" s="61" t="n"/>
      <c r="D27" s="62" t="n">
        <v>47335</v>
      </c>
      <c r="E27" s="61" t="n">
        <v>47335</v>
      </c>
      <c r="F27" s="64" t="n">
        <v>46152</v>
      </c>
      <c r="G27" s="62">
        <f>$E$2-F27</f>
        <v/>
      </c>
      <c r="H27" s="62" t="n"/>
      <c r="I27" s="62" t="n"/>
      <c r="J27" s="62" t="inlineStr">
        <is>
          <t>DSO will Collect</t>
        </is>
      </c>
    </row>
    <row r="28" customFormat="1" s="6">
      <c r="A28" s="63" t="n">
        <v>46156</v>
      </c>
      <c r="B28" s="62" t="inlineStr">
        <is>
          <t>C-SLG/0121/26-27</t>
        </is>
      </c>
      <c r="C28" s="61" t="n"/>
      <c r="D28" s="62" t="n">
        <v>112417</v>
      </c>
      <c r="E28" s="61" t="n">
        <v>112417</v>
      </c>
      <c r="F28" s="64" t="n">
        <v>46181</v>
      </c>
      <c r="G28" s="62" t="n"/>
      <c r="H28" s="62" t="n"/>
      <c r="I28" s="62" t="n"/>
      <c r="J28" s="62" t="n"/>
    </row>
    <row r="29" customFormat="1" s="6">
      <c r="A29" s="63" t="n">
        <v>46156</v>
      </c>
      <c r="B29" s="62" t="inlineStr">
        <is>
          <t>C-SLG/0134/26-27</t>
        </is>
      </c>
      <c r="C29" s="61" t="n"/>
      <c r="D29" s="62" t="n">
        <v>3614</v>
      </c>
      <c r="E29" s="61" t="n">
        <v>3614</v>
      </c>
      <c r="F29" s="64" t="n">
        <v>46181</v>
      </c>
      <c r="G29" s="62" t="n"/>
      <c r="H29" s="62" t="n"/>
      <c r="I29" s="62" t="n"/>
      <c r="J29" s="62" t="n"/>
    </row>
    <row r="30" customFormat="1" s="6">
      <c r="A30" s="61" t="n"/>
      <c r="B30" s="62" t="n"/>
      <c r="C30" s="61" t="n"/>
      <c r="D30" s="62" t="n">
        <v>791317</v>
      </c>
      <c r="E30" s="61" t="n">
        <v>760353</v>
      </c>
      <c r="F30" s="62" t="n"/>
      <c r="G30" s="62" t="n"/>
      <c r="H30" s="62" t="n"/>
      <c r="I30" s="62" t="n"/>
      <c r="J30" s="62" t="n"/>
    </row>
    <row r="31" customFormat="1" s="6">
      <c r="A31" s="61" t="n"/>
      <c r="B31" s="62" t="n"/>
      <c r="C31" s="61" t="inlineStr">
        <is>
          <t>K D M MARKETING</t>
        </is>
      </c>
      <c r="D31" s="62" t="n"/>
      <c r="E31" s="61" t="n"/>
      <c r="F31" s="62" t="n"/>
      <c r="G31" s="62" t="n"/>
      <c r="H31" s="62" t="n"/>
      <c r="I31" s="62" t="n"/>
      <c r="J31" s="62" t="n"/>
      <c r="K31" s="7" t="inlineStr">
        <is>
          <t>HE SAID THAT  SEND  THE  LEDGER | share the satement | HE WILL PAY TODAY | RINGING NOT RESPONDING | hewill pay today</t>
        </is>
      </c>
    </row>
    <row r="32" customFormat="1" s="6">
      <c r="A32" s="63" t="n">
        <v>45988</v>
      </c>
      <c r="B32" s="62" t="inlineStr">
        <is>
          <t>C-SLG/1781/25-26</t>
        </is>
      </c>
      <c r="C32" s="61" t="n"/>
      <c r="D32" s="62" t="n">
        <v>107348</v>
      </c>
      <c r="E32" s="61" t="n">
        <v>107348</v>
      </c>
      <c r="F32" s="64" t="n">
        <v>46013</v>
      </c>
      <c r="G32" s="62">
        <f>$E$2-F32</f>
        <v/>
      </c>
      <c r="H32" s="62" t="n"/>
      <c r="I32" s="62" t="n"/>
      <c r="J32" s="62" t="inlineStr">
        <is>
          <t>Number Busy</t>
        </is>
      </c>
    </row>
    <row r="33" customFormat="1" s="6">
      <c r="A33" s="63" t="n">
        <v>46123</v>
      </c>
      <c r="B33" s="62" t="inlineStr">
        <is>
          <t>C-SLG/0030/26-27</t>
        </is>
      </c>
      <c r="C33" s="61" t="n"/>
      <c r="D33" s="62" t="n">
        <v>94833</v>
      </c>
      <c r="E33" s="61" t="n">
        <v>94833</v>
      </c>
      <c r="F33" s="64" t="n">
        <v>46148</v>
      </c>
      <c r="G33" s="62">
        <f>$E$2-F33</f>
        <v/>
      </c>
      <c r="H33" s="62" t="n"/>
      <c r="I33" s="62" t="n"/>
      <c r="J33" s="62" t="inlineStr">
        <is>
          <t>Number Busy</t>
        </is>
      </c>
    </row>
    <row r="34" customFormat="1" s="6">
      <c r="A34" s="61" t="n"/>
      <c r="B34" s="62" t="n"/>
      <c r="C34" s="61" t="n"/>
      <c r="D34" s="62" t="n">
        <v>202181</v>
      </c>
      <c r="E34" s="61" t="n">
        <v>202181</v>
      </c>
      <c r="F34" s="62" t="n"/>
      <c r="G34" s="62" t="n"/>
      <c r="H34" s="62" t="n"/>
      <c r="I34" s="62" t="n"/>
      <c r="J34" s="62" t="n"/>
    </row>
    <row r="35" customFormat="1" s="6">
      <c r="A35" s="61" t="n"/>
      <c r="B35" s="62" t="n"/>
      <c r="C35" s="61" t="inlineStr">
        <is>
          <t>Mahadev Stationers</t>
        </is>
      </c>
      <c r="D35" s="62" t="n"/>
      <c r="E35" s="61" t="n"/>
      <c r="F35" s="62" t="n"/>
      <c r="G35" s="62" t="n"/>
      <c r="H35" s="62" t="n"/>
      <c r="I35" s="62" t="n"/>
      <c r="J35" s="62" t="n"/>
      <c r="K35" s="7" t="inlineStr">
        <is>
          <t>TOMMROW HE WILL PAY | waiting for cheque book | DSO TODAY VISIT | CHEQUE GIVEN</t>
        </is>
      </c>
    </row>
    <row r="36" customFormat="1" s="6">
      <c r="A36" s="63" t="n">
        <v>46112</v>
      </c>
      <c r="B36" s="62" t="inlineStr">
        <is>
          <t>C-SLG/2490/25-26</t>
        </is>
      </c>
      <c r="C36" s="61" t="n"/>
      <c r="D36" s="62" t="n">
        <v>146950</v>
      </c>
      <c r="E36" s="61" t="n">
        <v>146950</v>
      </c>
      <c r="F36" s="64" t="n">
        <v>46137</v>
      </c>
      <c r="G36" s="62">
        <f>$E$2-F36</f>
        <v/>
      </c>
      <c r="H36" s="62" t="n">
        <v>146950</v>
      </c>
      <c r="I36" s="62">
        <f>E36-H36</f>
        <v/>
      </c>
      <c r="J36" s="62" t="inlineStr">
        <is>
          <t>Paid Cheque - Full Amt</t>
        </is>
      </c>
    </row>
    <row r="37" customFormat="1" s="6">
      <c r="A37" s="61" t="n"/>
      <c r="B37" s="62" t="n"/>
      <c r="C37" s="61" t="n"/>
      <c r="D37" s="62" t="n">
        <v>146950</v>
      </c>
      <c r="E37" s="61" t="n">
        <v>146950</v>
      </c>
      <c r="F37" s="62" t="n"/>
      <c r="G37" s="62" t="n"/>
      <c r="H37" s="62" t="n">
        <v>146950</v>
      </c>
      <c r="I37" s="62">
        <f>E37-H37</f>
        <v/>
      </c>
      <c r="J37" s="62" t="n"/>
    </row>
    <row r="38" customFormat="1" s="6">
      <c r="A38" s="61" t="n"/>
      <c r="B38" s="62" t="n"/>
      <c r="C38" s="61" t="inlineStr">
        <is>
          <t>Nandi Arts Stationery</t>
        </is>
      </c>
      <c r="D38" s="62" t="n"/>
      <c r="E38" s="61" t="n"/>
      <c r="F38" s="62" t="n"/>
      <c r="G38" s="62" t="n"/>
      <c r="H38" s="62" t="n"/>
      <c r="I38" s="62" t="n"/>
      <c r="J38" s="62" t="n"/>
      <c r="K38" s="7" t="inlineStr">
        <is>
          <t>RINGING NOT RESPONDING</t>
        </is>
      </c>
    </row>
    <row r="39" customFormat="1" s="6">
      <c r="A39" s="63" t="n">
        <v>46133</v>
      </c>
      <c r="B39" s="62" t="inlineStr">
        <is>
          <t>C-SLG/0057/26-27</t>
        </is>
      </c>
      <c r="C39" s="61" t="n"/>
      <c r="D39" s="62" t="n">
        <v>120696</v>
      </c>
      <c r="E39" s="61" t="n">
        <v>120696</v>
      </c>
      <c r="F39" s="64" t="n">
        <v>46158</v>
      </c>
      <c r="G39" s="62">
        <f>$E$2-F39</f>
        <v/>
      </c>
      <c r="H39" s="62" t="n"/>
      <c r="I39" s="62" t="n"/>
      <c r="J39" s="62" t="n"/>
    </row>
    <row r="40" customFormat="1" s="6">
      <c r="A40" s="63" t="n">
        <v>46139</v>
      </c>
      <c r="B40" s="62" t="inlineStr">
        <is>
          <t>C-SLG/0072/26-27</t>
        </is>
      </c>
      <c r="C40" s="61" t="n"/>
      <c r="D40" s="62" t="n">
        <v>25410</v>
      </c>
      <c r="E40" s="61" t="n">
        <v>25410</v>
      </c>
      <c r="F40" s="64" t="n">
        <v>46164</v>
      </c>
      <c r="G40" s="62" t="n"/>
      <c r="H40" s="62" t="n"/>
      <c r="I40" s="62" t="n"/>
      <c r="J40" s="62" t="n"/>
    </row>
    <row r="41" customFormat="1" s="6">
      <c r="A41" s="61" t="n"/>
      <c r="B41" s="62" t="n"/>
      <c r="C41" s="61" t="n"/>
      <c r="D41" s="62" t="n">
        <v>146106</v>
      </c>
      <c r="E41" s="61" t="n">
        <v>146106</v>
      </c>
      <c r="F41" s="62" t="n"/>
      <c r="G41" s="62" t="n"/>
      <c r="H41" s="62" t="n"/>
      <c r="I41" s="62" t="n"/>
      <c r="J41" s="62" t="n"/>
    </row>
    <row r="42" customFormat="1" s="6">
      <c r="A42" s="61" t="n"/>
      <c r="B42" s="62" t="n"/>
      <c r="C42" s="61" t="inlineStr">
        <is>
          <t>Narender Stationary</t>
        </is>
      </c>
      <c r="D42" s="62" t="n"/>
      <c r="E42" s="61" t="n"/>
      <c r="F42" s="62" t="n"/>
      <c r="G42" s="62" t="n"/>
      <c r="H42" s="62" t="n"/>
      <c r="I42" s="62" t="n"/>
      <c r="J42" s="62" t="n"/>
    </row>
    <row r="43" customFormat="1" s="6">
      <c r="A43" s="63" t="n">
        <v>46104</v>
      </c>
      <c r="B43" s="62" t="inlineStr">
        <is>
          <t>C-SLG/2418/25-26</t>
        </is>
      </c>
      <c r="C43" s="61" t="n"/>
      <c r="D43" s="62" t="n">
        <v>1329</v>
      </c>
      <c r="E43" s="61" t="n">
        <v>1329</v>
      </c>
      <c r="F43" s="64" t="n">
        <v>46129</v>
      </c>
      <c r="G43" s="62">
        <f>$E$2-F43</f>
        <v/>
      </c>
      <c r="H43" s="62" t="n"/>
      <c r="I43" s="62" t="n"/>
      <c r="J43" s="62" t="inlineStr">
        <is>
          <t>Sample Piece Issue</t>
        </is>
      </c>
    </row>
    <row r="44" customFormat="1" s="6">
      <c r="A44" s="61" t="n"/>
      <c r="B44" s="62" t="n"/>
      <c r="C44" s="61" t="n"/>
      <c r="D44" s="62" t="n">
        <v>1329</v>
      </c>
      <c r="E44" s="61" t="n">
        <v>1329</v>
      </c>
      <c r="F44" s="62" t="n"/>
      <c r="G44" s="62" t="n"/>
      <c r="H44" s="62" t="n"/>
      <c r="I44" s="62" t="n"/>
      <c r="J44" s="62" t="n"/>
    </row>
    <row r="45" customFormat="1" s="6">
      <c r="A45" s="61" t="n"/>
      <c r="B45" s="62" t="n"/>
      <c r="C45" s="61" t="inlineStr">
        <is>
          <t>N. PRIYA STATIONARY</t>
        </is>
      </c>
      <c r="D45" s="62" t="n"/>
      <c r="E45" s="61" t="n"/>
      <c r="F45" s="62" t="n"/>
      <c r="G45" s="62" t="n"/>
      <c r="H45" s="62" t="n"/>
      <c r="I45" s="62" t="n"/>
      <c r="J45" s="62" t="n"/>
      <c r="K45" s="7" t="inlineStr">
        <is>
          <t>HEWILL PAY SEND PERSON | HE SAID THAT  SATURDAY HEWILL CHEQUE | MONDAY WILL PAY | RINGING NOT RESPONDING</t>
        </is>
      </c>
    </row>
    <row r="46" customFormat="1" s="6">
      <c r="A46" s="63" t="n">
        <v>46136</v>
      </c>
      <c r="B46" s="62" t="inlineStr">
        <is>
          <t>C-SLG/0068/26-27</t>
        </is>
      </c>
      <c r="C46" s="61" t="n"/>
      <c r="D46" s="62" t="n">
        <v>135197</v>
      </c>
      <c r="E46" s="61" t="n">
        <v>135197</v>
      </c>
      <c r="F46" s="64" t="n">
        <v>46161</v>
      </c>
      <c r="G46" s="62">
        <f>$E$2-F46</f>
        <v/>
      </c>
      <c r="H46" s="62" t="n"/>
      <c r="I46" s="62" t="n"/>
      <c r="J46" s="62" t="n"/>
    </row>
    <row r="47" customFormat="1" s="6">
      <c r="A47" s="61" t="n"/>
      <c r="B47" s="62" t="n"/>
      <c r="C47" s="61" t="n"/>
      <c r="D47" s="62" t="n">
        <v>135197</v>
      </c>
      <c r="E47" s="61" t="n">
        <v>135197</v>
      </c>
      <c r="F47" s="62" t="n"/>
      <c r="G47" s="62" t="n"/>
      <c r="H47" s="62" t="n"/>
      <c r="I47" s="62" t="n"/>
      <c r="J47" s="62" t="n"/>
    </row>
    <row r="48" customFormat="1" s="6">
      <c r="A48" s="61" t="n"/>
      <c r="B48" s="62" t="n"/>
      <c r="C48" s="61" t="inlineStr">
        <is>
          <t>PAVAN STATIONERY MART</t>
        </is>
      </c>
      <c r="D48" s="62" t="n"/>
      <c r="E48" s="61" t="n"/>
      <c r="F48" s="62" t="n"/>
      <c r="G48" s="62" t="n"/>
      <c r="H48" s="62" t="n"/>
      <c r="I48" s="62" t="n"/>
      <c r="J48" s="62" t="n"/>
    </row>
    <row r="49" customFormat="1" s="6">
      <c r="A49" s="63" t="n">
        <v>46104</v>
      </c>
      <c r="B49" s="62" t="inlineStr">
        <is>
          <t>C-SLG/2417/25-26</t>
        </is>
      </c>
      <c r="C49" s="61" t="n"/>
      <c r="D49" s="62" t="n">
        <v>1329</v>
      </c>
      <c r="E49" s="61" t="n">
        <v>1329</v>
      </c>
      <c r="F49" s="64" t="n">
        <v>46129</v>
      </c>
      <c r="G49" s="62">
        <f>$E$2-F49</f>
        <v/>
      </c>
      <c r="H49" s="62" t="n"/>
      <c r="I49" s="62" t="n"/>
      <c r="J49" s="62" t="inlineStr">
        <is>
          <t>Sample Piece Issue</t>
        </is>
      </c>
    </row>
    <row r="50" customFormat="1" s="6">
      <c r="A50" s="61" t="n"/>
      <c r="B50" s="62" t="n"/>
      <c r="C50" s="61" t="n"/>
      <c r="D50" s="62" t="n">
        <v>1329</v>
      </c>
      <c r="E50" s="61" t="n">
        <v>1329</v>
      </c>
      <c r="F50" s="62" t="n"/>
      <c r="G50" s="62" t="n"/>
      <c r="H50" s="62" t="n"/>
      <c r="I50" s="62" t="n"/>
      <c r="J50" s="62" t="n"/>
    </row>
    <row r="51" customFormat="1" s="6">
      <c r="A51" s="61" t="n"/>
      <c r="B51" s="62" t="n"/>
      <c r="C51" s="61" t="inlineStr">
        <is>
          <t>RAHUL STATIONERS</t>
        </is>
      </c>
      <c r="D51" s="62" t="n"/>
      <c r="E51" s="61" t="n"/>
      <c r="F51" s="62" t="n"/>
      <c r="G51" s="62" t="n"/>
      <c r="H51" s="62" t="n"/>
      <c r="I51" s="62" t="n"/>
      <c r="J51" s="62" t="n"/>
    </row>
    <row r="52" customFormat="1" s="6">
      <c r="A52" s="63" t="n">
        <v>46087</v>
      </c>
      <c r="B52" s="62" t="inlineStr">
        <is>
          <t>C-SLG/2325/25-26</t>
        </is>
      </c>
      <c r="C52" s="61" t="n"/>
      <c r="D52" s="62" t="n">
        <v>1427</v>
      </c>
      <c r="E52" s="61" t="n">
        <v>1427</v>
      </c>
      <c r="F52" s="64" t="n">
        <v>46112</v>
      </c>
      <c r="G52" s="62">
        <f>$E$2-F52</f>
        <v/>
      </c>
      <c r="H52" s="62" t="n"/>
      <c r="I52" s="62" t="n"/>
      <c r="J52" s="62" t="inlineStr">
        <is>
          <t>Sample Piece Issue</t>
        </is>
      </c>
    </row>
    <row r="53" customFormat="1" s="6">
      <c r="A53" s="61" t="n"/>
      <c r="B53" s="62" t="n"/>
      <c r="C53" s="61" t="n"/>
      <c r="D53" s="62" t="n">
        <v>1427</v>
      </c>
      <c r="E53" s="61" t="n">
        <v>1427</v>
      </c>
      <c r="F53" s="62" t="n"/>
      <c r="G53" s="62" t="n"/>
      <c r="H53" s="62" t="n"/>
      <c r="I53" s="62" t="n"/>
      <c r="J53" s="62" t="n"/>
    </row>
    <row r="54" customFormat="1" s="6">
      <c r="A54" s="61" t="n"/>
      <c r="B54" s="62" t="n"/>
      <c r="C54" s="61" t="inlineStr">
        <is>
          <t>RAJKAMAL AGENCIES</t>
        </is>
      </c>
      <c r="D54" s="62" t="n"/>
      <c r="E54" s="61" t="n"/>
      <c r="F54" s="62" t="n"/>
      <c r="G54" s="62" t="n"/>
      <c r="H54" s="62" t="n"/>
      <c r="I54" s="62" t="n"/>
      <c r="J54" s="62" t="n"/>
      <c r="K54" s="7" t="inlineStr">
        <is>
          <t>HE WILL GIVE TODAY CHEQUE | RINGING NOT RESPONDING | HE WILL PAY TOMMROW | GIVEN CHEQUE</t>
        </is>
      </c>
    </row>
    <row r="55" customFormat="1" s="6">
      <c r="A55" s="63" t="n">
        <v>46098</v>
      </c>
      <c r="B55" s="62" t="inlineStr">
        <is>
          <t>C-SLG/2395/25-26</t>
        </is>
      </c>
      <c r="C55" s="61" t="n"/>
      <c r="D55" s="62" t="n">
        <v>75814</v>
      </c>
      <c r="E55" s="61" t="n">
        <v>75814</v>
      </c>
      <c r="F55" s="64" t="n">
        <v>46123</v>
      </c>
      <c r="G55" s="62">
        <f>$E$2-F55</f>
        <v/>
      </c>
      <c r="H55" s="62" t="n"/>
      <c r="I55" s="62" t="n"/>
      <c r="J55" s="109" t="inlineStr">
        <is>
          <t>Send DSO on Monday for Cheque Collection</t>
        </is>
      </c>
    </row>
    <row r="56" customFormat="1" s="6">
      <c r="A56" s="63" t="n">
        <v>46112</v>
      </c>
      <c r="B56" s="62" t="inlineStr">
        <is>
          <t>Bounce Charges-2661</t>
        </is>
      </c>
      <c r="C56" s="61" t="n"/>
      <c r="D56" s="62" t="n">
        <v>500</v>
      </c>
      <c r="E56" s="61" t="n">
        <v>500</v>
      </c>
      <c r="F56" s="64" t="n">
        <v>46137</v>
      </c>
      <c r="G56" s="62">
        <f>$E$2-F56</f>
        <v/>
      </c>
      <c r="H56" s="62" t="n"/>
      <c r="I56" s="62" t="n"/>
      <c r="J56" s="62" t="n"/>
    </row>
    <row r="57" customFormat="1" s="6">
      <c r="A57" s="63" t="n">
        <v>46151</v>
      </c>
      <c r="B57" s="62" t="inlineStr">
        <is>
          <t>C-SLG/0107/26-27</t>
        </is>
      </c>
      <c r="C57" s="61" t="n"/>
      <c r="D57" s="62" t="n">
        <v>57397</v>
      </c>
      <c r="E57" s="61" t="n">
        <v>57397</v>
      </c>
      <c r="F57" s="64" t="n">
        <v>46176</v>
      </c>
      <c r="G57" s="62" t="n"/>
      <c r="H57" s="62" t="n"/>
      <c r="I57" s="62" t="n"/>
      <c r="J57" s="62" t="n"/>
    </row>
    <row r="58" customFormat="1" s="6">
      <c r="A58" s="61" t="n"/>
      <c r="B58" s="62" t="n"/>
      <c r="C58" s="61" t="n"/>
      <c r="D58" s="62" t="n">
        <v>133711</v>
      </c>
      <c r="E58" s="61" t="n">
        <v>133711</v>
      </c>
      <c r="F58" s="62" t="n"/>
      <c r="G58" s="62" t="n"/>
      <c r="H58" s="62" t="n"/>
      <c r="I58" s="62" t="n"/>
      <c r="J58" s="62" t="n"/>
    </row>
    <row r="59" customFormat="1" s="6">
      <c r="A59" s="61" t="n"/>
      <c r="B59" s="62" t="n"/>
      <c r="C59" s="61" t="inlineStr">
        <is>
          <t>Rajkamal Paper Product</t>
        </is>
      </c>
      <c r="D59" s="62" t="n"/>
      <c r="E59" s="61" t="n"/>
      <c r="F59" s="62" t="n"/>
      <c r="G59" s="62" t="n"/>
      <c r="H59" s="62" t="n"/>
      <c r="I59" s="62" t="n"/>
      <c r="J59" s="62" t="n"/>
    </row>
    <row r="60" customFormat="1" s="6">
      <c r="A60" s="63" t="n">
        <v>46121</v>
      </c>
      <c r="B60" s="62" t="inlineStr">
        <is>
          <t>Bounce Charges-170</t>
        </is>
      </c>
      <c r="C60" s="61" t="n"/>
      <c r="D60" s="62" t="n">
        <v>500</v>
      </c>
      <c r="E60" s="61" t="n">
        <v>500</v>
      </c>
      <c r="F60" s="64" t="n">
        <v>46146</v>
      </c>
      <c r="G60" s="62">
        <f>$E$2-F60</f>
        <v/>
      </c>
      <c r="H60" s="62" t="n"/>
      <c r="I60" s="62" t="n"/>
      <c r="J60" s="62" t="n"/>
    </row>
    <row r="61" customFormat="1" s="6">
      <c r="A61" s="63" t="n">
        <v>46125</v>
      </c>
      <c r="B61" s="62" t="inlineStr">
        <is>
          <t>Bounce Charges-172</t>
        </is>
      </c>
      <c r="C61" s="61" t="n"/>
      <c r="D61" s="62" t="n">
        <v>500</v>
      </c>
      <c r="E61" s="61" t="n">
        <v>500</v>
      </c>
      <c r="F61" s="64" t="n">
        <v>46150</v>
      </c>
      <c r="G61" s="62">
        <f>$E$2-F61</f>
        <v/>
      </c>
      <c r="H61" s="62" t="n"/>
      <c r="I61" s="62" t="n"/>
      <c r="J61" s="62" t="n"/>
    </row>
    <row r="62" customFormat="1" s="6">
      <c r="A62" s="63" t="n">
        <v>46130</v>
      </c>
      <c r="B62" s="62" t="inlineStr">
        <is>
          <t>C-SLG/0052/26-27</t>
        </is>
      </c>
      <c r="C62" s="61" t="n"/>
      <c r="D62" s="62" t="n">
        <v>39730</v>
      </c>
      <c r="E62" s="61" t="n">
        <v>39730</v>
      </c>
      <c r="F62" s="64" t="n">
        <v>46155</v>
      </c>
      <c r="G62" s="62">
        <f>$E$2-F62</f>
        <v/>
      </c>
      <c r="H62" s="62" t="n"/>
      <c r="I62" s="62" t="n"/>
      <c r="J62" s="62" t="n"/>
    </row>
    <row r="63" customFormat="1" s="6">
      <c r="A63" s="61" t="n"/>
      <c r="B63" s="62" t="n"/>
      <c r="C63" s="61" t="n"/>
      <c r="D63" s="62" t="n">
        <v>40730</v>
      </c>
      <c r="E63" s="61" t="n">
        <v>40730</v>
      </c>
      <c r="F63" s="62" t="n"/>
      <c r="G63" s="62" t="n"/>
      <c r="H63" s="62" t="n"/>
      <c r="I63" s="62" t="n"/>
      <c r="J63" s="62" t="n"/>
    </row>
    <row r="64" customFormat="1" s="6">
      <c r="A64" s="61" t="n"/>
      <c r="B64" s="62" t="n"/>
      <c r="C64" s="61" t="inlineStr">
        <is>
          <t>RAJLAXMI STATIONERY</t>
        </is>
      </c>
      <c r="D64" s="62" t="n"/>
      <c r="E64" s="61" t="n"/>
      <c r="F64" s="62" t="n"/>
      <c r="G64" s="62" t="n"/>
      <c r="H64" s="62" t="n"/>
      <c r="I64" s="62" t="n"/>
      <c r="J64" s="62" t="n"/>
      <c r="K64" s="7" t="inlineStr">
        <is>
          <t>RINGING NOT RESPONDING | RINGING NOT RESPONDING | PAID TODAY 5000 | NUMBER BUSY | NUMBER BUSY | RINGING NOT RESPONDING | RINGING NOT RESPONDING | paid 5000 remaing hewill pay</t>
        </is>
      </c>
    </row>
    <row r="65" customFormat="1" s="6">
      <c r="A65" s="63" t="n">
        <v>46015</v>
      </c>
      <c r="B65" s="62" t="inlineStr">
        <is>
          <t>Chq Bounce-2101</t>
        </is>
      </c>
      <c r="C65" s="61" t="n"/>
      <c r="D65" s="62" t="n">
        <v>52086</v>
      </c>
      <c r="E65" s="61" t="n">
        <v>15000</v>
      </c>
      <c r="F65" s="64" t="n">
        <v>46040</v>
      </c>
      <c r="G65" s="62">
        <f>$E$2-F65</f>
        <v/>
      </c>
      <c r="H65" s="62" t="n"/>
      <c r="I65" s="62" t="n"/>
      <c r="J65" s="62" t="n"/>
    </row>
    <row r="66" customFormat="1" s="6">
      <c r="A66" s="63" t="n">
        <v>46042</v>
      </c>
      <c r="B66" s="62" t="inlineStr">
        <is>
          <t>Bounce Charges-2290</t>
        </is>
      </c>
      <c r="C66" s="61" t="n"/>
      <c r="D66" s="62" t="n">
        <v>500</v>
      </c>
      <c r="E66" s="61" t="n">
        <v>400</v>
      </c>
      <c r="F66" s="64" t="n">
        <v>46067</v>
      </c>
      <c r="G66" s="62">
        <f>$E$2-F66</f>
        <v/>
      </c>
      <c r="H66" s="62" t="n"/>
      <c r="I66" s="62" t="n"/>
      <c r="J66" s="62" t="n"/>
    </row>
    <row r="67" customFormat="1" s="6">
      <c r="A67" s="61" t="n"/>
      <c r="B67" s="62" t="n"/>
      <c r="C67" s="61" t="n"/>
      <c r="D67" s="62" t="n">
        <v>52586</v>
      </c>
      <c r="E67" s="61" t="n">
        <v>15400</v>
      </c>
      <c r="F67" s="62" t="n"/>
      <c r="G67" s="62" t="n"/>
      <c r="H67" s="62">
        <f>5000+10000</f>
        <v/>
      </c>
      <c r="I67" s="62">
        <f>E67-H67</f>
        <v/>
      </c>
      <c r="J67" s="62" t="inlineStr">
        <is>
          <t>Paid 10,000 Today</t>
        </is>
      </c>
    </row>
    <row r="68" customFormat="1" s="6">
      <c r="A68" s="61" t="n"/>
      <c r="B68" s="62" t="n"/>
      <c r="C68" s="61" t="inlineStr">
        <is>
          <t>RAJ MARKETING</t>
        </is>
      </c>
      <c r="D68" s="62" t="n"/>
      <c r="E68" s="61" t="n"/>
      <c r="F68" s="62" t="n"/>
      <c r="G68" s="62" t="n"/>
      <c r="H68" s="62" t="n"/>
      <c r="I68" s="62" t="n"/>
      <c r="J68" s="62" t="n"/>
      <c r="K68" s="7" t="inlineStr">
        <is>
          <t>RINGING NOT RESPONDING | MONDAY HE WILL PAY | cheque given</t>
        </is>
      </c>
    </row>
    <row r="69" customFormat="1" s="6">
      <c r="A69" s="63" t="n">
        <v>46084</v>
      </c>
      <c r="B69" s="62" t="inlineStr">
        <is>
          <t>C-SLG/2306/25-26</t>
        </is>
      </c>
      <c r="C69" s="61" t="n"/>
      <c r="D69" s="62" t="n">
        <v>26307</v>
      </c>
      <c r="E69" s="61" t="n">
        <v>26307</v>
      </c>
      <c r="F69" s="64" t="n">
        <v>46109</v>
      </c>
      <c r="G69" s="62">
        <f>$E$2-F69</f>
        <v/>
      </c>
      <c r="H69" s="62" t="n"/>
      <c r="I69" s="62" t="n"/>
      <c r="J69" s="62" t="inlineStr">
        <is>
          <t>Credit Note</t>
        </is>
      </c>
    </row>
    <row r="70" customFormat="1" s="6">
      <c r="A70" s="63" t="n">
        <v>46109</v>
      </c>
      <c r="B70" s="62" t="inlineStr">
        <is>
          <t>C-SLG/2468/25-26</t>
        </is>
      </c>
      <c r="C70" s="61" t="n"/>
      <c r="D70" s="62" t="n">
        <v>20526</v>
      </c>
      <c r="E70" s="61" t="n">
        <v>20526</v>
      </c>
      <c r="F70" s="64" t="n">
        <v>46134</v>
      </c>
      <c r="G70" s="62">
        <f>$E$2-F70</f>
        <v/>
      </c>
      <c r="H70" s="62" t="n">
        <v>20526</v>
      </c>
      <c r="I70" s="62">
        <f>E70-H70</f>
        <v/>
      </c>
      <c r="J70" s="62" t="inlineStr">
        <is>
          <t>Paid Cheque - Full Amt</t>
        </is>
      </c>
    </row>
    <row r="71" customFormat="1" s="6">
      <c r="A71" s="61" t="n"/>
      <c r="B71" s="62" t="n"/>
      <c r="C71" s="61" t="n"/>
      <c r="D71" s="62" t="n">
        <v>46833</v>
      </c>
      <c r="E71" s="61" t="n">
        <v>46833</v>
      </c>
      <c r="F71" s="62" t="n"/>
      <c r="G71" s="62" t="n"/>
      <c r="H71" s="62" t="n">
        <v>20526</v>
      </c>
      <c r="I71" s="62">
        <f>E71-H71</f>
        <v/>
      </c>
      <c r="J71" s="62" t="n"/>
    </row>
    <row r="72" customFormat="1" s="6">
      <c r="A72" s="61" t="n"/>
      <c r="B72" s="62" t="n"/>
      <c r="C72" s="61" t="inlineStr">
        <is>
          <t>RAM BHAGWAN CORPORATION</t>
        </is>
      </c>
      <c r="D72" s="62" t="n"/>
      <c r="E72" s="61" t="n"/>
      <c r="F72" s="62" t="n"/>
      <c r="G72" s="62" t="n"/>
      <c r="H72" s="62" t="n"/>
      <c r="I72" s="62" t="n"/>
      <c r="J72" s="62" t="n"/>
      <c r="K72" s="7" t="inlineStr">
        <is>
          <t>HE WILL   GIVE CHEQUE DSO | chequegiven | 1-2 DAYS CHEQUE GIVE</t>
        </is>
      </c>
    </row>
    <row r="73" customFormat="1" s="6">
      <c r="A73" s="63" t="n">
        <v>46128</v>
      </c>
      <c r="B73" s="62" t="inlineStr">
        <is>
          <t>C-SLG/0044/26-27</t>
        </is>
      </c>
      <c r="C73" s="61" t="n"/>
      <c r="D73" s="62" t="n">
        <v>25530</v>
      </c>
      <c r="E73" s="61" t="n">
        <v>25530</v>
      </c>
      <c r="F73" s="64" t="n">
        <v>46153</v>
      </c>
      <c r="G73" s="62">
        <f>$E$2-F73</f>
        <v/>
      </c>
      <c r="H73" s="62" t="n"/>
      <c r="I73" s="62" t="n"/>
      <c r="J73" s="62" t="n"/>
    </row>
    <row r="74" customFormat="1" s="6">
      <c r="A74" s="61" t="n"/>
      <c r="B74" s="62" t="n"/>
      <c r="C74" s="61" t="n"/>
      <c r="D74" s="62" t="n">
        <v>25530</v>
      </c>
      <c r="E74" s="61" t="n">
        <v>25530</v>
      </c>
      <c r="F74" s="62" t="n"/>
      <c r="G74" s="62" t="n"/>
      <c r="H74" s="62" t="n"/>
      <c r="I74" s="62" t="n"/>
      <c r="J74" s="62" t="n"/>
    </row>
    <row r="75" customFormat="1" s="6">
      <c r="A75" s="61" t="n"/>
      <c r="B75" s="62" t="n"/>
      <c r="C75" s="61" t="inlineStr">
        <is>
          <t>Ram Stationery Mart</t>
        </is>
      </c>
      <c r="D75" s="62" t="n"/>
      <c r="E75" s="61" t="n"/>
      <c r="F75" s="62" t="n"/>
      <c r="G75" s="62" t="n"/>
      <c r="H75" s="62" t="n"/>
      <c r="I75" s="62" t="n"/>
      <c r="J75" s="62" t="n"/>
    </row>
    <row r="76" customFormat="1" s="6">
      <c r="A76" s="63" t="n">
        <v>45770</v>
      </c>
      <c r="B76" s="62" t="inlineStr">
        <is>
          <t>C-SLG/00130/25-26</t>
        </is>
      </c>
      <c r="C76" s="61" t="n"/>
      <c r="D76" s="62" t="n">
        <v>31674</v>
      </c>
      <c r="E76" s="61" t="n">
        <v>613.15</v>
      </c>
      <c r="F76" s="64" t="n">
        <v>45795</v>
      </c>
      <c r="G76" s="62">
        <f>$E$2-F76</f>
        <v/>
      </c>
      <c r="H76" s="62" t="n"/>
      <c r="I76" s="62" t="n"/>
      <c r="J76" s="62" t="n"/>
    </row>
    <row r="77" customFormat="1" s="6">
      <c r="A77" s="63" t="n">
        <v>45836</v>
      </c>
      <c r="B77" s="62" t="inlineStr">
        <is>
          <t>C-SLG/508/25-26</t>
        </is>
      </c>
      <c r="C77" s="61" t="n"/>
      <c r="D77" s="62" t="n">
        <v>83953</v>
      </c>
      <c r="E77" s="61" t="n">
        <v>83953</v>
      </c>
      <c r="F77" s="64" t="n">
        <v>45861</v>
      </c>
      <c r="G77" s="62">
        <f>$E$2-F77</f>
        <v/>
      </c>
      <c r="H77" s="62" t="n"/>
      <c r="I77" s="62" t="n"/>
      <c r="J77" s="62" t="n"/>
    </row>
    <row r="78" customFormat="1" s="6">
      <c r="A78" s="63" t="n">
        <v>45838</v>
      </c>
      <c r="B78" s="62" t="inlineStr">
        <is>
          <t>C-SLG/515/25-26</t>
        </is>
      </c>
      <c r="C78" s="61" t="n"/>
      <c r="D78" s="62" t="n">
        <v>136289</v>
      </c>
      <c r="E78" s="61" t="n">
        <v>136289</v>
      </c>
      <c r="F78" s="64" t="n">
        <v>45863</v>
      </c>
      <c r="G78" s="62">
        <f>$E$2-F78</f>
        <v/>
      </c>
      <c r="H78" s="62" t="n"/>
      <c r="I78" s="62" t="n"/>
      <c r="J78" s="62" t="n"/>
    </row>
    <row r="79" customFormat="1" s="6">
      <c r="A79" s="63" t="n">
        <v>45849</v>
      </c>
      <c r="B79" s="62" t="inlineStr">
        <is>
          <t>C-SLG/620/25-26</t>
        </is>
      </c>
      <c r="C79" s="61" t="n"/>
      <c r="D79" s="62" t="n">
        <v>97996</v>
      </c>
      <c r="E79" s="61" t="n">
        <v>97996</v>
      </c>
      <c r="F79" s="64" t="n">
        <v>45874</v>
      </c>
      <c r="G79" s="62">
        <f>$E$2-F79</f>
        <v/>
      </c>
      <c r="H79" s="62" t="n"/>
      <c r="I79" s="62" t="n"/>
      <c r="J79" s="62" t="n"/>
    </row>
    <row r="80" customFormat="1" s="6">
      <c r="A80" s="63" t="n">
        <v>45890</v>
      </c>
      <c r="B80" s="62" t="inlineStr">
        <is>
          <t>C-SLG/943/25-26</t>
        </is>
      </c>
      <c r="C80" s="61" t="n"/>
      <c r="D80" s="62" t="n">
        <v>37146</v>
      </c>
      <c r="E80" s="61" t="n">
        <v>37146</v>
      </c>
      <c r="F80" s="64" t="n">
        <v>45915</v>
      </c>
      <c r="G80" s="62">
        <f>$E$2-F80</f>
        <v/>
      </c>
      <c r="H80" s="62" t="n"/>
      <c r="I80" s="62" t="n"/>
      <c r="J80" s="62" t="n"/>
    </row>
    <row r="81" customFormat="1" s="6">
      <c r="A81" s="63" t="n">
        <v>45905</v>
      </c>
      <c r="B81" s="62" t="inlineStr">
        <is>
          <t>C-SLG/1078/25-26</t>
        </is>
      </c>
      <c r="C81" s="61" t="n"/>
      <c r="D81" s="62" t="n">
        <v>248440</v>
      </c>
      <c r="E81" s="61" t="n">
        <v>248440</v>
      </c>
      <c r="F81" s="64" t="n">
        <v>45930</v>
      </c>
      <c r="G81" s="62">
        <f>$E$2-F81</f>
        <v/>
      </c>
      <c r="H81" s="62" t="n"/>
      <c r="I81" s="62" t="n"/>
      <c r="J81" s="62" t="n"/>
    </row>
    <row r="82" customFormat="1" s="6">
      <c r="A82" s="63" t="n">
        <v>45918</v>
      </c>
      <c r="B82" s="62" t="inlineStr">
        <is>
          <t>C-SLG/1244/25-26</t>
        </is>
      </c>
      <c r="C82" s="61" t="n"/>
      <c r="D82" s="62" t="n">
        <v>143307</v>
      </c>
      <c r="E82" s="61" t="n">
        <v>143307</v>
      </c>
      <c r="F82" s="64" t="n">
        <v>45943</v>
      </c>
      <c r="G82" s="62">
        <f>$E$2-F82</f>
        <v/>
      </c>
      <c r="H82" s="62" t="n"/>
      <c r="I82" s="62" t="n"/>
      <c r="J82" s="62" t="n"/>
    </row>
    <row r="83" customFormat="1" s="6">
      <c r="A83" s="63" t="n">
        <v>45927</v>
      </c>
      <c r="B83" s="62" t="inlineStr">
        <is>
          <t>C-SLG/1326/25-26</t>
        </is>
      </c>
      <c r="C83" s="61" t="n"/>
      <c r="D83" s="62" t="n">
        <v>19200</v>
      </c>
      <c r="E83" s="61" t="n">
        <v>19200</v>
      </c>
      <c r="F83" s="64" t="n">
        <v>45952</v>
      </c>
      <c r="G83" s="62">
        <f>$E$2-F83</f>
        <v/>
      </c>
      <c r="H83" s="62" t="n"/>
      <c r="I83" s="62" t="n"/>
      <c r="J83" s="62" t="n"/>
    </row>
    <row r="84" customFormat="1" s="6">
      <c r="A84" s="63" t="n">
        <v>45955</v>
      </c>
      <c r="B84" s="62" t="inlineStr">
        <is>
          <t>C-SLG/1540/25-26</t>
        </is>
      </c>
      <c r="C84" s="61" t="n"/>
      <c r="D84" s="62" t="n">
        <v>163657</v>
      </c>
      <c r="E84" s="61" t="n">
        <v>163657</v>
      </c>
      <c r="F84" s="64" t="n">
        <v>45980</v>
      </c>
      <c r="G84" s="62">
        <f>$E$2-F84</f>
        <v/>
      </c>
      <c r="H84" s="62" t="n"/>
      <c r="I84" s="62" t="n"/>
      <c r="J84" s="62" t="n"/>
    </row>
    <row r="85" customFormat="1" s="6">
      <c r="A85" s="63" t="n">
        <v>45978</v>
      </c>
      <c r="B85" s="62" t="inlineStr">
        <is>
          <t>C-SLG/1673/25-26</t>
        </is>
      </c>
      <c r="C85" s="61" t="n"/>
      <c r="D85" s="62" t="n">
        <v>5143</v>
      </c>
      <c r="E85" s="61" t="n">
        <v>5143</v>
      </c>
      <c r="F85" s="64" t="n">
        <v>46003</v>
      </c>
      <c r="G85" s="62">
        <f>$E$2-F85</f>
        <v/>
      </c>
      <c r="H85" s="62" t="n"/>
      <c r="I85" s="62" t="n"/>
      <c r="J85" s="62" t="n"/>
    </row>
    <row r="86" customFormat="1" s="6">
      <c r="A86" s="63" t="n">
        <v>46022</v>
      </c>
      <c r="B86" s="62" t="inlineStr">
        <is>
          <t>C-SLG/2018/25-26</t>
        </is>
      </c>
      <c r="C86" s="61" t="n"/>
      <c r="D86" s="62" t="n">
        <v>109076</v>
      </c>
      <c r="E86" s="61" t="n">
        <v>105970.48</v>
      </c>
      <c r="F86" s="64" t="n">
        <v>46047</v>
      </c>
      <c r="G86" s="62">
        <f>$E$2-F86</f>
        <v/>
      </c>
      <c r="H86" s="62" t="n"/>
      <c r="I86" s="62" t="n"/>
      <c r="J86" s="62" t="n"/>
    </row>
    <row r="87" customFormat="1" s="6">
      <c r="A87" s="63" t="n">
        <v>46025</v>
      </c>
      <c r="B87" s="62" t="inlineStr">
        <is>
          <t>C-SLG/2030/25-26</t>
        </is>
      </c>
      <c r="C87" s="61" t="n"/>
      <c r="D87" s="62" t="n">
        <v>54538</v>
      </c>
      <c r="E87" s="61" t="n">
        <v>53447.25</v>
      </c>
      <c r="F87" s="64" t="n">
        <v>46050</v>
      </c>
      <c r="G87" s="62">
        <f>$E$2-F87</f>
        <v/>
      </c>
      <c r="H87" s="62" t="n"/>
      <c r="I87" s="62" t="n"/>
      <c r="J87" s="62" t="n"/>
    </row>
    <row r="88" customFormat="1" s="6">
      <c r="A88" s="63" t="n">
        <v>46053</v>
      </c>
      <c r="B88" s="62" t="inlineStr">
        <is>
          <t>C-SLG/2156/25-26</t>
        </is>
      </c>
      <c r="C88" s="61" t="n"/>
      <c r="D88" s="62" t="n">
        <v>159001</v>
      </c>
      <c r="E88" s="61" t="n">
        <v>155010</v>
      </c>
      <c r="F88" s="64" t="n">
        <v>46078</v>
      </c>
      <c r="G88" s="62">
        <f>$E$2-F88</f>
        <v/>
      </c>
      <c r="H88" s="62" t="n"/>
      <c r="I88" s="62" t="n"/>
      <c r="J88" s="62" t="n"/>
    </row>
    <row r="89" customFormat="1" s="6">
      <c r="A89" s="63" t="n">
        <v>46122</v>
      </c>
      <c r="B89" s="62" t="inlineStr">
        <is>
          <t>C-SLG/0025/26-27</t>
        </is>
      </c>
      <c r="C89" s="61" t="n"/>
      <c r="D89" s="62" t="n">
        <v>93732</v>
      </c>
      <c r="E89" s="61" t="n">
        <v>93732</v>
      </c>
      <c r="F89" s="64" t="n">
        <v>46147</v>
      </c>
      <c r="G89" s="62">
        <f>$E$2-F89</f>
        <v/>
      </c>
      <c r="H89" s="62" t="n"/>
      <c r="I89" s="62" t="n"/>
      <c r="J89" s="62" t="n"/>
    </row>
    <row r="90" customFormat="1" s="6">
      <c r="A90" s="63" t="n">
        <v>46156</v>
      </c>
      <c r="B90" s="62" t="inlineStr">
        <is>
          <t>C-SLG/0128/26-27</t>
        </is>
      </c>
      <c r="C90" s="61" t="n"/>
      <c r="D90" s="62" t="n">
        <v>43847</v>
      </c>
      <c r="E90" s="61" t="n">
        <v>43847</v>
      </c>
      <c r="F90" s="64" t="n">
        <v>46181</v>
      </c>
      <c r="G90" s="62" t="n"/>
      <c r="H90" s="62" t="n"/>
      <c r="I90" s="62" t="n"/>
      <c r="J90" s="62" t="n"/>
    </row>
    <row r="91" customFormat="1" s="6">
      <c r="A91" s="61" t="n"/>
      <c r="B91" s="62" t="n"/>
      <c r="C91" s="61" t="n"/>
      <c r="D91" s="62" t="n">
        <v>1426999</v>
      </c>
      <c r="E91" s="61" t="n">
        <v>1387750.88</v>
      </c>
      <c r="F91" s="62" t="n"/>
      <c r="G91" s="62" t="n"/>
      <c r="H91" s="62" t="n"/>
      <c r="I91" s="62" t="n"/>
      <c r="J91" s="62" t="n"/>
    </row>
    <row r="92" customFormat="1" s="6">
      <c r="A92" s="61" t="n"/>
      <c r="B92" s="62" t="n"/>
      <c r="C92" s="61" t="inlineStr">
        <is>
          <t>REMAX ENTERPRISES</t>
        </is>
      </c>
      <c r="D92" s="62" t="n"/>
      <c r="E92" s="61" t="n"/>
      <c r="F92" s="62" t="n"/>
      <c r="G92" s="62" t="n"/>
      <c r="H92" s="62" t="n"/>
      <c r="I92" s="62" t="n"/>
      <c r="J92" s="62" t="n"/>
    </row>
    <row r="93" customFormat="1" s="6">
      <c r="A93" s="63" t="n">
        <v>46031</v>
      </c>
      <c r="B93" s="62" t="inlineStr">
        <is>
          <t>C-SLG/2061/25-26</t>
        </is>
      </c>
      <c r="C93" s="61" t="n"/>
      <c r="D93" s="62" t="n">
        <v>16753</v>
      </c>
      <c r="E93" s="61" t="n">
        <v>5</v>
      </c>
      <c r="F93" s="64" t="n">
        <v>46056</v>
      </c>
      <c r="G93" s="62">
        <f>$E$2-F93</f>
        <v/>
      </c>
      <c r="H93" s="62" t="n"/>
      <c r="I93" s="62" t="n"/>
      <c r="J93" s="62" t="n"/>
    </row>
    <row r="94" customFormat="1" s="6">
      <c r="A94" s="61" t="n"/>
      <c r="B94" s="62" t="n"/>
      <c r="C94" s="61" t="n"/>
      <c r="D94" s="62" t="n">
        <v>16753</v>
      </c>
      <c r="E94" s="61" t="n">
        <v>5</v>
      </c>
      <c r="F94" s="62" t="n"/>
      <c r="G94" s="62" t="n"/>
      <c r="H94" s="62" t="n"/>
      <c r="I94" s="62" t="n"/>
      <c r="J94" s="62" t="n"/>
    </row>
    <row r="95" customFormat="1" s="6">
      <c r="A95" s="61" t="n"/>
      <c r="B95" s="62" t="n"/>
      <c r="C95" s="61" t="inlineStr">
        <is>
          <t>Renuka Enterprises</t>
        </is>
      </c>
      <c r="D95" s="62" t="n"/>
      <c r="E95" s="61" t="n"/>
      <c r="F95" s="62" t="n"/>
      <c r="G95" s="62" t="n"/>
      <c r="H95" s="62" t="n"/>
      <c r="I95" s="62" t="n"/>
      <c r="J95" s="62" t="n"/>
      <c r="K95" s="7" t="inlineStr">
        <is>
          <t>HE WILL PAY IN 4 DAYS | HE WILL PAY ON SATURDAY | SATURDAY | RINGING NOT RESPONDING | PAYMENT AT 5:30PM</t>
        </is>
      </c>
    </row>
    <row r="96" customFormat="1" s="6">
      <c r="A96" s="63" t="n">
        <v>46107</v>
      </c>
      <c r="B96" s="62" t="inlineStr">
        <is>
          <t>C-SLG/2456/25-26</t>
        </is>
      </c>
      <c r="C96" s="61" t="n"/>
      <c r="D96" s="62" t="n">
        <v>82798</v>
      </c>
      <c r="E96" s="61" t="n">
        <v>82798</v>
      </c>
      <c r="F96" s="64" t="n">
        <v>46132</v>
      </c>
      <c r="G96" s="62">
        <f>$E$2-F96</f>
        <v/>
      </c>
      <c r="H96" s="62" t="n"/>
      <c r="I96" s="62" t="n"/>
      <c r="J96" s="62" t="n"/>
    </row>
    <row r="97" customFormat="1" s="6">
      <c r="A97" s="63" t="n">
        <v>46155</v>
      </c>
      <c r="B97" s="62" t="inlineStr">
        <is>
          <t>C-SLG/0116/26-27</t>
        </is>
      </c>
      <c r="C97" s="61" t="n"/>
      <c r="D97" s="62" t="n">
        <v>547</v>
      </c>
      <c r="E97" s="61" t="n">
        <v>547</v>
      </c>
      <c r="F97" s="64" t="n">
        <v>46180</v>
      </c>
      <c r="G97" s="62" t="n"/>
      <c r="H97" s="62" t="n"/>
      <c r="I97" s="62" t="n"/>
      <c r="J97" s="62" t="n"/>
    </row>
    <row r="98" customFormat="1" s="6">
      <c r="A98" s="61" t="n"/>
      <c r="B98" s="62" t="n"/>
      <c r="C98" s="61" t="n"/>
      <c r="D98" s="62" t="n">
        <v>83345</v>
      </c>
      <c r="E98" s="61" t="n">
        <v>83345</v>
      </c>
      <c r="F98" s="62" t="n"/>
      <c r="G98" s="62" t="n"/>
      <c r="H98" s="62" t="n"/>
      <c r="I98" s="62" t="n"/>
      <c r="J98" s="62" t="n"/>
    </row>
    <row r="99" customFormat="1" s="6">
      <c r="A99" s="61" t="n"/>
      <c r="B99" s="62" t="n"/>
      <c r="C99" s="61" t="inlineStr">
        <is>
          <t>RENUKA STATIONERS</t>
        </is>
      </c>
      <c r="D99" s="62" t="n"/>
      <c r="E99" s="61" t="n"/>
      <c r="F99" s="62" t="n"/>
      <c r="G99" s="62" t="n"/>
      <c r="H99" s="62" t="n"/>
      <c r="I99" s="62" t="n"/>
      <c r="J99" s="62" t="n"/>
      <c r="K99" s="7" t="inlineStr">
        <is>
          <t>PAID | PAID</t>
        </is>
      </c>
    </row>
    <row r="100" customFormat="1" s="6">
      <c r="A100" s="63" t="n">
        <v>46109</v>
      </c>
      <c r="B100" s="62" t="inlineStr">
        <is>
          <t>C-SLG/2473/25-26</t>
        </is>
      </c>
      <c r="C100" s="61" t="n"/>
      <c r="D100" s="62" t="n">
        <v>152603</v>
      </c>
      <c r="E100" s="61" t="n">
        <v>152603</v>
      </c>
      <c r="F100" s="64" t="n">
        <v>46134</v>
      </c>
      <c r="G100" s="62">
        <f>$E$2-F100</f>
        <v/>
      </c>
      <c r="H100" s="62" t="n"/>
      <c r="I100" s="62" t="n"/>
      <c r="J100" s="62" t="n"/>
    </row>
    <row r="101" customFormat="1" s="6">
      <c r="A101" s="63" t="n">
        <v>46142</v>
      </c>
      <c r="B101" s="62" t="inlineStr">
        <is>
          <t>C-SLG/0084/26-27</t>
        </is>
      </c>
      <c r="C101" s="61" t="n"/>
      <c r="D101" s="62" t="n">
        <v>136439</v>
      </c>
      <c r="E101" s="61" t="n">
        <v>136439</v>
      </c>
      <c r="F101" s="64" t="n">
        <v>46167</v>
      </c>
      <c r="G101" s="62" t="n"/>
      <c r="H101" s="62" t="n"/>
      <c r="I101" s="62" t="n"/>
      <c r="J101" s="62" t="n"/>
    </row>
    <row r="102" customFormat="1" s="6">
      <c r="A102" s="63" t="n">
        <v>46155</v>
      </c>
      <c r="B102" s="62" t="inlineStr">
        <is>
          <t>C-SLG/0115/26-27</t>
        </is>
      </c>
      <c r="C102" s="61" t="n"/>
      <c r="D102" s="62" t="n">
        <v>547</v>
      </c>
      <c r="E102" s="61" t="n">
        <v>547</v>
      </c>
      <c r="F102" s="64" t="n">
        <v>46180</v>
      </c>
      <c r="G102" s="62" t="n"/>
      <c r="H102" s="62" t="n"/>
      <c r="I102" s="62" t="n"/>
      <c r="J102" s="62" t="n"/>
    </row>
    <row r="103" customFormat="1" s="6">
      <c r="A103" s="61" t="n"/>
      <c r="B103" s="62" t="n"/>
      <c r="C103" s="61" t="n"/>
      <c r="D103" s="62" t="n">
        <v>289589</v>
      </c>
      <c r="E103" s="61" t="n">
        <v>289589</v>
      </c>
      <c r="F103" s="62" t="n"/>
      <c r="G103" s="62" t="n"/>
      <c r="H103" s="62" t="n"/>
      <c r="I103" s="62" t="n"/>
      <c r="J103" s="62" t="n"/>
    </row>
    <row r="104" customFormat="1" s="6">
      <c r="A104" s="61" t="n"/>
      <c r="B104" s="62" t="n"/>
      <c r="C104" s="61" t="inlineStr">
        <is>
          <t>ROLEX Stationary</t>
        </is>
      </c>
      <c r="D104" s="62" t="n"/>
      <c r="E104" s="61" t="n"/>
      <c r="F104" s="62" t="n"/>
      <c r="G104" s="62" t="n"/>
      <c r="H104" s="62" t="n"/>
      <c r="I104" s="62" t="n"/>
      <c r="J104" s="62" t="n"/>
    </row>
    <row r="105" customFormat="1" s="6">
      <c r="A105" s="63" t="n">
        <v>46087</v>
      </c>
      <c r="B105" s="62" t="inlineStr">
        <is>
          <t>C-SLG/2326/25-26</t>
        </is>
      </c>
      <c r="C105" s="61" t="n"/>
      <c r="D105" s="62" t="n">
        <v>1427</v>
      </c>
      <c r="E105" s="61" t="n">
        <v>1427</v>
      </c>
      <c r="F105" s="64" t="n">
        <v>46112</v>
      </c>
      <c r="G105" s="62">
        <f>$E$2-F105</f>
        <v/>
      </c>
      <c r="H105" s="62" t="n"/>
      <c r="I105" s="62" t="n"/>
      <c r="J105" s="62" t="n"/>
    </row>
    <row r="106" customFormat="1" s="6">
      <c r="A106" s="61" t="n"/>
      <c r="B106" s="62" t="n"/>
      <c r="C106" s="61" t="n"/>
      <c r="D106" s="62" t="n">
        <v>1427</v>
      </c>
      <c r="E106" s="61" t="n">
        <v>1427</v>
      </c>
      <c r="F106" s="62" t="n"/>
      <c r="G106" s="62" t="n"/>
      <c r="H106" s="62" t="n"/>
      <c r="I106" s="62" t="n"/>
      <c r="J106" s="62" t="n"/>
    </row>
    <row r="107" customFormat="1" s="6">
      <c r="A107" s="61" t="n"/>
      <c r="B107" s="62" t="n"/>
      <c r="C107" s="61" t="inlineStr">
        <is>
          <t>Sha Ghewarchand &amp; Co</t>
        </is>
      </c>
      <c r="D107" s="62" t="n"/>
      <c r="E107" s="61" t="n"/>
      <c r="F107" s="62" t="n"/>
      <c r="G107" s="62" t="n"/>
      <c r="H107" s="62" t="n"/>
      <c r="I107" s="62" t="n"/>
      <c r="J107" s="62" t="n"/>
    </row>
    <row r="108" customFormat="1" s="6">
      <c r="A108" s="63" t="n">
        <v>46104</v>
      </c>
      <c r="B108" s="62" t="inlineStr">
        <is>
          <t>C-SLG/2416/25-26</t>
        </is>
      </c>
      <c r="C108" s="61" t="n"/>
      <c r="D108" s="62" t="n">
        <v>1329</v>
      </c>
      <c r="E108" s="61" t="n">
        <v>1329</v>
      </c>
      <c r="F108" s="64" t="n">
        <v>46129</v>
      </c>
      <c r="G108" s="62">
        <f>$E$2-F108</f>
        <v/>
      </c>
      <c r="H108" s="62" t="n"/>
      <c r="I108" s="62" t="n"/>
      <c r="J108" s="62" t="n"/>
    </row>
    <row r="109" customFormat="1" s="6">
      <c r="A109" s="61" t="n"/>
      <c r="B109" s="62" t="n"/>
      <c r="C109" s="61" t="n"/>
      <c r="D109" s="62" t="n">
        <v>1329</v>
      </c>
      <c r="E109" s="61" t="n">
        <v>1329</v>
      </c>
      <c r="F109" s="62" t="n"/>
      <c r="G109" s="62" t="n"/>
      <c r="H109" s="62" t="n"/>
      <c r="I109" s="62" t="n"/>
      <c r="J109" s="62" t="n"/>
    </row>
    <row r="110" customFormat="1" s="6">
      <c r="A110" s="61" t="n"/>
      <c r="B110" s="62" t="n"/>
      <c r="C110" s="61" t="inlineStr">
        <is>
          <t>Shanker Stationery Mart</t>
        </is>
      </c>
      <c r="D110" s="62" t="n"/>
      <c r="E110" s="61" t="n"/>
      <c r="F110" s="62" t="n"/>
      <c r="G110" s="62" t="n"/>
      <c r="H110" s="62" t="n"/>
      <c r="I110" s="62" t="n"/>
      <c r="J110" s="62" t="n"/>
      <c r="K110" s="7" t="inlineStr">
        <is>
          <t>PAID | PAID | OUT OF REACH</t>
        </is>
      </c>
    </row>
    <row r="111" customFormat="1" s="6">
      <c r="A111" s="63" t="n">
        <v>46118</v>
      </c>
      <c r="B111" s="62" t="inlineStr">
        <is>
          <t>C-SLG/0011/26-27</t>
        </is>
      </c>
      <c r="C111" s="61" t="n"/>
      <c r="D111" s="62" t="n">
        <v>765992</v>
      </c>
      <c r="E111" s="61" t="n">
        <v>743012</v>
      </c>
      <c r="F111" s="64" t="n">
        <v>46143</v>
      </c>
      <c r="G111" s="62">
        <f>$E$2-F111</f>
        <v/>
      </c>
      <c r="H111" s="62" t="n"/>
      <c r="I111" s="62" t="n"/>
      <c r="J111" s="62" t="n"/>
    </row>
    <row r="112" customFormat="1" s="6">
      <c r="A112" s="61" t="n"/>
      <c r="B112" s="62" t="n"/>
      <c r="C112" s="61" t="n"/>
      <c r="D112" s="62" t="n">
        <v>765992</v>
      </c>
      <c r="E112" s="61" t="n">
        <v>743012</v>
      </c>
      <c r="F112" s="62" t="n"/>
      <c r="G112" s="62" t="n"/>
      <c r="H112" s="62" t="n"/>
      <c r="I112" s="62" t="n"/>
      <c r="J112" s="62" t="n"/>
    </row>
    <row r="113" customFormat="1" s="6">
      <c r="A113" s="61" t="n"/>
      <c r="B113" s="62" t="n"/>
      <c r="C113" s="61" t="inlineStr">
        <is>
          <t>SRI RAMDEV ENTERPRISES</t>
        </is>
      </c>
      <c r="D113" s="62" t="n"/>
      <c r="E113" s="61" t="n"/>
      <c r="F113" s="62" t="n"/>
      <c r="G113" s="62" t="n"/>
      <c r="H113" s="62" t="n"/>
      <c r="I113" s="62" t="n"/>
      <c r="J113" s="62" t="n"/>
      <c r="K113" s="7" t="inlineStr">
        <is>
          <t>RINGING NOT RESPONDING | HE  WILL PAY IN 2 DAYS | RINGING NOT RESPONDING | he his hospital | 3 DAYS HE GET THE AMOUNT | RINGING NOT RESPONDING</t>
        </is>
      </c>
    </row>
    <row r="114" customFormat="1" s="6">
      <c r="A114" s="63" t="n">
        <v>46059</v>
      </c>
      <c r="B114" s="62" t="inlineStr">
        <is>
          <t>C-SLG/2195/25-26</t>
        </is>
      </c>
      <c r="C114" s="61" t="n"/>
      <c r="D114" s="62" t="n">
        <v>28600</v>
      </c>
      <c r="E114" s="61" t="n">
        <v>28600</v>
      </c>
      <c r="F114" s="64" t="n">
        <v>46084</v>
      </c>
      <c r="G114" s="62">
        <f>$E$2-F114</f>
        <v/>
      </c>
      <c r="H114" s="62" t="n"/>
      <c r="I114" s="62" t="n"/>
      <c r="J114" s="62" t="n"/>
    </row>
    <row r="115" customFormat="1" s="6">
      <c r="A115" s="63" t="n">
        <v>46087</v>
      </c>
      <c r="B115" s="62" t="inlineStr">
        <is>
          <t>C-SLG/2336/25-26</t>
        </is>
      </c>
      <c r="C115" s="61" t="n"/>
      <c r="D115" s="62" t="n">
        <v>26307</v>
      </c>
      <c r="E115" s="61" t="n">
        <v>26307</v>
      </c>
      <c r="F115" s="64" t="n">
        <v>46112</v>
      </c>
      <c r="G115" s="62">
        <f>$E$2-F115</f>
        <v/>
      </c>
      <c r="H115" s="62" t="n"/>
      <c r="I115" s="62" t="n"/>
      <c r="J115" s="62" t="n"/>
    </row>
    <row r="116" customFormat="1" s="6">
      <c r="A116" s="63" t="n">
        <v>46109</v>
      </c>
      <c r="B116" s="62" t="inlineStr">
        <is>
          <t>C-SLG/2467/25-26</t>
        </is>
      </c>
      <c r="C116" s="61" t="n"/>
      <c r="D116" s="62" t="n">
        <v>21129</v>
      </c>
      <c r="E116" s="61" t="n">
        <v>21129</v>
      </c>
      <c r="F116" s="64" t="n">
        <v>46134</v>
      </c>
      <c r="G116" s="62">
        <f>$E$2-F116</f>
        <v/>
      </c>
      <c r="H116" s="62" t="n"/>
      <c r="I116" s="62" t="n"/>
      <c r="J116" s="62" t="n"/>
    </row>
    <row r="117" customFormat="1" s="6">
      <c r="A117" s="63" t="n">
        <v>46121</v>
      </c>
      <c r="B117" s="62" t="inlineStr">
        <is>
          <t>C-SLG/0010/26-27</t>
        </is>
      </c>
      <c r="C117" s="61" t="n"/>
      <c r="D117" s="62" t="n">
        <v>7460</v>
      </c>
      <c r="E117" s="61" t="n">
        <v>7460</v>
      </c>
      <c r="F117" s="64" t="n">
        <v>46146</v>
      </c>
      <c r="G117" s="62">
        <f>$E$2-F117</f>
        <v/>
      </c>
      <c r="H117" s="62" t="n"/>
      <c r="I117" s="62" t="n"/>
      <c r="J117" s="62" t="n"/>
    </row>
    <row r="118" customFormat="1" s="6">
      <c r="A118" s="61" t="n"/>
      <c r="B118" s="62" t="n"/>
      <c r="C118" s="61" t="n"/>
      <c r="D118" s="62" t="n">
        <v>83496</v>
      </c>
      <c r="E118" s="61" t="n">
        <v>83496</v>
      </c>
      <c r="F118" s="62" t="n"/>
      <c r="G118" s="62" t="n"/>
      <c r="H118" s="62" t="n"/>
      <c r="I118" s="62" t="n"/>
      <c r="J118" s="62" t="n"/>
    </row>
    <row r="119" customFormat="1" s="6">
      <c r="A119" s="61" t="n"/>
      <c r="B119" s="62" t="n"/>
      <c r="C119" s="61" t="inlineStr">
        <is>
          <t>SRI RAM STATIONERY</t>
        </is>
      </c>
      <c r="D119" s="62" t="n"/>
      <c r="E119" s="61" t="n"/>
      <c r="F119" s="62" t="n"/>
      <c r="G119" s="62" t="n"/>
      <c r="H119" s="62" t="n"/>
      <c r="I119" s="62" t="n"/>
      <c r="J119" s="62" t="n"/>
      <c r="K119" s="7" t="inlineStr">
        <is>
          <t>RINGING NOT RESPONDING | HE WILL PAY TOMMROW | HE WILLPAY  TODAY | ringing   not respond | CALL  DISCONNETED | hewill  pay today</t>
        </is>
      </c>
    </row>
    <row r="120" customFormat="1" s="6">
      <c r="A120" s="63" t="n">
        <v>45202</v>
      </c>
      <c r="B120" s="62" t="inlineStr">
        <is>
          <t>C-SLG/1650/23-24</t>
        </is>
      </c>
      <c r="C120" s="61" t="n"/>
      <c r="D120" s="62" t="n">
        <v>66959.10000000001</v>
      </c>
      <c r="E120" s="61" t="n">
        <v>21098.1</v>
      </c>
      <c r="F120" s="64" t="n">
        <v>45202</v>
      </c>
      <c r="G120" s="62">
        <f>$E$2-F120</f>
        <v/>
      </c>
      <c r="H120" s="62" t="n"/>
      <c r="I120" s="62" t="n"/>
      <c r="J120" s="62" t="n"/>
    </row>
    <row r="121" customFormat="1" s="6">
      <c r="A121" s="63" t="n">
        <v>46087</v>
      </c>
      <c r="B121" s="62" t="inlineStr">
        <is>
          <t>C-SLG/2327/25-26</t>
        </is>
      </c>
      <c r="C121" s="61" t="n"/>
      <c r="D121" s="62" t="n">
        <v>1427</v>
      </c>
      <c r="E121" s="61" t="n">
        <v>1427</v>
      </c>
      <c r="F121" s="64" t="n">
        <v>46112</v>
      </c>
      <c r="G121" s="62">
        <f>$E$2-F121</f>
        <v/>
      </c>
      <c r="H121" s="62" t="n"/>
      <c r="I121" s="62" t="n"/>
      <c r="J121" s="62" t="n"/>
    </row>
    <row r="122" customFormat="1" s="6">
      <c r="A122" s="61" t="n"/>
      <c r="B122" s="62" t="n"/>
      <c r="C122" s="61" t="n"/>
      <c r="D122" s="62" t="n">
        <v>68386.10000000001</v>
      </c>
      <c r="E122" s="61" t="n">
        <v>22525.1</v>
      </c>
      <c r="F122" s="62" t="n"/>
      <c r="G122" s="62" t="n"/>
      <c r="H122" s="62" t="n"/>
      <c r="I122" s="62" t="n"/>
      <c r="J122" s="62" t="n"/>
    </row>
    <row r="123" customFormat="1" s="6">
      <c r="A123" s="61" t="n"/>
      <c r="B123" s="62" t="n"/>
      <c r="C123" s="61" t="inlineStr">
        <is>
          <t>TALAWAT STATIONARY</t>
        </is>
      </c>
      <c r="D123" s="62" t="n"/>
      <c r="E123" s="61" t="n"/>
      <c r="F123" s="62" t="n"/>
      <c r="G123" s="62" t="n"/>
      <c r="H123" s="62" t="n"/>
      <c r="I123" s="62" t="n"/>
      <c r="J123" s="62" t="n"/>
    </row>
    <row r="124" customFormat="1" s="6">
      <c r="A124" s="63" t="n">
        <v>46087</v>
      </c>
      <c r="B124" s="62" t="inlineStr">
        <is>
          <t>C-SLG/2328/25-26</t>
        </is>
      </c>
      <c r="C124" s="61" t="n"/>
      <c r="D124" s="62" t="n">
        <v>1427</v>
      </c>
      <c r="E124" s="61" t="n">
        <v>1427</v>
      </c>
      <c r="F124" s="64" t="n">
        <v>46112</v>
      </c>
      <c r="G124" s="62">
        <f>$E$2-F124</f>
        <v/>
      </c>
      <c r="H124" s="62" t="n"/>
      <c r="I124" s="62" t="n"/>
      <c r="J124" s="62" t="n"/>
    </row>
    <row r="125" customFormat="1" s="6">
      <c r="A125" s="61" t="n"/>
      <c r="B125" s="62" t="n"/>
      <c r="C125" s="61" t="n"/>
      <c r="D125" s="62" t="n">
        <v>1427</v>
      </c>
      <c r="E125" s="61" t="n">
        <v>1427</v>
      </c>
      <c r="F125" s="62" t="n"/>
      <c r="G125" s="62" t="n"/>
      <c r="H125" s="62" t="n"/>
      <c r="I125" s="62" t="n"/>
      <c r="J125" s="62" t="n"/>
    </row>
    <row r="126" customFormat="1" s="6">
      <c r="A126" s="61" t="n"/>
      <c r="B126" s="62" t="n"/>
      <c r="C126" s="61" t="inlineStr">
        <is>
          <t>Vardhman Computer &amp; Stationery</t>
        </is>
      </c>
      <c r="D126" s="62" t="n"/>
      <c r="E126" s="61" t="n"/>
      <c r="F126" s="62" t="n"/>
      <c r="G126" s="62" t="n"/>
      <c r="H126" s="62" t="n"/>
      <c r="I126" s="62" t="n"/>
      <c r="J126" s="62" t="n"/>
      <c r="K126" s="7" t="inlineStr">
        <is>
          <t>SEND THE PERSON FOR PAYMENT | DSO WILL COLLECT | DSO WILL COLLECT</t>
        </is>
      </c>
    </row>
    <row r="127" customFormat="1" s="6">
      <c r="A127" s="63" t="n">
        <v>46112</v>
      </c>
      <c r="B127" s="62" t="inlineStr">
        <is>
          <t>C-SLG/2493/25-26</t>
        </is>
      </c>
      <c r="C127" s="61" t="n"/>
      <c r="D127" s="62" t="n">
        <v>45625</v>
      </c>
      <c r="E127" s="61" t="n">
        <v>45625</v>
      </c>
      <c r="F127" s="64" t="n">
        <v>46137</v>
      </c>
      <c r="G127" s="62">
        <f>$E$2-F127</f>
        <v/>
      </c>
      <c r="H127" s="62" t="n"/>
      <c r="I127" s="62" t="n"/>
      <c r="J127" s="62" t="n"/>
    </row>
    <row r="128" customFormat="1" s="6">
      <c r="A128" s="63" t="n">
        <v>46137</v>
      </c>
      <c r="B128" s="62" t="inlineStr">
        <is>
          <t>C-SLG/0069/26-27</t>
        </is>
      </c>
      <c r="C128" s="61" t="n"/>
      <c r="D128" s="62" t="n">
        <v>91396</v>
      </c>
      <c r="E128" s="61" t="n">
        <v>91396</v>
      </c>
      <c r="F128" s="64" t="n">
        <v>46162</v>
      </c>
      <c r="G128" s="62">
        <f>$E$2-F128</f>
        <v/>
      </c>
      <c r="H128" s="62" t="n"/>
      <c r="I128" s="62" t="n"/>
      <c r="J128" s="62" t="n"/>
    </row>
    <row r="129" customFormat="1" s="6">
      <c r="A129" s="61" t="n"/>
      <c r="B129" s="62" t="n"/>
      <c r="C129" s="61" t="n"/>
      <c r="D129" s="62" t="n">
        <v>137021</v>
      </c>
      <c r="E129" s="61" t="n">
        <v>137021</v>
      </c>
      <c r="F129" s="62" t="n"/>
      <c r="G129" s="62" t="n"/>
      <c r="H129" s="62" t="n"/>
      <c r="I129" s="62" t="n"/>
      <c r="J129" s="62" t="n"/>
    </row>
    <row r="130" customFormat="1" s="6">
      <c r="A130" s="61" t="n"/>
      <c r="B130" s="62" t="n"/>
      <c r="C130" s="61" t="inlineStr">
        <is>
          <t>V Raja Stationery</t>
        </is>
      </c>
      <c r="D130" s="62" t="n"/>
      <c r="E130" s="61" t="n"/>
      <c r="F130" s="62" t="n"/>
      <c r="G130" s="62" t="n"/>
      <c r="H130" s="62" t="n"/>
      <c r="I130" s="62" t="n"/>
      <c r="J130" s="62" t="n"/>
      <c r="K130" s="7" t="inlineStr">
        <is>
          <t>HE WILLPAY HIS IN OUT SATION | HE HIS IN OUT SATION IN 2 DAYS HE WILL PAY | HE NEED TIME TO PAY HIS IN HOSPITAL | CUSTOMER IN HOSPITAL</t>
        </is>
      </c>
    </row>
    <row r="131" customFormat="1" s="6">
      <c r="A131" s="63" t="n">
        <v>46087</v>
      </c>
      <c r="B131" s="62" t="inlineStr">
        <is>
          <t>C-SLG/2330/25-26</t>
        </is>
      </c>
      <c r="C131" s="61" t="n"/>
      <c r="D131" s="62" t="n">
        <v>52613</v>
      </c>
      <c r="E131" s="61" t="n">
        <v>52613</v>
      </c>
      <c r="F131" s="64" t="n">
        <v>46112</v>
      </c>
      <c r="G131" s="62">
        <f>$E$2-F131</f>
        <v/>
      </c>
      <c r="H131" s="62" t="n"/>
      <c r="I131" s="62" t="n"/>
      <c r="J131" s="62" t="n"/>
    </row>
    <row r="132" customFormat="1" s="6">
      <c r="A132" s="63" t="n">
        <v>46109</v>
      </c>
      <c r="B132" s="62" t="inlineStr">
        <is>
          <t>C-SLG/2466/25-26</t>
        </is>
      </c>
      <c r="C132" s="61" t="n"/>
      <c r="D132" s="62" t="n">
        <v>88584</v>
      </c>
      <c r="E132" s="61" t="n">
        <v>88584</v>
      </c>
      <c r="F132" s="64" t="n">
        <v>46134</v>
      </c>
      <c r="G132" s="62">
        <f>$E$2-F132</f>
        <v/>
      </c>
      <c r="H132" s="62" t="n"/>
      <c r="I132" s="62" t="n"/>
      <c r="J132" s="62" t="n"/>
    </row>
    <row r="133" customFormat="1" s="6">
      <c r="A133" s="61" t="n"/>
      <c r="B133" s="62" t="n"/>
      <c r="C133" s="61" t="n"/>
      <c r="D133" s="62" t="n">
        <v>141197</v>
      </c>
      <c r="E133" s="61" t="n">
        <v>141197</v>
      </c>
      <c r="F133" s="62" t="n"/>
      <c r="G133" s="62" t="n"/>
      <c r="H133" s="62" t="n"/>
      <c r="I133" s="62" t="n"/>
      <c r="J133" s="62" t="n"/>
    </row>
    <row r="134" customFormat="1" s="6">
      <c r="A134" s="61" t="n"/>
      <c r="B134" s="62" t="n"/>
      <c r="C134" s="61" t="inlineStr">
        <is>
          <t>Yash Marketing</t>
        </is>
      </c>
      <c r="D134" s="62" t="n"/>
      <c r="E134" s="61" t="n"/>
      <c r="F134" s="62" t="n"/>
      <c r="G134" s="62" t="n"/>
      <c r="H134" s="62" t="n"/>
      <c r="I134" s="62" t="n"/>
      <c r="J134" s="62" t="n"/>
      <c r="K134" s="7" t="inlineStr">
        <is>
          <t>RINGING NOT RESPONDING | OUT SATION  AFTER COMING  HEWILL PAY | RINGING NOT RESPONDING</t>
        </is>
      </c>
    </row>
    <row r="135" customFormat="1" s="6">
      <c r="A135" s="63" t="n">
        <v>46140</v>
      </c>
      <c r="B135" s="62" t="inlineStr">
        <is>
          <t>Chq Bounce-173</t>
        </is>
      </c>
      <c r="C135" s="61" t="n"/>
      <c r="D135" s="62" t="n">
        <v>46578</v>
      </c>
      <c r="E135" s="61" t="n">
        <v>46578</v>
      </c>
      <c r="F135" s="64" t="n">
        <v>46140</v>
      </c>
      <c r="G135" s="62">
        <f>$E$2-F135</f>
        <v/>
      </c>
      <c r="H135" s="62" t="n"/>
      <c r="I135" s="62" t="n"/>
      <c r="J135" s="62" t="n"/>
    </row>
    <row r="136" customFormat="1" s="6">
      <c r="A136" s="61" t="n"/>
      <c r="B136" s="62" t="n"/>
      <c r="C136" s="61" t="n"/>
      <c r="D136" s="62" t="n">
        <v>46578</v>
      </c>
      <c r="E136" s="61" t="n">
        <v>46578</v>
      </c>
      <c r="F136" s="62" t="n"/>
      <c r="G136" s="62" t="n"/>
      <c r="H136" s="62" t="n"/>
      <c r="I136" s="62" t="n"/>
      <c r="J136" s="62" t="n"/>
    </row>
    <row r="137" customFormat="1" s="6">
      <c r="A137" s="61" t="n"/>
      <c r="B137" s="62" t="n"/>
      <c r="C137" s="60" t="inlineStr">
        <is>
          <t>TOTAL AMOUNT</t>
        </is>
      </c>
      <c r="D137" s="62" t="n">
        <v>5320525.1</v>
      </c>
      <c r="E137" s="61" t="n">
        <v>5127437.98</v>
      </c>
      <c r="F137" s="62" t="n"/>
      <c r="G137" s="62" t="n"/>
      <c r="H137" s="62" t="n"/>
      <c r="I137" s="62" t="n"/>
      <c r="J137" s="62" t="n"/>
    </row>
    <row r="138" customFormat="1" s="6">
      <c r="A138" s="8" t="n"/>
      <c r="B138" s="7" t="n"/>
      <c r="C138" s="8" t="n"/>
      <c r="D138" s="7" t="n"/>
      <c r="E138" s="8" t="n"/>
      <c r="F138" s="7" t="n"/>
    </row>
    <row r="139" customFormat="1" s="6">
      <c r="A139" s="8" t="n"/>
      <c r="B139" s="7" t="n"/>
      <c r="C139" s="8" t="n"/>
      <c r="D139" s="7" t="n"/>
      <c r="E139" s="8" t="n"/>
      <c r="F139" s="7" t="n"/>
    </row>
    <row r="140" customFormat="1" s="6">
      <c r="A140" s="8" t="n"/>
      <c r="B140" s="7" t="n"/>
      <c r="C140" s="8" t="n"/>
      <c r="D140" s="7" t="n"/>
      <c r="E140" s="8" t="n"/>
      <c r="F140" s="7" t="n"/>
    </row>
    <row r="141" customFormat="1" s="6">
      <c r="A141" s="8" t="n"/>
      <c r="B141" s="7" t="n"/>
      <c r="C141" s="8" t="n"/>
      <c r="D141" s="7" t="n"/>
      <c r="E141" s="8" t="n"/>
      <c r="F141" s="7" t="n"/>
    </row>
    <row r="142" customFormat="1" s="6">
      <c r="A142" s="8" t="n"/>
      <c r="B142" s="7" t="n"/>
      <c r="C142" s="8" t="n"/>
      <c r="D142" s="7" t="n"/>
      <c r="E142" s="8" t="n"/>
      <c r="F142" s="7" t="n"/>
    </row>
    <row r="143" customFormat="1" s="6">
      <c r="A143" s="8" t="n"/>
      <c r="B143" s="7" t="n"/>
      <c r="C143" s="8" t="n"/>
      <c r="D143" s="7" t="n"/>
      <c r="E143" s="8" t="n"/>
      <c r="F143" s="7" t="n"/>
    </row>
    <row r="144" customFormat="1" s="6">
      <c r="A144" s="8" t="n"/>
      <c r="B144" s="7" t="n"/>
      <c r="C144" s="8" t="n"/>
      <c r="D144" s="7" t="n"/>
      <c r="E144" s="8" t="n"/>
      <c r="F144" s="7" t="n"/>
    </row>
    <row r="145" customFormat="1" s="6">
      <c r="A145" s="8" t="n"/>
      <c r="B145" s="7" t="n"/>
      <c r="C145" s="8" t="n"/>
      <c r="D145" s="7" t="n"/>
      <c r="E145" s="8" t="n"/>
      <c r="F145" s="7" t="n"/>
    </row>
    <row r="146" customFormat="1" s="6">
      <c r="A146" s="8" t="n"/>
      <c r="B146" s="7" t="n"/>
      <c r="C146" s="8" t="n"/>
      <c r="D146" s="7" t="n"/>
      <c r="E146" s="8" t="n"/>
      <c r="F146" s="7" t="n"/>
    </row>
    <row r="147" customFormat="1" s="6">
      <c r="A147" s="8" t="n"/>
      <c r="B147" s="7" t="n"/>
      <c r="C147" s="8" t="n"/>
      <c r="D147" s="7" t="n"/>
      <c r="E147" s="8" t="n"/>
      <c r="F147" s="7" t="n"/>
      <c r="G147" s="7" t="n"/>
    </row>
    <row r="148" customFormat="1" s="6">
      <c r="A148" s="8" t="n"/>
      <c r="B148" s="7" t="n"/>
      <c r="C148" s="8" t="n"/>
      <c r="D148" s="7" t="n"/>
      <c r="E148" s="8" t="n"/>
      <c r="F148" s="7" t="n"/>
      <c r="G148" s="7" t="n"/>
    </row>
    <row r="149" customFormat="1" s="6">
      <c r="A149" s="8" t="n"/>
      <c r="B149" s="7" t="n"/>
      <c r="C149" s="8" t="n"/>
      <c r="D149" s="7" t="n"/>
      <c r="E149" s="8" t="n"/>
      <c r="F149" s="7" t="n"/>
      <c r="G149" s="7" t="n"/>
    </row>
    <row r="150" customFormat="1" s="6">
      <c r="A150" s="8" t="n"/>
      <c r="B150" s="7" t="n"/>
      <c r="C150" s="8" t="n"/>
      <c r="D150" s="7" t="n"/>
      <c r="E150" s="8" t="n"/>
      <c r="F150" s="7" t="n"/>
      <c r="G150" s="7" t="n"/>
    </row>
    <row r="151" customFormat="1" s="6">
      <c r="A151" s="8" t="n"/>
      <c r="B151" s="7" t="n"/>
      <c r="C151" s="8" t="n"/>
      <c r="D151" s="7" t="n"/>
      <c r="E151" s="8" t="n"/>
      <c r="F151" s="7" t="n"/>
      <c r="G151" s="7" t="n"/>
    </row>
    <row r="152" customFormat="1" s="6">
      <c r="A152" s="8" t="n"/>
      <c r="B152" s="7" t="n"/>
      <c r="C152" s="8" t="n"/>
      <c r="D152" s="7" t="n"/>
      <c r="E152" s="8" t="n"/>
      <c r="F152" s="7" t="n"/>
      <c r="G152" s="7" t="n"/>
    </row>
    <row r="153" customFormat="1" s="6">
      <c r="A153" s="8" t="n"/>
      <c r="B153" s="7" t="n"/>
      <c r="C153" s="8" t="n"/>
      <c r="D153" s="7" t="n"/>
      <c r="E153" s="8" t="n"/>
      <c r="F153" s="7" t="n"/>
      <c r="G153" s="7" t="n"/>
    </row>
    <row r="154" customFormat="1" s="6">
      <c r="A154" s="8" t="n"/>
      <c r="B154" s="7" t="n"/>
      <c r="C154" s="8" t="n"/>
      <c r="D154" s="7" t="n"/>
      <c r="E154" s="8" t="n"/>
      <c r="F154" s="7" t="n"/>
      <c r="G154" s="7" t="n"/>
    </row>
    <row r="155" customFormat="1" s="6">
      <c r="A155" s="8" t="n"/>
      <c r="B155" s="7" t="n"/>
      <c r="C155" s="8" t="n"/>
      <c r="D155" s="7" t="n"/>
      <c r="E155" s="8" t="n"/>
      <c r="F155" s="7" t="n"/>
      <c r="G155" s="7" t="n"/>
    </row>
    <row r="156" customFormat="1" s="6">
      <c r="A156" s="8" t="n"/>
      <c r="B156" s="7" t="n"/>
      <c r="C156" s="8" t="n"/>
      <c r="D156" s="7" t="n"/>
      <c r="E156" s="8" t="n"/>
      <c r="F156" s="7" t="n"/>
      <c r="G156" s="7" t="n"/>
    </row>
    <row r="157" customFormat="1" s="6">
      <c r="A157" s="8" t="n"/>
      <c r="B157" s="7" t="n"/>
      <c r="C157" s="8" t="n"/>
      <c r="D157" s="7" t="n"/>
      <c r="E157" s="8" t="n"/>
      <c r="F157" s="7" t="n"/>
      <c r="G157" s="7" t="n"/>
    </row>
    <row r="158" customFormat="1" s="6">
      <c r="A158" s="8" t="n"/>
      <c r="B158" s="7" t="n"/>
      <c r="C158" s="8" t="n"/>
      <c r="D158" s="7" t="n"/>
      <c r="E158" s="8" t="n"/>
      <c r="F158" s="7" t="n"/>
      <c r="G158" s="7" t="n"/>
    </row>
    <row r="159" customFormat="1" s="6">
      <c r="A159" s="8" t="n"/>
      <c r="B159" s="7" t="n"/>
      <c r="C159" s="8" t="n"/>
      <c r="D159" s="7" t="n"/>
      <c r="E159" s="8" t="n"/>
      <c r="F159" s="7" t="n"/>
      <c r="G159" s="7" t="n"/>
    </row>
    <row r="160" customFormat="1" s="6">
      <c r="A160" s="8" t="n"/>
      <c r="B160" s="7" t="n"/>
      <c r="C160" s="8" t="n"/>
      <c r="D160" s="7" t="n"/>
      <c r="E160" s="8" t="n"/>
      <c r="F160" s="7" t="n"/>
      <c r="G160" s="7" t="n"/>
    </row>
    <row r="161" customFormat="1" s="6">
      <c r="A161" s="8" t="n"/>
      <c r="B161" s="7" t="n"/>
      <c r="C161" s="8" t="n"/>
      <c r="D161" s="7" t="n"/>
      <c r="E161" s="8" t="n"/>
      <c r="F161" s="7" t="n"/>
      <c r="G161" s="7" t="n"/>
    </row>
    <row r="162" customFormat="1" s="6">
      <c r="A162" s="8" t="n"/>
      <c r="B162" s="7" t="n"/>
      <c r="C162" s="8" t="n"/>
      <c r="D162" s="7" t="n"/>
      <c r="E162" s="8" t="n"/>
      <c r="F162" s="7" t="n"/>
      <c r="G162" s="7" t="n"/>
    </row>
    <row r="163" customFormat="1" s="6">
      <c r="A163" s="8" t="n"/>
      <c r="B163" s="7" t="n"/>
      <c r="C163" s="8" t="n"/>
      <c r="D163" s="7" t="n"/>
      <c r="E163" s="8" t="n"/>
      <c r="F163" s="7" t="n"/>
      <c r="G163" s="7" t="n"/>
    </row>
    <row r="164" customFormat="1" s="6">
      <c r="A164" s="8" t="n"/>
      <c r="B164" s="7" t="n"/>
      <c r="C164" s="8" t="n"/>
      <c r="D164" s="7" t="n"/>
      <c r="E164" s="8" t="n"/>
      <c r="F164" s="7" t="n"/>
      <c r="G164" s="7" t="n"/>
    </row>
    <row r="165" customFormat="1" s="6">
      <c r="A165" s="8" t="n"/>
      <c r="B165" s="7" t="n"/>
      <c r="C165" s="8" t="n"/>
      <c r="D165" s="7" t="n"/>
      <c r="E165" s="8" t="n"/>
      <c r="F165" s="7" t="n"/>
      <c r="G165" s="7" t="n"/>
    </row>
    <row r="166" customFormat="1" s="6">
      <c r="A166" s="8" t="n"/>
      <c r="B166" s="7" t="n"/>
      <c r="C166" s="8" t="n"/>
      <c r="D166" s="7" t="n"/>
      <c r="E166" s="8" t="n"/>
      <c r="F166" s="7" t="n"/>
      <c r="G166" s="7" t="n"/>
    </row>
    <row r="167" customFormat="1" s="6">
      <c r="A167" s="8" t="n"/>
      <c r="B167" s="7" t="n"/>
      <c r="C167" s="8" t="n"/>
      <c r="D167" s="7" t="n"/>
      <c r="E167" s="8" t="n"/>
      <c r="F167" s="7" t="n"/>
      <c r="G167" s="7" t="n"/>
    </row>
  </sheetData>
  <mergeCells count="2">
    <mergeCell ref="B1:C1"/>
    <mergeCell ref="B2:C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showGridLines="0" zoomScale="142" zoomScaleNormal="142" workbookViewId="0">
      <pane ySplit="4" topLeftCell="A5" activePane="bottomLeft" state="frozen"/>
      <selection pane="bottomLeft" activeCell="J1" sqref="J1"/>
    </sheetView>
  </sheetViews>
  <sheetFormatPr baseColWidth="8" defaultRowHeight="12.75"/>
  <cols>
    <col width="10.1640625" bestFit="1" customWidth="1" style="8" min="1" max="1"/>
    <col width="22" bestFit="1" customWidth="1" style="5" min="2" max="2"/>
    <col width="43.6640625" bestFit="1" customWidth="1" style="5" min="3" max="3"/>
    <col width="13.5" bestFit="1" customWidth="1" style="5" min="4" max="4"/>
    <col width="11" bestFit="1" customWidth="1" style="5" min="5" max="5"/>
    <col width="8.5" bestFit="1" customWidth="1" style="5" min="6" max="6"/>
    <col width="16.1640625" bestFit="1" customWidth="1" style="5" min="7" max="7"/>
    <col width="9.33203125" customWidth="1" style="38" min="8" max="8"/>
    <col width="15" bestFit="1" customWidth="1" style="38" min="9" max="9"/>
    <col width="21.1640625" bestFit="1" customWidth="1" style="5" min="10" max="10"/>
  </cols>
  <sheetData>
    <row r="1">
      <c r="A1" s="32" t="inlineStr">
        <is>
          <t>Group:</t>
        </is>
      </c>
      <c r="B1" s="102" t="inlineStr">
        <is>
          <t>Vinod</t>
        </is>
      </c>
      <c r="C1" s="110" t="n"/>
    </row>
    <row r="2" customFormat="1" s="7">
      <c r="A2" s="35" t="inlineStr">
        <is>
          <t>Details of:</t>
        </is>
      </c>
      <c r="B2" s="106" t="inlineStr">
        <is>
          <t>Pending Bills</t>
        </is>
      </c>
      <c r="C2" s="110" t="n"/>
      <c r="D2" s="34" t="inlineStr">
        <is>
          <t>Today Date:</t>
        </is>
      </c>
      <c r="E2" s="37">
        <f>TODAY()</f>
        <v/>
      </c>
      <c r="H2" s="38" t="n"/>
      <c r="I2" s="38" t="n"/>
    </row>
    <row r="3" ht="5.25" customHeight="1" s="5"/>
    <row r="4">
      <c r="A4" s="10" t="inlineStr">
        <is>
          <t>Date</t>
        </is>
      </c>
      <c r="B4" s="10" t="inlineStr">
        <is>
          <t>Ref. No.</t>
        </is>
      </c>
      <c r="C4" s="10" t="inlineStr">
        <is>
          <t>Party's Name</t>
        </is>
      </c>
      <c r="D4" s="10" t="inlineStr">
        <is>
          <t>Opening Amt</t>
        </is>
      </c>
      <c r="E4" s="10" t="inlineStr">
        <is>
          <t>Total Amt</t>
        </is>
      </c>
      <c r="F4" s="10" t="inlineStr">
        <is>
          <t>Due on</t>
        </is>
      </c>
      <c r="G4" s="13" t="inlineStr">
        <is>
          <t>Days Overdue</t>
        </is>
      </c>
      <c r="H4" s="40" t="inlineStr">
        <is>
          <t>Paid Amt</t>
        </is>
      </c>
      <c r="I4" s="40" t="inlineStr">
        <is>
          <t>Pending Amt</t>
        </is>
      </c>
      <c r="J4" s="40" t="inlineStr">
        <is>
          <t>Remark (5/22)</t>
        </is>
      </c>
      <c r="K4" s="112" t="inlineStr">
        <is>
          <t>Last Follow-up Notes</t>
        </is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s="5">
      <c r="A5" s="33" t="n"/>
      <c r="B5" s="16" t="n"/>
      <c r="C5" s="16" t="n"/>
      <c r="D5" s="16" t="n"/>
      <c r="E5" s="16" t="n"/>
      <c r="F5" s="16" t="n"/>
      <c r="G5" s="16" t="n"/>
      <c r="H5" s="41" t="n"/>
      <c r="I5" s="41" t="n"/>
      <c r="J5" s="21" t="n"/>
      <c r="K5" s="18" t="n"/>
      <c r="L5" s="18" t="n"/>
      <c r="M5" s="18" t="n"/>
      <c r="N5" s="18" t="n"/>
      <c r="O5" s="17" t="n"/>
      <c r="P5" s="17" t="n"/>
      <c r="Q5" s="17" t="n"/>
      <c r="R5" s="17" t="n"/>
      <c r="S5" s="17" t="n"/>
      <c r="T5" s="17" t="n"/>
    </row>
    <row r="6">
      <c r="A6" s="48" t="n"/>
      <c r="B6" s="49" t="n"/>
      <c r="C6" s="50" t="inlineStr">
        <is>
          <t>Apple Gift Gallery</t>
        </is>
      </c>
      <c r="D6" s="49" t="n"/>
      <c r="E6" s="49" t="n"/>
      <c r="F6" s="49" t="n"/>
      <c r="G6" s="49" t="n"/>
      <c r="H6" s="51" t="n"/>
      <c r="I6" s="51" t="n"/>
      <c r="J6" s="52" t="n"/>
      <c r="K6" s="19" t="n"/>
      <c r="L6" s="19" t="n"/>
      <c r="M6" s="19" t="n"/>
      <c r="N6" s="19" t="n"/>
      <c r="O6" s="6" t="n"/>
      <c r="P6" s="6" t="n"/>
      <c r="Q6" s="6" t="n"/>
      <c r="R6" s="6" t="n"/>
      <c r="S6" s="6" t="n"/>
      <c r="T6" s="6" t="n"/>
    </row>
    <row r="7">
      <c r="A7" s="53" t="n">
        <v>46125</v>
      </c>
      <c r="B7" s="54" t="inlineStr">
        <is>
          <t>C-SLG/0033/26-27</t>
        </is>
      </c>
      <c r="C7" s="49" t="n"/>
      <c r="D7" s="55" t="n">
        <v>5452</v>
      </c>
      <c r="E7" s="56" t="n">
        <v>5452</v>
      </c>
      <c r="F7" s="57" t="n">
        <v>46150</v>
      </c>
      <c r="G7" s="58">
        <f>$E$2-F7</f>
        <v/>
      </c>
      <c r="H7" s="51" t="n"/>
      <c r="I7" s="51" t="n"/>
      <c r="J7" s="52" t="n"/>
      <c r="K7" s="19" t="n"/>
      <c r="L7" s="19" t="n"/>
      <c r="M7" s="19" t="n"/>
      <c r="N7" s="19" t="n"/>
      <c r="O7" s="6" t="n"/>
      <c r="P7" s="6" t="n"/>
      <c r="Q7" s="6" t="n"/>
      <c r="R7" s="6" t="n"/>
      <c r="S7" s="6" t="n"/>
      <c r="T7" s="6" t="n"/>
    </row>
    <row r="8">
      <c r="A8" s="48" t="n"/>
      <c r="B8" s="49" t="n"/>
      <c r="C8" s="49" t="n"/>
      <c r="D8" s="55" t="n">
        <v>5452</v>
      </c>
      <c r="E8" s="56" t="n">
        <v>5452</v>
      </c>
      <c r="F8" s="49" t="n"/>
      <c r="G8" s="49" t="n"/>
      <c r="H8" s="51" t="n">
        <v>0</v>
      </c>
      <c r="I8" s="51">
        <f>E8-H8</f>
        <v/>
      </c>
      <c r="J8" s="52" t="n"/>
      <c r="K8" s="19" t="n"/>
      <c r="L8" s="19" t="n"/>
      <c r="M8" s="19" t="n"/>
      <c r="N8" s="19" t="n"/>
      <c r="O8" s="6" t="n"/>
      <c r="P8" s="6" t="n"/>
      <c r="Q8" s="6" t="n"/>
      <c r="R8" s="6" t="n"/>
      <c r="S8" s="6" t="n"/>
      <c r="T8" s="6" t="n"/>
    </row>
    <row r="9">
      <c r="A9" s="48" t="n"/>
      <c r="B9" s="49" t="n"/>
      <c r="C9" s="50" t="inlineStr">
        <is>
          <t>Ashtar Enteprises</t>
        </is>
      </c>
      <c r="D9" s="49" t="n"/>
      <c r="E9" s="49" t="n"/>
      <c r="F9" s="49" t="n"/>
      <c r="G9" s="49" t="n"/>
      <c r="H9" s="51" t="n"/>
      <c r="I9" s="51" t="n"/>
      <c r="J9" s="52" t="n"/>
      <c r="K9" s="19" t="n"/>
      <c r="L9" s="19" t="n"/>
      <c r="M9" s="19" t="n"/>
      <c r="N9" s="19" t="n"/>
      <c r="O9" s="6" t="n"/>
      <c r="P9" s="6" t="n"/>
      <c r="Q9" s="6" t="n"/>
      <c r="R9" s="6" t="n"/>
      <c r="S9" s="6" t="n"/>
      <c r="T9" s="6" t="n"/>
    </row>
    <row r="10">
      <c r="A10" s="53" t="n">
        <v>46133</v>
      </c>
      <c r="B10" s="54" t="inlineStr">
        <is>
          <t>C-SLG/0059/26-27</t>
        </is>
      </c>
      <c r="C10" s="49" t="n"/>
      <c r="D10" s="55" t="n">
        <v>13436</v>
      </c>
      <c r="E10" s="56" t="n">
        <v>13436</v>
      </c>
      <c r="F10" s="57" t="n">
        <v>46158</v>
      </c>
      <c r="G10" s="58">
        <f>$E$2-F10</f>
        <v/>
      </c>
      <c r="H10" s="51" t="n"/>
      <c r="I10" s="51" t="n"/>
      <c r="J10" s="52" t="n"/>
      <c r="K10" s="19" t="n"/>
      <c r="L10" s="19" t="n"/>
      <c r="M10" s="19" t="n"/>
      <c r="N10" s="19" t="n"/>
      <c r="O10" s="6" t="n"/>
      <c r="P10" s="6" t="n"/>
      <c r="Q10" s="6" t="n"/>
      <c r="R10" s="6" t="n"/>
      <c r="S10" s="6" t="n"/>
      <c r="T10" s="6" t="n"/>
    </row>
    <row r="11">
      <c r="A11" s="48" t="n"/>
      <c r="B11" s="49" t="n"/>
      <c r="C11" s="49" t="n"/>
      <c r="D11" s="55" t="n">
        <v>13436</v>
      </c>
      <c r="E11" s="56" t="n">
        <v>13436</v>
      </c>
      <c r="F11" s="49" t="n"/>
      <c r="G11" s="49" t="n"/>
      <c r="H11" s="51" t="n">
        <v>0</v>
      </c>
      <c r="I11" s="51">
        <f>E11-H11</f>
        <v/>
      </c>
      <c r="J11" s="52" t="n"/>
      <c r="K11" s="19" t="n"/>
      <c r="L11" s="19" t="n"/>
      <c r="M11" s="19" t="n"/>
      <c r="N11" s="19" t="n"/>
      <c r="O11" s="6" t="n"/>
      <c r="P11" s="6" t="n"/>
      <c r="Q11" s="6" t="n"/>
      <c r="R11" s="6" t="n"/>
      <c r="S11" s="6" t="n"/>
      <c r="T11" s="6" t="n"/>
    </row>
    <row r="12">
      <c r="A12" s="48" t="n"/>
      <c r="B12" s="49" t="n"/>
      <c r="C12" s="50" t="inlineStr">
        <is>
          <t>BSR EXIM</t>
        </is>
      </c>
      <c r="D12" s="49" t="n"/>
      <c r="E12" s="49" t="n"/>
      <c r="F12" s="49" t="n"/>
      <c r="G12" s="49" t="n"/>
      <c r="H12" s="51" t="n"/>
      <c r="I12" s="51" t="n"/>
      <c r="J12" s="52" t="n"/>
      <c r="K12" s="19" t="inlineStr">
        <is>
          <t>HE HIS IN OUT SATION HE WILL PAY | HE HIS OUT SATION HE WILL COME AFTER 22 | AFTER 10 DAYS HE WILL PAY</t>
        </is>
      </c>
      <c r="L12" s="19" t="n"/>
      <c r="M12" s="19" t="n"/>
      <c r="N12" s="19" t="n"/>
      <c r="O12" s="6" t="n"/>
      <c r="P12" s="6" t="n"/>
      <c r="Q12" s="6" t="n"/>
      <c r="R12" s="6" t="n"/>
      <c r="S12" s="6" t="n"/>
      <c r="T12" s="6" t="n"/>
    </row>
    <row r="13">
      <c r="A13" s="53" t="n">
        <v>46105</v>
      </c>
      <c r="B13" s="54" t="inlineStr">
        <is>
          <t>C-SLG/2435/25-26</t>
        </is>
      </c>
      <c r="C13" s="49" t="n"/>
      <c r="D13" s="55" t="n">
        <v>8720</v>
      </c>
      <c r="E13" s="56" t="n">
        <v>8720</v>
      </c>
      <c r="F13" s="57" t="n">
        <v>46130</v>
      </c>
      <c r="G13" s="58">
        <f>$E$2-F13</f>
        <v/>
      </c>
      <c r="H13" s="51" t="n"/>
      <c r="I13" s="51" t="n"/>
      <c r="J13" s="52" t="n"/>
      <c r="K13" s="19" t="n"/>
      <c r="L13" s="19" t="n"/>
      <c r="M13" s="19" t="n"/>
      <c r="N13" s="19" t="n"/>
      <c r="O13" s="6" t="n"/>
      <c r="P13" s="6" t="n"/>
      <c r="Q13" s="6" t="n"/>
      <c r="R13" s="6" t="n"/>
      <c r="S13" s="6" t="n"/>
      <c r="T13" s="6" t="n"/>
    </row>
    <row r="14">
      <c r="A14" s="48" t="n"/>
      <c r="B14" s="49" t="n"/>
      <c r="C14" s="49" t="n"/>
      <c r="D14" s="55" t="n">
        <v>8720</v>
      </c>
      <c r="E14" s="56" t="n">
        <v>8720</v>
      </c>
      <c r="F14" s="49" t="n"/>
      <c r="G14" s="49" t="n"/>
      <c r="H14" s="51" t="n">
        <v>8720</v>
      </c>
      <c r="I14" s="51">
        <f>E14-H14</f>
        <v/>
      </c>
      <c r="J14" s="52" t="inlineStr">
        <is>
          <t>Paid Online - Full Amount</t>
        </is>
      </c>
      <c r="K14" s="19" t="n"/>
      <c r="L14" s="19" t="n"/>
      <c r="M14" s="19" t="n"/>
      <c r="N14" s="19" t="n"/>
      <c r="O14" s="6" t="n"/>
      <c r="P14" s="6" t="n"/>
      <c r="Q14" s="6" t="n"/>
      <c r="R14" s="6" t="n"/>
      <c r="S14" s="6" t="n"/>
      <c r="T14" s="6" t="n"/>
    </row>
    <row r="15">
      <c r="A15" s="48" t="n"/>
      <c r="B15" s="49" t="n"/>
      <c r="C15" s="50" t="inlineStr">
        <is>
          <t>Gayathri Book Centre</t>
        </is>
      </c>
      <c r="D15" s="49" t="n"/>
      <c r="E15" s="49" t="n"/>
      <c r="F15" s="49" t="n"/>
      <c r="G15" s="49" t="n"/>
      <c r="H15" s="51" t="n"/>
      <c r="I15" s="51" t="n"/>
      <c r="J15" s="52" t="n"/>
      <c r="K15" s="19" t="inlineStr">
        <is>
          <t>paid online</t>
        </is>
      </c>
      <c r="L15" s="19" t="n"/>
      <c r="M15" s="19" t="n"/>
      <c r="N15" s="19" t="n"/>
      <c r="O15" s="6" t="n"/>
      <c r="P15" s="6" t="n"/>
      <c r="Q15" s="6" t="n"/>
      <c r="R15" s="6" t="n"/>
      <c r="S15" s="6" t="n"/>
      <c r="T15" s="6" t="n"/>
    </row>
    <row r="16">
      <c r="A16" s="53" t="n">
        <v>46135</v>
      </c>
      <c r="B16" s="54" t="inlineStr">
        <is>
          <t>C-SLG/0064/26-27</t>
        </is>
      </c>
      <c r="C16" s="49" t="n"/>
      <c r="D16" s="55" t="n">
        <v>2156</v>
      </c>
      <c r="E16" s="55" t="n">
        <v>2156</v>
      </c>
      <c r="F16" s="57" t="n">
        <v>46160</v>
      </c>
      <c r="G16" s="58">
        <f>$E$2-F16</f>
        <v/>
      </c>
      <c r="H16" s="51">
        <f>H18</f>
        <v/>
      </c>
      <c r="I16" s="51">
        <f>E16-H16</f>
        <v/>
      </c>
      <c r="J16" s="52" t="inlineStr">
        <is>
          <t>Paid Online - Full Amount</t>
        </is>
      </c>
      <c r="K16" s="19" t="n"/>
      <c r="L16" s="19" t="n"/>
      <c r="M16" s="19" t="n"/>
      <c r="N16" s="19" t="n"/>
      <c r="O16" s="6" t="n"/>
      <c r="P16" s="6" t="n"/>
      <c r="Q16" s="6" t="n"/>
      <c r="R16" s="6" t="n"/>
      <c r="S16" s="6" t="n"/>
      <c r="T16" s="6" t="n"/>
    </row>
    <row r="17">
      <c r="A17" s="53" t="n">
        <v>46151</v>
      </c>
      <c r="B17" s="54" t="inlineStr">
        <is>
          <t>C-SLG/0109/26-27</t>
        </is>
      </c>
      <c r="C17" s="49" t="n"/>
      <c r="D17" s="55" t="n">
        <v>3708</v>
      </c>
      <c r="E17" s="55" t="n">
        <v>3708</v>
      </c>
      <c r="F17" s="57" t="n">
        <v>46176</v>
      </c>
      <c r="G17" s="49" t="n"/>
      <c r="H17" s="51" t="n"/>
      <c r="I17" s="51" t="n"/>
      <c r="J17" s="52" t="n"/>
      <c r="K17" s="19" t="n"/>
      <c r="L17" s="19" t="n"/>
      <c r="M17" s="19" t="n"/>
      <c r="N17" s="19" t="n"/>
      <c r="O17" s="6" t="n"/>
      <c r="P17" s="6" t="n"/>
      <c r="Q17" s="6" t="n"/>
      <c r="R17" s="6" t="n"/>
      <c r="S17" s="6" t="n"/>
      <c r="T17" s="6" t="n"/>
    </row>
    <row r="18">
      <c r="A18" s="48" t="n"/>
      <c r="B18" s="49" t="n"/>
      <c r="C18" s="49" t="n"/>
      <c r="D18" s="55" t="n">
        <v>5864</v>
      </c>
      <c r="E18" s="56" t="n">
        <v>5864</v>
      </c>
      <c r="F18" s="49" t="n"/>
      <c r="G18" s="49" t="n"/>
      <c r="H18" s="51">
        <f>2156</f>
        <v/>
      </c>
      <c r="I18" s="51">
        <f>E18-H18</f>
        <v/>
      </c>
      <c r="J18" s="52" t="n"/>
      <c r="K18" s="19" t="n"/>
      <c r="L18" s="19" t="n"/>
      <c r="M18" s="19" t="n"/>
      <c r="N18" s="19" t="n"/>
      <c r="O18" s="6" t="n"/>
      <c r="P18" s="6" t="n"/>
      <c r="Q18" s="6" t="n"/>
      <c r="R18" s="6" t="n"/>
      <c r="S18" s="6" t="n"/>
      <c r="T18" s="6" t="n"/>
    </row>
    <row r="19">
      <c r="A19" s="48" t="n"/>
      <c r="B19" s="49" t="n"/>
      <c r="C19" s="50" t="inlineStr">
        <is>
          <t>Himalaya Book Binding Works &amp; Stationery</t>
        </is>
      </c>
      <c r="D19" s="49" t="n"/>
      <c r="E19" s="49" t="n"/>
      <c r="F19" s="49" t="n"/>
      <c r="G19" s="49" t="n"/>
      <c r="H19" s="51" t="n"/>
      <c r="I19" s="51" t="n"/>
      <c r="J19" s="52" t="n"/>
      <c r="K19" s="19" t="inlineStr">
        <is>
          <t>RINGING NOT RESPONDING | RINGING NOT RESPONDING | RINGING NOT RESPONDING | RINGING NOT RESPONDING</t>
        </is>
      </c>
      <c r="L19" s="19" t="n"/>
      <c r="M19" s="19" t="n"/>
      <c r="N19" s="19" t="n"/>
      <c r="O19" s="6" t="n"/>
      <c r="P19" s="6" t="n"/>
      <c r="Q19" s="6" t="n"/>
      <c r="R19" s="6" t="n"/>
      <c r="S19" s="6" t="n"/>
      <c r="T19" s="6" t="n"/>
    </row>
    <row r="20">
      <c r="A20" s="53" t="n">
        <v>46109</v>
      </c>
      <c r="B20" s="54" t="inlineStr">
        <is>
          <t>C-SLG/2471/25-26</t>
        </is>
      </c>
      <c r="C20" s="49" t="n"/>
      <c r="D20" s="55" t="n">
        <v>10164</v>
      </c>
      <c r="E20" s="56" t="n">
        <v>10164</v>
      </c>
      <c r="F20" s="57" t="n">
        <v>46134</v>
      </c>
      <c r="G20" s="58">
        <f>$E$2-F20</f>
        <v/>
      </c>
      <c r="H20" s="51" t="n"/>
      <c r="I20" s="51" t="n"/>
      <c r="J20" s="52" t="inlineStr">
        <is>
          <t>Ringing Not Responding</t>
        </is>
      </c>
      <c r="K20" s="19" t="n"/>
      <c r="L20" s="19" t="n"/>
      <c r="M20" s="19" t="n"/>
      <c r="N20" s="19" t="n"/>
      <c r="O20" s="6" t="n"/>
      <c r="P20" s="6" t="n"/>
      <c r="Q20" s="6" t="n"/>
      <c r="R20" s="6" t="n"/>
      <c r="S20" s="6" t="n"/>
      <c r="T20" s="6" t="n"/>
    </row>
    <row r="21">
      <c r="A21" s="48" t="n"/>
      <c r="B21" s="49" t="n"/>
      <c r="C21" s="49" t="n"/>
      <c r="D21" s="55" t="n">
        <v>10164</v>
      </c>
      <c r="E21" s="56" t="n">
        <v>10164</v>
      </c>
      <c r="F21" s="49" t="n"/>
      <c r="G21" s="49" t="n"/>
      <c r="H21" s="51" t="n"/>
      <c r="I21" s="51" t="n"/>
      <c r="J21" s="52" t="n"/>
      <c r="K21" s="19" t="n"/>
      <c r="L21" s="19" t="n"/>
      <c r="M21" s="19" t="n"/>
      <c r="N21" s="19" t="n"/>
      <c r="O21" s="6" t="n"/>
      <c r="P21" s="6" t="n"/>
      <c r="Q21" s="6" t="n"/>
      <c r="R21" s="6" t="n"/>
      <c r="S21" s="6" t="n"/>
      <c r="T21" s="6" t="n"/>
    </row>
    <row r="22">
      <c r="A22" s="48" t="n"/>
      <c r="B22" s="49" t="n"/>
      <c r="C22" s="50" t="inlineStr">
        <is>
          <t>ISLAMIA BOOK DEPOT</t>
        </is>
      </c>
      <c r="D22" s="49" t="n"/>
      <c r="E22" s="49" t="n"/>
      <c r="F22" s="49" t="n"/>
      <c r="G22" s="49" t="n"/>
      <c r="H22" s="51" t="n"/>
      <c r="I22" s="51" t="n"/>
      <c r="J22" s="52" t="n"/>
      <c r="K22" s="19" t="inlineStr">
        <is>
          <t>ringing not responding | HE SAID THAT AFTER  SCHOOLS OPEN HE WILL PAY</t>
        </is>
      </c>
      <c r="L22" s="19" t="n"/>
      <c r="M22" s="19" t="n"/>
      <c r="N22" s="19" t="n"/>
      <c r="O22" s="6" t="n"/>
      <c r="P22" s="6" t="n"/>
      <c r="Q22" s="6" t="n"/>
      <c r="R22" s="6" t="n"/>
      <c r="S22" s="6" t="n"/>
      <c r="T22" s="6" t="n"/>
    </row>
    <row r="23">
      <c r="A23" s="53" t="n">
        <v>46051</v>
      </c>
      <c r="B23" s="54" t="inlineStr">
        <is>
          <t>C-SLG/2141/25-26</t>
        </is>
      </c>
      <c r="C23" s="49" t="n"/>
      <c r="D23" s="55" t="n">
        <v>8136</v>
      </c>
      <c r="E23" s="56" t="n">
        <v>8136</v>
      </c>
      <c r="F23" s="57" t="n">
        <v>46076</v>
      </c>
      <c r="G23" s="58">
        <f>$E$2-F23</f>
        <v/>
      </c>
      <c r="H23" s="51" t="n"/>
      <c r="I23" s="51" t="n"/>
      <c r="J23" s="52" t="inlineStr">
        <is>
          <t>Pay Late (Market Down)</t>
        </is>
      </c>
      <c r="K23" s="19" t="n"/>
      <c r="L23" s="19" t="n"/>
      <c r="M23" s="19" t="n"/>
      <c r="N23" s="19" t="n"/>
      <c r="O23" s="6" t="n"/>
      <c r="P23" s="6" t="n"/>
      <c r="Q23" s="6" t="n"/>
      <c r="R23" s="6" t="n"/>
      <c r="S23" s="6" t="n"/>
      <c r="T23" s="6" t="n"/>
    </row>
    <row r="24">
      <c r="A24" s="48" t="n"/>
      <c r="B24" s="49" t="n"/>
      <c r="C24" s="49" t="n"/>
      <c r="D24" s="55" t="n">
        <v>8136</v>
      </c>
      <c r="E24" s="56" t="n">
        <v>8136</v>
      </c>
      <c r="F24" s="49" t="n"/>
      <c r="G24" s="49" t="n"/>
      <c r="H24" s="51" t="n"/>
      <c r="I24" s="51" t="n"/>
      <c r="J24" s="52" t="n"/>
      <c r="K24" s="19" t="n"/>
      <c r="L24" s="19" t="n"/>
      <c r="M24" s="19" t="n"/>
      <c r="N24" s="19" t="n"/>
      <c r="O24" s="6" t="n"/>
      <c r="P24" s="6" t="n"/>
      <c r="Q24" s="6" t="n"/>
      <c r="R24" s="6" t="n"/>
      <c r="S24" s="6" t="n"/>
      <c r="T24" s="6" t="n"/>
    </row>
    <row r="25">
      <c r="A25" s="48" t="n"/>
      <c r="B25" s="49" t="n"/>
      <c r="C25" s="50" t="inlineStr">
        <is>
          <t>Jyothi Book Center</t>
        </is>
      </c>
      <c r="D25" s="49" t="n"/>
      <c r="E25" s="49" t="n"/>
      <c r="F25" s="49" t="n"/>
      <c r="G25" s="49" t="n"/>
      <c r="H25" s="51" t="n"/>
      <c r="I25" s="51" t="n"/>
      <c r="J25" s="52" t="n"/>
      <c r="K25" s="19" t="inlineStr">
        <is>
          <t>ringing not responding | ringing not responding | ringing not responding | ringing not responding | paid online 2600 / RINGING NOT RESPONDING</t>
        </is>
      </c>
      <c r="L25" s="19" t="n"/>
      <c r="M25" s="19" t="n"/>
      <c r="N25" s="19" t="n"/>
      <c r="O25" s="6" t="n"/>
      <c r="P25" s="6" t="n"/>
      <c r="Q25" s="6" t="n"/>
      <c r="R25" s="6" t="n"/>
      <c r="S25" s="6" t="n"/>
      <c r="T25" s="6" t="n"/>
    </row>
    <row r="26">
      <c r="A26" s="53" t="n">
        <v>46050</v>
      </c>
      <c r="B26" s="54" t="inlineStr">
        <is>
          <t>C-SLG/2123/25-26</t>
        </is>
      </c>
      <c r="C26" s="49" t="n"/>
      <c r="D26" s="55" t="n">
        <v>12200</v>
      </c>
      <c r="E26" s="56" t="n">
        <v>3000</v>
      </c>
      <c r="F26" s="57" t="n">
        <v>46075</v>
      </c>
      <c r="G26" s="58">
        <f>$E$2-F26</f>
        <v/>
      </c>
      <c r="H26" s="51" t="n">
        <v>2600</v>
      </c>
      <c r="I26" s="51">
        <f>E26-H26</f>
        <v/>
      </c>
      <c r="J26" s="52" t="inlineStr">
        <is>
          <t xml:space="preserve">Paid Online 2,600 </t>
        </is>
      </c>
      <c r="K26" s="19" t="n"/>
      <c r="L26" s="19" t="n"/>
      <c r="M26" s="19" t="n"/>
      <c r="N26" s="19" t="n"/>
      <c r="O26" s="6" t="n"/>
      <c r="P26" s="6" t="n"/>
      <c r="Q26" s="6" t="n"/>
      <c r="R26" s="6" t="n"/>
      <c r="S26" s="6" t="n"/>
      <c r="T26" s="6" t="n"/>
    </row>
    <row r="27">
      <c r="A27" s="48" t="n"/>
      <c r="B27" s="49" t="n"/>
      <c r="C27" s="49" t="n"/>
      <c r="D27" s="55" t="n">
        <v>12200</v>
      </c>
      <c r="E27" s="56" t="n">
        <v>3000</v>
      </c>
      <c r="F27" s="49" t="n"/>
      <c r="G27" s="49" t="n"/>
      <c r="H27" s="51" t="n"/>
      <c r="I27" s="51" t="n"/>
      <c r="J27" s="52" t="n"/>
      <c r="K27" s="19" t="n"/>
      <c r="L27" s="19" t="n"/>
      <c r="M27" s="19" t="n"/>
      <c r="N27" s="19" t="n"/>
      <c r="O27" s="6" t="n"/>
      <c r="P27" s="6" t="n"/>
      <c r="Q27" s="6" t="n"/>
      <c r="R27" s="6" t="n"/>
      <c r="S27" s="6" t="n"/>
      <c r="T27" s="6" t="n"/>
    </row>
    <row r="28">
      <c r="A28" s="48" t="n"/>
      <c r="B28" s="49" t="n"/>
      <c r="C28" s="50" t="inlineStr">
        <is>
          <t>KAMAL WATCH COMPANY PRIVATE LIMITED</t>
        </is>
      </c>
      <c r="D28" s="49" t="n"/>
      <c r="E28" s="49" t="n"/>
      <c r="F28" s="49" t="n"/>
      <c r="G28" s="49" t="n"/>
      <c r="H28" s="51" t="n"/>
      <c r="I28" s="51" t="n"/>
      <c r="J28" s="52" t="n"/>
      <c r="K28" s="19" t="n"/>
      <c r="L28" s="19" t="n"/>
      <c r="M28" s="19" t="n"/>
      <c r="N28" s="19" t="n"/>
      <c r="O28" s="6" t="n"/>
      <c r="P28" s="6" t="n"/>
      <c r="Q28" s="6" t="n"/>
      <c r="R28" s="6" t="n"/>
      <c r="S28" s="6" t="n"/>
      <c r="T28" s="6" t="n"/>
    </row>
    <row r="29">
      <c r="A29" s="53" t="n">
        <v>46027</v>
      </c>
      <c r="B29" s="54" t="inlineStr">
        <is>
          <t>C-SLG/2034/25-26</t>
        </is>
      </c>
      <c r="C29" s="49" t="n"/>
      <c r="D29" s="55" t="n">
        <v>13733</v>
      </c>
      <c r="E29" s="56" t="n">
        <v>13733</v>
      </c>
      <c r="F29" s="57" t="n">
        <v>46027</v>
      </c>
      <c r="G29" s="58">
        <f>$E$2-F29</f>
        <v/>
      </c>
      <c r="H29" s="51" t="n"/>
      <c r="I29" s="51" t="n"/>
      <c r="J29" s="52" t="n"/>
      <c r="K29" s="19" t="n"/>
      <c r="L29" s="19" t="n"/>
      <c r="M29" s="19" t="n"/>
      <c r="N29" s="19" t="n"/>
      <c r="O29" s="6" t="n"/>
      <c r="P29" s="6" t="n"/>
      <c r="Q29" s="6" t="n"/>
      <c r="R29" s="6" t="n"/>
      <c r="S29" s="6" t="n"/>
      <c r="T29" s="6" t="n"/>
    </row>
    <row r="30">
      <c r="A30" s="53" t="n">
        <v>46027</v>
      </c>
      <c r="B30" s="54" t="inlineStr">
        <is>
          <t>C-SLG/2035/25-26</t>
        </is>
      </c>
      <c r="C30" s="49" t="n"/>
      <c r="D30" s="55" t="n">
        <v>13733</v>
      </c>
      <c r="E30" s="56" t="n">
        <v>13733</v>
      </c>
      <c r="F30" s="57" t="n">
        <v>46027</v>
      </c>
      <c r="G30" s="58">
        <f>$E$2-F30</f>
        <v/>
      </c>
      <c r="H30" s="51" t="n"/>
      <c r="I30" s="51" t="n"/>
      <c r="J30" s="52" t="n"/>
      <c r="K30" s="19" t="n"/>
      <c r="L30" s="19" t="n"/>
      <c r="M30" s="19" t="n"/>
      <c r="N30" s="19" t="n"/>
      <c r="O30" s="6" t="n"/>
      <c r="P30" s="6" t="n"/>
      <c r="Q30" s="6" t="n"/>
      <c r="R30" s="6" t="n"/>
      <c r="S30" s="6" t="n"/>
      <c r="T30" s="6" t="n"/>
    </row>
    <row r="31">
      <c r="A31" s="48" t="n"/>
      <c r="B31" s="49" t="n"/>
      <c r="C31" s="49" t="n"/>
      <c r="D31" s="55" t="n">
        <v>27466</v>
      </c>
      <c r="E31" s="56" t="n">
        <v>27466</v>
      </c>
      <c r="F31" s="49" t="n"/>
      <c r="G31" s="49" t="n"/>
      <c r="H31" s="51" t="n"/>
      <c r="I31" s="51" t="n"/>
      <c r="J31" s="52" t="inlineStr">
        <is>
          <t>Stock Returned</t>
        </is>
      </c>
      <c r="K31" s="19" t="n"/>
      <c r="L31" s="19" t="n"/>
      <c r="M31" s="19" t="n"/>
      <c r="N31" s="19" t="n"/>
      <c r="O31" s="6" t="n"/>
      <c r="P31" s="6" t="n"/>
      <c r="Q31" s="6" t="n"/>
      <c r="R31" s="6" t="n"/>
      <c r="S31" s="6" t="n"/>
      <c r="T31" s="6" t="n"/>
    </row>
    <row r="32">
      <c r="A32" s="48" t="n"/>
      <c r="B32" s="49" t="n"/>
      <c r="C32" s="50" t="inlineStr">
        <is>
          <t>KIRAN ENTERPRISES</t>
        </is>
      </c>
      <c r="D32" s="49" t="n"/>
      <c r="E32" s="49" t="n"/>
      <c r="F32" s="49" t="n"/>
      <c r="G32" s="49" t="n"/>
      <c r="H32" s="51" t="n"/>
      <c r="I32" s="51" t="n"/>
      <c r="J32" s="52" t="n"/>
      <c r="K32" s="19" t="n"/>
      <c r="L32" s="19" t="n"/>
      <c r="M32" s="19" t="n"/>
      <c r="N32" s="19" t="n"/>
      <c r="O32" s="6" t="n"/>
      <c r="P32" s="6" t="n"/>
      <c r="Q32" s="6" t="n"/>
      <c r="R32" s="6" t="n"/>
      <c r="S32" s="6" t="n"/>
      <c r="T32" s="6" t="n"/>
    </row>
    <row r="33">
      <c r="A33" s="53" t="n">
        <v>46107</v>
      </c>
      <c r="B33" s="54" t="inlineStr">
        <is>
          <t>C-SLG/2454/25-26</t>
        </is>
      </c>
      <c r="C33" s="49" t="n"/>
      <c r="D33" s="55" t="n">
        <v>100</v>
      </c>
      <c r="E33" s="56" t="n">
        <v>100</v>
      </c>
      <c r="F33" s="57" t="n">
        <v>46132</v>
      </c>
      <c r="G33" s="58">
        <f>$E$2-F33</f>
        <v/>
      </c>
      <c r="H33" s="51" t="n"/>
      <c r="I33" s="51" t="n"/>
      <c r="J33" s="52" t="inlineStr">
        <is>
          <t>Number Not Avilable</t>
        </is>
      </c>
      <c r="K33" s="19" t="n"/>
      <c r="L33" s="19" t="n"/>
      <c r="M33" s="19" t="n"/>
      <c r="N33" s="19" t="n"/>
      <c r="O33" s="6" t="n"/>
      <c r="P33" s="6" t="n"/>
      <c r="Q33" s="6" t="n"/>
      <c r="R33" s="6" t="n"/>
      <c r="S33" s="6" t="n"/>
      <c r="T33" s="6" t="n"/>
    </row>
    <row r="34">
      <c r="A34" s="48" t="n"/>
      <c r="B34" s="49" t="n"/>
      <c r="C34" s="49" t="n"/>
      <c r="D34" s="55" t="n">
        <v>100</v>
      </c>
      <c r="E34" s="56" t="n">
        <v>100</v>
      </c>
      <c r="F34" s="49" t="n"/>
      <c r="G34" s="49" t="n"/>
      <c r="H34" s="51" t="n"/>
      <c r="I34" s="51" t="n"/>
      <c r="J34" s="52" t="n"/>
      <c r="K34" s="19" t="n"/>
      <c r="L34" s="19" t="n"/>
      <c r="M34" s="19" t="n"/>
      <c r="N34" s="19" t="n"/>
      <c r="O34" s="6" t="n"/>
      <c r="P34" s="6" t="n"/>
      <c r="Q34" s="6" t="n"/>
      <c r="R34" s="6" t="n"/>
      <c r="S34" s="6" t="n"/>
      <c r="T34" s="6" t="n"/>
    </row>
    <row r="35">
      <c r="A35" s="48" t="n"/>
      <c r="B35" s="49" t="n"/>
      <c r="C35" s="50" t="inlineStr">
        <is>
          <t>Krishna Stationery ( LB Nagar)</t>
        </is>
      </c>
      <c r="D35" s="49" t="n"/>
      <c r="E35" s="49" t="n"/>
      <c r="F35" s="49" t="n"/>
      <c r="G35" s="49" t="n"/>
      <c r="H35" s="51" t="n"/>
      <c r="I35" s="51" t="n"/>
      <c r="J35" s="52" t="n"/>
      <c r="K35" s="19" t="n"/>
      <c r="L35" s="19" t="n"/>
      <c r="M35" s="19" t="n"/>
      <c r="N35" s="19" t="n"/>
      <c r="O35" s="6" t="n"/>
      <c r="P35" s="6" t="n"/>
      <c r="Q35" s="6" t="n"/>
      <c r="R35" s="6" t="n"/>
      <c r="S35" s="6" t="n"/>
      <c r="T35" s="6" t="n"/>
    </row>
    <row r="36">
      <c r="A36" s="53" t="n">
        <v>46136</v>
      </c>
      <c r="B36" s="54" t="inlineStr">
        <is>
          <t>C-SLG/0067/26-27</t>
        </is>
      </c>
      <c r="C36" s="49" t="n"/>
      <c r="D36" s="55" t="n">
        <v>2544</v>
      </c>
      <c r="E36" s="55" t="n">
        <v>2544</v>
      </c>
      <c r="F36" s="57" t="n">
        <v>46161</v>
      </c>
      <c r="G36" s="58">
        <f>$E$2-F36</f>
        <v/>
      </c>
      <c r="H36" s="51" t="n"/>
      <c r="I36" s="51" t="n"/>
      <c r="J36" s="52" t="n"/>
      <c r="K36" s="19" t="n"/>
      <c r="L36" s="19" t="n"/>
      <c r="M36" s="19" t="n"/>
      <c r="N36" s="19" t="n"/>
      <c r="O36" s="6" t="n"/>
      <c r="P36" s="6" t="n"/>
      <c r="Q36" s="6" t="n"/>
      <c r="R36" s="6" t="n"/>
      <c r="S36" s="6" t="n"/>
      <c r="T36" s="6" t="n"/>
    </row>
    <row r="37">
      <c r="A37" s="48" t="n"/>
      <c r="B37" s="49" t="n"/>
      <c r="C37" s="49" t="n"/>
      <c r="D37" s="55" t="n">
        <v>2544</v>
      </c>
      <c r="E37" s="56" t="n">
        <v>2544</v>
      </c>
      <c r="F37" s="49" t="n"/>
      <c r="G37" s="49" t="n"/>
      <c r="H37" s="51" t="n"/>
      <c r="I37" s="51" t="n"/>
      <c r="J37" s="52" t="n"/>
      <c r="K37" s="19" t="n"/>
      <c r="L37" s="19" t="n"/>
      <c r="M37" s="19" t="n"/>
      <c r="N37" s="19" t="n"/>
      <c r="O37" s="6" t="n"/>
      <c r="P37" s="6" t="n"/>
      <c r="Q37" s="6" t="n"/>
      <c r="R37" s="6" t="n"/>
      <c r="S37" s="6" t="n"/>
      <c r="T37" s="6" t="n"/>
    </row>
    <row r="38">
      <c r="A38" s="48" t="n"/>
      <c r="B38" s="49" t="n"/>
      <c r="C38" s="50" t="inlineStr">
        <is>
          <t>MEGHA S.V STATIONERY</t>
        </is>
      </c>
      <c r="D38" s="49" t="n"/>
      <c r="E38" s="49" t="n"/>
      <c r="F38" s="49" t="n"/>
      <c r="G38" s="49" t="n"/>
      <c r="H38" s="51" t="n"/>
      <c r="I38" s="51" t="n"/>
      <c r="J38" s="52" t="n"/>
      <c r="K38" s="19" t="inlineStr">
        <is>
          <t>ringing not responding | paid  given cheque | PAID</t>
        </is>
      </c>
      <c r="L38" s="19" t="n"/>
      <c r="M38" s="19" t="n"/>
      <c r="N38" s="19" t="n"/>
      <c r="O38" s="6" t="n"/>
      <c r="P38" s="6" t="n"/>
      <c r="Q38" s="6" t="n"/>
      <c r="R38" s="6" t="n"/>
      <c r="S38" s="6" t="n"/>
      <c r="T38" s="6" t="n"/>
    </row>
    <row r="39">
      <c r="A39" s="53" t="n">
        <v>46127</v>
      </c>
      <c r="B39" s="54" t="inlineStr">
        <is>
          <t>C-SLG/0043/26-27</t>
        </is>
      </c>
      <c r="C39" s="49" t="n"/>
      <c r="D39" s="55" t="n">
        <v>29883</v>
      </c>
      <c r="E39" s="56" t="n">
        <v>29883</v>
      </c>
      <c r="F39" s="57" t="n">
        <v>46152</v>
      </c>
      <c r="G39" s="58">
        <f>$E$2-F39</f>
        <v/>
      </c>
      <c r="H39" s="51" t="n"/>
      <c r="I39" s="51" t="n"/>
      <c r="J39" s="52" t="n"/>
      <c r="K39" s="19" t="n"/>
      <c r="L39" s="19" t="n"/>
      <c r="M39" s="19" t="n"/>
      <c r="N39" s="19" t="n"/>
      <c r="O39" s="6" t="n"/>
      <c r="P39" s="6" t="n"/>
      <c r="Q39" s="6" t="n"/>
      <c r="R39" s="6" t="n"/>
      <c r="S39" s="6" t="n"/>
      <c r="T39" s="6" t="n"/>
    </row>
    <row r="40">
      <c r="A40" s="48" t="n"/>
      <c r="B40" s="49" t="n"/>
      <c r="C40" s="49" t="n"/>
      <c r="D40" s="55" t="n">
        <v>29883</v>
      </c>
      <c r="E40" s="56" t="n">
        <v>29883</v>
      </c>
      <c r="F40" s="49" t="n"/>
      <c r="G40" s="49" t="n"/>
      <c r="H40" s="51" t="n"/>
      <c r="I40" s="51" t="n"/>
      <c r="J40" s="52" t="n"/>
      <c r="K40" s="19" t="n"/>
      <c r="L40" s="19" t="n"/>
      <c r="M40" s="19" t="n"/>
      <c r="N40" s="19" t="n"/>
      <c r="O40" s="6" t="n"/>
      <c r="P40" s="6" t="n"/>
      <c r="Q40" s="6" t="n"/>
      <c r="R40" s="6" t="n"/>
      <c r="S40" s="6" t="n"/>
      <c r="T40" s="6" t="n"/>
    </row>
    <row r="41">
      <c r="A41" s="48" t="n"/>
      <c r="B41" s="49" t="n"/>
      <c r="C41" s="50" t="inlineStr">
        <is>
          <t>M.M AGENCIES</t>
        </is>
      </c>
      <c r="D41" s="49" t="n"/>
      <c r="E41" s="49" t="n"/>
      <c r="F41" s="49" t="n"/>
      <c r="G41" s="49" t="n"/>
      <c r="H41" s="51" t="n"/>
      <c r="I41" s="51" t="n"/>
      <c r="J41" s="52" t="n"/>
      <c r="K41" s="19" t="inlineStr">
        <is>
          <t>HE SAID THAT HE WILL GIVE CHEQUE SEND THE PERSON | given cheque remaining apr pending</t>
        </is>
      </c>
      <c r="L41" s="19" t="n"/>
      <c r="M41" s="19" t="n"/>
      <c r="N41" s="19" t="n"/>
      <c r="O41" s="6" t="n"/>
      <c r="P41" s="6" t="n"/>
      <c r="Q41" s="6" t="n"/>
      <c r="R41" s="6" t="n"/>
      <c r="S41" s="6" t="n"/>
      <c r="T41" s="6" t="n"/>
    </row>
    <row r="42">
      <c r="A42" s="53" t="n">
        <v>45960</v>
      </c>
      <c r="B42" s="54" t="inlineStr">
        <is>
          <t>Bounce Charges-174</t>
        </is>
      </c>
      <c r="C42" s="49" t="n"/>
      <c r="D42" s="55" t="n">
        <v>500</v>
      </c>
      <c r="E42" s="56" t="n">
        <v>500</v>
      </c>
      <c r="F42" s="57" t="n">
        <v>45985</v>
      </c>
      <c r="G42" s="58">
        <f>$E$2-F42</f>
        <v/>
      </c>
      <c r="H42" s="51" t="n"/>
      <c r="I42" s="51" t="n"/>
      <c r="J42" s="52" t="n"/>
      <c r="K42" s="19" t="n"/>
      <c r="L42" s="19" t="n"/>
      <c r="M42" s="19" t="n"/>
      <c r="N42" s="19" t="n"/>
      <c r="O42" s="6" t="n"/>
      <c r="P42" s="6" t="n"/>
      <c r="Q42" s="6" t="n"/>
      <c r="R42" s="6" t="n"/>
      <c r="S42" s="6" t="n"/>
      <c r="T42" s="6" t="n"/>
    </row>
    <row r="43">
      <c r="A43" s="53" t="n">
        <v>46095</v>
      </c>
      <c r="B43" s="54" t="inlineStr">
        <is>
          <t>C-SLG/2382/25-26</t>
        </is>
      </c>
      <c r="C43" s="49" t="n"/>
      <c r="D43" s="55" t="n">
        <v>89388</v>
      </c>
      <c r="E43" s="56" t="n">
        <v>59388</v>
      </c>
      <c r="F43" s="57" t="n">
        <v>46120</v>
      </c>
      <c r="G43" s="58">
        <f>$E$2-F43</f>
        <v/>
      </c>
      <c r="H43" s="51" t="n">
        <v>59388</v>
      </c>
      <c r="I43" s="51">
        <f>E43-H43</f>
        <v/>
      </c>
      <c r="J43" s="52" t="inlineStr">
        <is>
          <t>Cheque Collected</t>
        </is>
      </c>
      <c r="K43" s="19" t="n"/>
      <c r="L43" s="19" t="n"/>
      <c r="M43" s="19" t="n"/>
      <c r="N43" s="19" t="n"/>
      <c r="O43" s="6" t="n"/>
      <c r="P43" s="6" t="n"/>
      <c r="Q43" s="6" t="n"/>
      <c r="R43" s="6" t="n"/>
      <c r="S43" s="6" t="n"/>
      <c r="T43" s="6" t="n"/>
    </row>
    <row r="44">
      <c r="A44" s="53" t="n">
        <v>46141</v>
      </c>
      <c r="B44" s="54" t="inlineStr">
        <is>
          <t>C-SLG/0079/26-27</t>
        </is>
      </c>
      <c r="C44" s="49" t="n"/>
      <c r="D44" s="55" t="n">
        <v>2580</v>
      </c>
      <c r="E44" s="55" t="n">
        <v>2580</v>
      </c>
      <c r="F44" s="57" t="n">
        <v>46166</v>
      </c>
      <c r="G44" s="49" t="n"/>
      <c r="H44" s="51" t="n"/>
      <c r="I44" s="51" t="n"/>
      <c r="J44" s="52" t="n"/>
      <c r="K44" s="19" t="n"/>
      <c r="L44" s="19" t="n"/>
      <c r="M44" s="19" t="n"/>
      <c r="N44" s="19" t="n"/>
      <c r="O44" s="6" t="n"/>
      <c r="P44" s="6" t="n"/>
      <c r="Q44" s="6" t="n"/>
      <c r="R44" s="6" t="n"/>
      <c r="S44" s="6" t="n"/>
      <c r="T44" s="6" t="n"/>
    </row>
    <row r="45" ht="10.5" customHeight="1" s="5">
      <c r="A45" s="48" t="n"/>
      <c r="B45" s="49" t="n"/>
      <c r="C45" s="49" t="n"/>
      <c r="D45" s="55" t="n">
        <v>92468</v>
      </c>
      <c r="E45" s="56" t="n">
        <v>62468</v>
      </c>
      <c r="F45" s="49" t="n"/>
      <c r="G45" s="49" t="n"/>
      <c r="H45" s="51" t="n"/>
      <c r="I45" s="51" t="n"/>
      <c r="J45" s="52" t="n"/>
      <c r="K45" s="19" t="n"/>
      <c r="L45" s="19" t="n"/>
      <c r="M45" s="19" t="n"/>
      <c r="N45" s="19" t="n"/>
      <c r="O45" s="6" t="n"/>
      <c r="P45" s="6" t="n"/>
      <c r="Q45" s="6" t="n"/>
      <c r="R45" s="6" t="n"/>
      <c r="S45" s="6" t="n"/>
      <c r="T45" s="6" t="n"/>
    </row>
    <row r="46">
      <c r="A46" s="48" t="n"/>
      <c r="B46" s="49" t="n"/>
      <c r="C46" s="50" t="inlineStr">
        <is>
          <t>MONI ENTERPRISES</t>
        </is>
      </c>
      <c r="D46" s="49" t="n"/>
      <c r="E46" s="49" t="n"/>
      <c r="F46" s="49" t="n"/>
      <c r="G46" s="49" t="n"/>
      <c r="H46" s="51" t="n"/>
      <c r="I46" s="51" t="n"/>
      <c r="J46" s="52" t="n"/>
      <c r="K46" s="19" t="n"/>
      <c r="L46" s="19" t="n"/>
      <c r="M46" s="19" t="n"/>
      <c r="N46" s="19" t="n"/>
      <c r="O46" s="6" t="n"/>
      <c r="P46" s="6" t="n"/>
      <c r="Q46" s="6" t="n"/>
      <c r="R46" s="6" t="n"/>
      <c r="S46" s="6" t="n"/>
      <c r="T46" s="6" t="n"/>
    </row>
    <row r="47">
      <c r="A47" s="53" t="n">
        <v>46130</v>
      </c>
      <c r="B47" s="54" t="inlineStr">
        <is>
          <t>C-SLG/0053/26-27</t>
        </is>
      </c>
      <c r="C47" s="49" t="n"/>
      <c r="D47" s="55" t="n">
        <v>5960</v>
      </c>
      <c r="E47" s="56" t="n">
        <v>5960</v>
      </c>
      <c r="F47" s="57" t="n">
        <v>46155</v>
      </c>
      <c r="G47" s="58">
        <f>$E$2-F47</f>
        <v/>
      </c>
      <c r="H47" s="51" t="n"/>
      <c r="I47" s="51" t="n"/>
      <c r="J47" s="52" t="n"/>
      <c r="K47" s="19" t="n"/>
      <c r="L47" s="19" t="n"/>
      <c r="M47" s="19" t="n"/>
      <c r="N47" s="19" t="n"/>
      <c r="O47" s="6" t="n"/>
      <c r="P47" s="6" t="n"/>
      <c r="Q47" s="6" t="n"/>
      <c r="R47" s="6" t="n"/>
      <c r="S47" s="6" t="n"/>
      <c r="T47" s="6" t="n"/>
    </row>
    <row r="48">
      <c r="A48" s="53" t="n">
        <v>46148</v>
      </c>
      <c r="B48" s="54" t="inlineStr">
        <is>
          <t>C-SLG/0093/26-27</t>
        </is>
      </c>
      <c r="C48" s="49" t="n"/>
      <c r="D48" s="55" t="n">
        <v>916</v>
      </c>
      <c r="E48" s="55" t="n">
        <v>916</v>
      </c>
      <c r="F48" s="57" t="n">
        <v>46173</v>
      </c>
      <c r="G48" s="49" t="n"/>
      <c r="H48" s="51" t="n"/>
      <c r="I48" s="51" t="n"/>
      <c r="J48" s="52" t="n"/>
      <c r="K48" s="19" t="n"/>
      <c r="L48" s="19" t="n"/>
      <c r="M48" s="19" t="n"/>
      <c r="N48" s="19" t="n"/>
      <c r="O48" s="6" t="n"/>
      <c r="P48" s="6" t="n"/>
      <c r="Q48" s="6" t="n"/>
      <c r="R48" s="6" t="n"/>
      <c r="S48" s="6" t="n"/>
      <c r="T48" s="6" t="n"/>
    </row>
    <row r="49">
      <c r="A49" s="48" t="n"/>
      <c r="B49" s="49" t="n"/>
      <c r="C49" s="49" t="n"/>
      <c r="D49" s="55" t="n">
        <v>6876</v>
      </c>
      <c r="E49" s="56" t="n">
        <v>6876</v>
      </c>
      <c r="F49" s="49" t="n"/>
      <c r="G49" s="49" t="n"/>
      <c r="H49" s="51" t="n"/>
      <c r="I49" s="51" t="n"/>
      <c r="J49" s="52" t="n"/>
      <c r="K49" s="19" t="n"/>
      <c r="L49" s="19" t="n"/>
      <c r="M49" s="19" t="n"/>
      <c r="N49" s="19" t="n"/>
      <c r="O49" s="6" t="n"/>
      <c r="P49" s="6" t="n"/>
      <c r="Q49" s="6" t="n"/>
      <c r="R49" s="6" t="n"/>
      <c r="S49" s="6" t="n"/>
      <c r="T49" s="6" t="n"/>
    </row>
    <row r="50">
      <c r="A50" s="48" t="n"/>
      <c r="B50" s="49" t="n"/>
      <c r="C50" s="50" t="inlineStr">
        <is>
          <t>New Vidya Book Point (Saroor N)</t>
        </is>
      </c>
      <c r="D50" s="49" t="n"/>
      <c r="E50" s="49" t="n"/>
      <c r="F50" s="49" t="n"/>
      <c r="G50" s="49" t="n"/>
      <c r="H50" s="51" t="n"/>
      <c r="I50" s="51" t="n"/>
      <c r="J50" s="52" t="n"/>
      <c r="K50" s="19" t="inlineStr">
        <is>
          <t>ringing not resonding | HE SAID THAT  HE  WILL  PAY  IN 2 DAYS | ringing not resonding | MONDAY  HE WILL PAY ONLINE | ringing not resonding</t>
        </is>
      </c>
      <c r="L50" s="19" t="n"/>
      <c r="M50" s="19" t="n"/>
      <c r="N50" s="19" t="n"/>
      <c r="O50" s="6" t="n"/>
      <c r="P50" s="6" t="n"/>
      <c r="Q50" s="6" t="n"/>
      <c r="R50" s="6" t="n"/>
      <c r="S50" s="6" t="n"/>
      <c r="T50" s="6" t="n"/>
    </row>
    <row r="51">
      <c r="A51" s="53" t="n">
        <v>46101</v>
      </c>
      <c r="B51" s="54" t="inlineStr">
        <is>
          <t>C-SLG/2410/25-26</t>
        </is>
      </c>
      <c r="C51" s="49" t="n"/>
      <c r="D51" s="55" t="n">
        <v>2476</v>
      </c>
      <c r="E51" s="56" t="n">
        <v>2476</v>
      </c>
      <c r="F51" s="59" t="n">
        <v>46126</v>
      </c>
      <c r="G51" s="58">
        <f>$E$2-F51</f>
        <v/>
      </c>
      <c r="H51" s="51" t="n">
        <v>2476</v>
      </c>
      <c r="I51" s="51">
        <f>E52-H51</f>
        <v/>
      </c>
      <c r="J51" s="52" t="inlineStr">
        <is>
          <t>Paid Online - Full Amount</t>
        </is>
      </c>
      <c r="K51" s="19" t="n"/>
      <c r="L51" s="19" t="n"/>
      <c r="M51" s="19" t="n"/>
      <c r="N51" s="19" t="n"/>
      <c r="O51" s="6" t="n"/>
      <c r="P51" s="6" t="n"/>
      <c r="Q51" s="6" t="n"/>
      <c r="R51" s="6" t="n"/>
      <c r="S51" s="6" t="n"/>
      <c r="T51" s="6" t="n"/>
    </row>
    <row r="52">
      <c r="A52" s="48" t="n"/>
      <c r="B52" s="49" t="n"/>
      <c r="C52" s="49" t="n"/>
      <c r="D52" s="55" t="n">
        <v>2476</v>
      </c>
      <c r="E52" s="56" t="n">
        <v>2476</v>
      </c>
      <c r="F52" s="49" t="n"/>
      <c r="G52" s="49" t="n"/>
      <c r="H52" s="51" t="n"/>
      <c r="I52" s="51" t="n"/>
      <c r="J52" s="52" t="n"/>
      <c r="K52" s="19" t="n"/>
      <c r="L52" s="19" t="n"/>
      <c r="M52" s="19" t="n"/>
      <c r="N52" s="19" t="n"/>
      <c r="O52" s="6" t="n"/>
      <c r="P52" s="6" t="n"/>
      <c r="Q52" s="6" t="n"/>
      <c r="R52" s="6" t="n"/>
      <c r="S52" s="6" t="n"/>
      <c r="T52" s="6" t="n"/>
    </row>
    <row r="53">
      <c r="A53" s="48" t="n"/>
      <c r="B53" s="49" t="n"/>
      <c r="C53" s="50" t="inlineStr">
        <is>
          <t>PADMAVATHI PEN STORES</t>
        </is>
      </c>
      <c r="D53" s="49" t="n"/>
      <c r="E53" s="49" t="n"/>
      <c r="F53" s="49" t="n"/>
      <c r="G53" s="49" t="n"/>
      <c r="H53" s="51" t="n"/>
      <c r="I53" s="51" t="n"/>
      <c r="J53" s="52" t="n"/>
      <c r="K53" s="19" t="inlineStr">
        <is>
          <t>HE SAID THATHE WILL PAY NEED  SOMETIME | RINGING NOT RESPONDING</t>
        </is>
      </c>
      <c r="L53" s="19" t="n"/>
      <c r="M53" s="19" t="n"/>
      <c r="N53" s="19" t="n"/>
      <c r="O53" s="6" t="n"/>
      <c r="P53" s="6" t="n"/>
      <c r="Q53" s="6" t="n"/>
      <c r="R53" s="6" t="n"/>
      <c r="S53" s="6" t="n"/>
      <c r="T53" s="6" t="n"/>
    </row>
    <row r="54">
      <c r="A54" s="53" t="n">
        <v>46105</v>
      </c>
      <c r="B54" s="54" t="inlineStr">
        <is>
          <t>C-SLG/2433/25-26</t>
        </is>
      </c>
      <c r="C54" s="49" t="n"/>
      <c r="D54" s="55" t="n">
        <v>20549</v>
      </c>
      <c r="E54" s="56" t="n">
        <v>20549</v>
      </c>
      <c r="F54" s="59" t="n">
        <v>46130</v>
      </c>
      <c r="G54" s="58">
        <f>$E$2-F54</f>
        <v/>
      </c>
      <c r="H54" s="51" t="n"/>
      <c r="I54" s="51" t="n"/>
      <c r="J54" s="52" t="inlineStr">
        <is>
          <t>Ringing Not Responding</t>
        </is>
      </c>
      <c r="K54" s="19" t="n"/>
      <c r="L54" s="19" t="n"/>
      <c r="M54" s="19" t="n"/>
      <c r="N54" s="19" t="n"/>
      <c r="O54" s="6" t="n"/>
      <c r="P54" s="6" t="n"/>
      <c r="Q54" s="6" t="n"/>
      <c r="R54" s="6" t="n"/>
      <c r="S54" s="6" t="n"/>
      <c r="T54" s="6" t="n"/>
    </row>
    <row r="55">
      <c r="A55" s="53" t="n">
        <v>46112</v>
      </c>
      <c r="B55" s="54" t="inlineStr">
        <is>
          <t>C-SLG/2492/25-26</t>
        </is>
      </c>
      <c r="C55" s="49" t="n"/>
      <c r="D55" s="55" t="n">
        <v>12705</v>
      </c>
      <c r="E55" s="56" t="n">
        <v>12705</v>
      </c>
      <c r="F55" s="59" t="n">
        <v>46137</v>
      </c>
      <c r="G55" s="58">
        <f>$E$2-F55</f>
        <v/>
      </c>
      <c r="H55" s="51" t="n"/>
      <c r="I55" s="51" t="n"/>
      <c r="J55" s="52" t="inlineStr">
        <is>
          <t>Ringing Not Responding</t>
        </is>
      </c>
      <c r="K55" s="19" t="n"/>
      <c r="L55" s="19" t="n"/>
      <c r="M55" s="19" t="n"/>
      <c r="N55" s="19" t="n"/>
      <c r="O55" s="6" t="n"/>
      <c r="P55" s="6" t="n"/>
      <c r="Q55" s="6" t="n"/>
      <c r="R55" s="6" t="n"/>
      <c r="S55" s="6" t="n"/>
      <c r="T55" s="6" t="n"/>
    </row>
    <row r="56">
      <c r="A56" s="48" t="n"/>
      <c r="B56" s="49" t="n"/>
      <c r="C56" s="49" t="n"/>
      <c r="D56" s="55" t="n">
        <v>33254</v>
      </c>
      <c r="E56" s="56" t="n">
        <v>33254</v>
      </c>
      <c r="F56" s="49" t="n"/>
      <c r="G56" s="49" t="n"/>
      <c r="H56" s="51" t="n"/>
      <c r="I56" s="51" t="n"/>
      <c r="J56" s="52" t="n"/>
      <c r="K56" s="19" t="n"/>
      <c r="L56" s="19" t="n"/>
      <c r="M56" s="19" t="n"/>
      <c r="N56" s="19" t="n"/>
      <c r="O56" s="6" t="n"/>
      <c r="P56" s="6" t="n"/>
      <c r="Q56" s="6" t="n"/>
      <c r="R56" s="6" t="n"/>
      <c r="S56" s="6" t="n"/>
      <c r="T56" s="6" t="n"/>
    </row>
    <row r="57">
      <c r="A57" s="48" t="n"/>
      <c r="B57" s="49" t="n"/>
      <c r="C57" s="50" t="inlineStr">
        <is>
          <t>Raj Enterprises</t>
        </is>
      </c>
      <c r="D57" s="49" t="n"/>
      <c r="E57" s="49" t="n"/>
      <c r="F57" s="49" t="n"/>
      <c r="G57" s="49" t="n"/>
      <c r="H57" s="51" t="n"/>
      <c r="I57" s="51" t="n"/>
      <c r="J57" s="52" t="n"/>
      <c r="K57" s="19" t="inlineStr">
        <is>
          <t>HE HIS  BUSY  CALL BACK | HE WILLPAY IN 3DAYS | HE WILL NEXT MONTH FIRST WEEK</t>
        </is>
      </c>
      <c r="L57" s="19" t="n"/>
      <c r="M57" s="19" t="n"/>
      <c r="N57" s="19" t="n"/>
      <c r="O57" s="6" t="n"/>
      <c r="P57" s="6" t="n"/>
      <c r="Q57" s="6" t="n"/>
      <c r="R57" s="6" t="n"/>
      <c r="S57" s="6" t="n"/>
      <c r="T57" s="6" t="n"/>
    </row>
    <row r="58">
      <c r="A58" s="53" t="n">
        <v>46112</v>
      </c>
      <c r="B58" s="54" t="inlineStr">
        <is>
          <t>C-SLG/2486/25-26</t>
        </is>
      </c>
      <c r="C58" s="49" t="n"/>
      <c r="D58" s="55" t="n">
        <v>5520</v>
      </c>
      <c r="E58" s="56" t="n">
        <v>5520</v>
      </c>
      <c r="F58" s="59" t="n">
        <v>46137</v>
      </c>
      <c r="G58" s="58">
        <f>$E$2-F58</f>
        <v/>
      </c>
      <c r="H58" s="51" t="n"/>
      <c r="I58" s="51" t="n"/>
      <c r="J58" s="52" t="n"/>
      <c r="K58" s="19" t="n"/>
      <c r="L58" s="19" t="n"/>
      <c r="M58" s="19" t="n"/>
      <c r="N58" s="19" t="n"/>
      <c r="O58" s="6" t="n"/>
      <c r="P58" s="6" t="n"/>
      <c r="Q58" s="6" t="n"/>
      <c r="R58" s="6" t="n"/>
      <c r="S58" s="6" t="n"/>
      <c r="T58" s="6" t="n"/>
    </row>
    <row r="59">
      <c r="A59" s="48" t="n"/>
      <c r="B59" s="49" t="n"/>
      <c r="C59" s="49" t="n"/>
      <c r="D59" s="55" t="n">
        <v>5520</v>
      </c>
      <c r="E59" s="56" t="n">
        <v>5520</v>
      </c>
      <c r="F59" s="49" t="n"/>
      <c r="G59" s="49" t="n"/>
      <c r="H59" s="51" t="n"/>
      <c r="I59" s="51" t="n"/>
      <c r="J59" s="52" t="n"/>
      <c r="K59" s="19" t="n"/>
      <c r="L59" s="19" t="n"/>
      <c r="M59" s="19" t="n"/>
      <c r="N59" s="19" t="n"/>
      <c r="O59" s="6" t="n"/>
      <c r="P59" s="6" t="n"/>
      <c r="Q59" s="6" t="n"/>
      <c r="R59" s="6" t="n"/>
      <c r="S59" s="6" t="n"/>
      <c r="T59" s="6" t="n"/>
    </row>
    <row r="60">
      <c r="A60" s="48" t="n"/>
      <c r="B60" s="49" t="n"/>
      <c r="C60" s="47" t="inlineStr">
        <is>
          <t>Ramdev Stationery (K Puram)</t>
        </is>
      </c>
      <c r="D60" s="49" t="n"/>
      <c r="E60" s="49" t="n"/>
      <c r="F60" s="49" t="n"/>
      <c r="G60" s="49" t="n"/>
      <c r="H60" s="51" t="n"/>
      <c r="I60" s="51" t="n"/>
      <c r="J60" s="52" t="n"/>
      <c r="K60" s="19" t="n"/>
      <c r="L60" s="19" t="n"/>
      <c r="M60" s="19" t="n"/>
      <c r="N60" s="19" t="n"/>
      <c r="O60" s="6" t="n"/>
      <c r="P60" s="6" t="n"/>
      <c r="Q60" s="6" t="n"/>
      <c r="R60" s="6" t="n"/>
      <c r="S60" s="6" t="n"/>
      <c r="T60" s="6" t="n"/>
    </row>
    <row r="61">
      <c r="A61" s="53" t="n">
        <v>45470</v>
      </c>
      <c r="B61" s="54" t="inlineStr">
        <is>
          <t>C-SLG/471/24-25</t>
        </is>
      </c>
      <c r="C61" s="49" t="n"/>
      <c r="D61" s="55" t="n">
        <v>4947</v>
      </c>
      <c r="E61" s="56" t="n">
        <v>4947</v>
      </c>
      <c r="F61" s="59" t="n">
        <v>45495</v>
      </c>
      <c r="G61" s="58">
        <f>$E$2-F61</f>
        <v/>
      </c>
      <c r="H61" s="51" t="n"/>
      <c r="I61" s="51" t="n"/>
      <c r="J61" s="52" t="n"/>
      <c r="K61" s="19" t="n"/>
      <c r="L61" s="19" t="n"/>
      <c r="M61" s="19" t="n"/>
      <c r="N61" s="19" t="n"/>
      <c r="O61" s="6" t="n"/>
      <c r="P61" s="6" t="n"/>
      <c r="Q61" s="6" t="n"/>
      <c r="R61" s="6" t="n"/>
      <c r="S61" s="6" t="n"/>
      <c r="T61" s="6" t="n"/>
    </row>
    <row r="62">
      <c r="A62" s="53" t="n">
        <v>46126</v>
      </c>
      <c r="B62" s="54" t="inlineStr">
        <is>
          <t>C-SLG/0037/26-27</t>
        </is>
      </c>
      <c r="C62" s="49" t="n"/>
      <c r="D62" s="55" t="n">
        <v>13863</v>
      </c>
      <c r="E62" s="56" t="n">
        <v>13863</v>
      </c>
      <c r="F62" s="59" t="n">
        <v>46151</v>
      </c>
      <c r="G62" s="58">
        <f>$E$2-F62</f>
        <v/>
      </c>
      <c r="H62" s="51" t="n"/>
      <c r="I62" s="51" t="n"/>
      <c r="J62" s="52" t="n"/>
      <c r="K62" s="19" t="n"/>
      <c r="L62" s="19" t="n"/>
      <c r="M62" s="19" t="n"/>
      <c r="N62" s="19" t="n"/>
      <c r="O62" s="6" t="n"/>
      <c r="P62" s="6" t="n"/>
      <c r="Q62" s="6" t="n"/>
      <c r="R62" s="6" t="n"/>
      <c r="S62" s="6" t="n"/>
      <c r="T62" s="6" t="n"/>
    </row>
    <row r="63">
      <c r="A63" s="48" t="n"/>
      <c r="B63" s="49" t="n"/>
      <c r="C63" s="49" t="n"/>
      <c r="D63" s="55" t="n">
        <v>18810</v>
      </c>
      <c r="E63" s="56" t="n">
        <v>18810</v>
      </c>
      <c r="F63" s="49" t="n"/>
      <c r="G63" s="49" t="n"/>
      <c r="H63" s="51" t="n"/>
      <c r="I63" s="51" t="n"/>
      <c r="J63" s="52" t="n"/>
      <c r="K63" s="19" t="n"/>
      <c r="L63" s="19" t="n"/>
      <c r="M63" s="19" t="n"/>
      <c r="N63" s="19" t="n"/>
      <c r="O63" s="6" t="n"/>
      <c r="P63" s="6" t="n"/>
      <c r="Q63" s="6" t="n"/>
      <c r="R63" s="6" t="n"/>
      <c r="S63" s="6" t="n"/>
      <c r="T63" s="6" t="n"/>
    </row>
    <row r="64">
      <c r="A64" s="48" t="n"/>
      <c r="B64" s="49" t="n"/>
      <c r="C64" s="47" t="inlineStr">
        <is>
          <t>Sai Ram Book Center</t>
        </is>
      </c>
      <c r="D64" s="49" t="n"/>
      <c r="E64" s="49" t="n"/>
      <c r="F64" s="49" t="n"/>
      <c r="G64" s="49" t="n"/>
      <c r="H64" s="51" t="n"/>
      <c r="I64" s="51" t="n"/>
      <c r="J64" s="52" t="n"/>
      <c r="K64" s="19" t="inlineStr">
        <is>
          <t>expried</t>
        </is>
      </c>
      <c r="L64" s="19" t="n"/>
      <c r="M64" s="19" t="n"/>
      <c r="N64" s="19" t="n"/>
      <c r="O64" s="6" t="n"/>
      <c r="P64" s="6" t="n"/>
      <c r="Q64" s="6" t="n"/>
      <c r="R64" s="6" t="n"/>
      <c r="S64" s="6" t="n"/>
      <c r="T64" s="6" t="n"/>
    </row>
    <row r="65">
      <c r="A65" s="53" t="n">
        <v>45362</v>
      </c>
      <c r="B65" s="54" t="inlineStr">
        <is>
          <t>C-SLG/3153/23-24</t>
        </is>
      </c>
      <c r="C65" s="49" t="n"/>
      <c r="D65" s="55" t="n">
        <v>2733</v>
      </c>
      <c r="E65" s="56" t="n">
        <v>2733</v>
      </c>
      <c r="F65" s="59" t="n">
        <v>45362</v>
      </c>
      <c r="G65" s="58">
        <f>$E$2-F65</f>
        <v/>
      </c>
      <c r="H65" s="51" t="n"/>
      <c r="I65" s="51" t="n"/>
      <c r="J65" s="52" t="inlineStr">
        <is>
          <t>Customer Expired</t>
        </is>
      </c>
      <c r="K65" s="19" t="n"/>
      <c r="L65" s="19" t="n"/>
      <c r="M65" s="19" t="n"/>
      <c r="N65" s="19" t="n"/>
      <c r="O65" s="6" t="n"/>
      <c r="P65" s="6" t="n"/>
      <c r="Q65" s="6" t="n"/>
      <c r="R65" s="6" t="n"/>
      <c r="S65" s="6" t="n"/>
      <c r="T65" s="6" t="n"/>
    </row>
    <row r="66">
      <c r="A66" s="48" t="n"/>
      <c r="B66" s="49" t="n"/>
      <c r="C66" s="49" t="n"/>
      <c r="D66" s="55" t="n">
        <v>2733</v>
      </c>
      <c r="E66" s="56" t="n">
        <v>2733</v>
      </c>
      <c r="F66" s="49" t="n"/>
      <c r="G66" s="49" t="n"/>
      <c r="H66" s="51" t="n"/>
      <c r="I66" s="51" t="n"/>
      <c r="J66" s="52" t="n"/>
      <c r="K66" s="19" t="n"/>
      <c r="L66" s="19" t="n"/>
      <c r="M66" s="19" t="n"/>
      <c r="N66" s="19" t="n"/>
      <c r="O66" s="6" t="n"/>
      <c r="P66" s="6" t="n"/>
      <c r="Q66" s="6" t="n"/>
      <c r="R66" s="6" t="n"/>
      <c r="S66" s="6" t="n"/>
      <c r="T66" s="6" t="n"/>
    </row>
    <row r="67">
      <c r="A67" s="48" t="n"/>
      <c r="B67" s="49" t="n"/>
      <c r="C67" s="50" t="inlineStr">
        <is>
          <t>Sai Sujit Gifts &amp; Novelties</t>
        </is>
      </c>
      <c r="D67" s="49" t="n"/>
      <c r="E67" s="49" t="n"/>
      <c r="F67" s="49" t="n"/>
      <c r="G67" s="49" t="n"/>
      <c r="H67" s="51" t="n"/>
      <c r="I67" s="51" t="n"/>
      <c r="J67" s="52" t="n"/>
      <c r="K67" s="19" t="n"/>
      <c r="L67" s="19" t="n"/>
      <c r="M67" s="19" t="n"/>
      <c r="N67" s="19" t="n"/>
      <c r="O67" s="6" t="n"/>
      <c r="P67" s="6" t="n"/>
      <c r="Q67" s="6" t="n"/>
      <c r="R67" s="6" t="n"/>
      <c r="S67" s="6" t="n"/>
      <c r="T67" s="6" t="n"/>
    </row>
    <row r="68">
      <c r="A68" s="53" t="n">
        <v>46107</v>
      </c>
      <c r="B68" s="54" t="inlineStr">
        <is>
          <t>C-SLG/2449/25-26</t>
        </is>
      </c>
      <c r="C68" s="49" t="n"/>
      <c r="D68" s="55" t="n">
        <v>100</v>
      </c>
      <c r="E68" s="56" t="n">
        <v>100</v>
      </c>
      <c r="F68" s="59" t="n">
        <v>46132</v>
      </c>
      <c r="G68" s="58">
        <f>$E$2-F68</f>
        <v/>
      </c>
      <c r="H68" s="51" t="n"/>
      <c r="I68" s="51" t="n"/>
      <c r="J68" s="52" t="inlineStr">
        <is>
          <t>Number Not Avilable</t>
        </is>
      </c>
      <c r="K68" s="19" t="n"/>
      <c r="L68" s="19" t="n"/>
      <c r="M68" s="19" t="n"/>
      <c r="N68" s="19" t="n"/>
      <c r="O68" s="6" t="n"/>
      <c r="P68" s="6" t="n"/>
      <c r="Q68" s="6" t="n"/>
      <c r="R68" s="6" t="n"/>
      <c r="S68" s="6" t="n"/>
      <c r="T68" s="6" t="n"/>
    </row>
    <row r="69">
      <c r="A69" s="48" t="n"/>
      <c r="B69" s="49" t="n"/>
      <c r="C69" s="49" t="n"/>
      <c r="D69" s="55" t="n">
        <v>100</v>
      </c>
      <c r="E69" s="56" t="n">
        <v>100</v>
      </c>
      <c r="F69" s="49" t="n"/>
      <c r="G69" s="49" t="n"/>
      <c r="H69" s="51" t="n"/>
      <c r="I69" s="51" t="n"/>
      <c r="J69" s="52" t="n"/>
      <c r="K69" s="19" t="n"/>
      <c r="L69" s="19" t="n"/>
      <c r="M69" s="19" t="n"/>
      <c r="N69" s="19" t="n"/>
      <c r="O69" s="6" t="n"/>
      <c r="P69" s="6" t="n"/>
      <c r="Q69" s="6" t="n"/>
      <c r="R69" s="6" t="n"/>
      <c r="S69" s="6" t="n"/>
      <c r="T69" s="6" t="n"/>
    </row>
    <row r="70">
      <c r="A70" s="48" t="n"/>
      <c r="B70" s="49" t="n"/>
      <c r="C70" s="50" t="inlineStr">
        <is>
          <t>Shiva Sai Stationery</t>
        </is>
      </c>
      <c r="D70" s="49" t="n"/>
      <c r="E70" s="49" t="n"/>
      <c r="F70" s="49" t="n"/>
      <c r="G70" s="49" t="n"/>
      <c r="H70" s="51" t="n"/>
      <c r="I70" s="51" t="n"/>
      <c r="J70" s="52" t="n"/>
      <c r="K70" s="19" t="n"/>
      <c r="L70" s="19" t="n"/>
      <c r="M70" s="19" t="n"/>
      <c r="N70" s="19" t="n"/>
      <c r="O70" s="6" t="n"/>
      <c r="P70" s="6" t="n"/>
      <c r="Q70" s="6" t="n"/>
      <c r="R70" s="6" t="n"/>
      <c r="S70" s="6" t="n"/>
      <c r="T70" s="6" t="n"/>
    </row>
    <row r="71">
      <c r="A71" s="53" t="n">
        <v>46107</v>
      </c>
      <c r="B71" s="54" t="inlineStr">
        <is>
          <t>C-SLG/2450/25-26</t>
        </is>
      </c>
      <c r="C71" s="49" t="n"/>
      <c r="D71" s="55" t="n">
        <v>100</v>
      </c>
      <c r="E71" s="56" t="n">
        <v>100</v>
      </c>
      <c r="F71" s="59" t="n">
        <v>46132</v>
      </c>
      <c r="G71" s="58">
        <f>$E$2-F71</f>
        <v/>
      </c>
      <c r="H71" s="51" t="n"/>
      <c r="I71" s="51" t="n"/>
      <c r="J71" s="52" t="n"/>
      <c r="K71" s="19" t="n"/>
      <c r="L71" s="19" t="n"/>
      <c r="M71" s="19" t="n"/>
      <c r="N71" s="19" t="n"/>
      <c r="O71" s="6" t="n"/>
      <c r="P71" s="6" t="n"/>
      <c r="Q71" s="6" t="n"/>
      <c r="R71" s="6" t="n"/>
      <c r="S71" s="6" t="n"/>
      <c r="T71" s="6" t="n"/>
    </row>
    <row r="72">
      <c r="A72" s="48" t="n"/>
      <c r="B72" s="49" t="n"/>
      <c r="C72" s="49" t="n"/>
      <c r="D72" s="55" t="n">
        <v>100</v>
      </c>
      <c r="E72" s="56" t="n">
        <v>100</v>
      </c>
      <c r="F72" s="49" t="n"/>
      <c r="G72" s="49" t="n"/>
      <c r="H72" s="51" t="n"/>
      <c r="I72" s="51" t="n"/>
      <c r="J72" s="52" t="n"/>
      <c r="K72" s="19" t="n"/>
      <c r="L72" s="19" t="n"/>
      <c r="M72" s="19" t="n"/>
      <c r="N72" s="19" t="n"/>
      <c r="O72" s="6" t="n"/>
      <c r="P72" s="6" t="n"/>
      <c r="Q72" s="6" t="n"/>
      <c r="R72" s="6" t="n"/>
      <c r="S72" s="6" t="n"/>
      <c r="T72" s="6" t="n"/>
    </row>
    <row r="73">
      <c r="A73" s="48" t="n"/>
      <c r="B73" s="49" t="n"/>
      <c r="C73" s="50" t="inlineStr">
        <is>
          <t>S MART STATIONERY MEGA STORE</t>
        </is>
      </c>
      <c r="D73" s="49" t="n"/>
      <c r="E73" s="49" t="n"/>
      <c r="F73" s="49" t="n"/>
      <c r="G73" s="49" t="n"/>
      <c r="H73" s="51" t="n"/>
      <c r="I73" s="51" t="n"/>
      <c r="J73" s="52" t="n"/>
      <c r="K73" s="19" t="inlineStr">
        <is>
          <t>NUMBER BUSY | NUMBER BUSY | NUMBER BUSY | RINGING NOT RESPONDING</t>
        </is>
      </c>
      <c r="L73" s="19" t="n"/>
      <c r="M73" s="19" t="n"/>
      <c r="N73" s="19" t="n"/>
      <c r="O73" s="6" t="n"/>
      <c r="P73" s="6" t="n"/>
      <c r="Q73" s="6" t="n"/>
      <c r="R73" s="6" t="n"/>
      <c r="S73" s="6" t="n"/>
      <c r="T73" s="6" t="n"/>
    </row>
    <row r="74">
      <c r="A74" s="53" t="n">
        <v>46122</v>
      </c>
      <c r="B74" s="54" t="inlineStr">
        <is>
          <t>C-SLG/0024/26-27</t>
        </is>
      </c>
      <c r="C74" s="49" t="n"/>
      <c r="D74" s="55" t="n">
        <v>37104</v>
      </c>
      <c r="E74" s="56" t="n">
        <v>37104</v>
      </c>
      <c r="F74" s="59" t="n">
        <v>46147</v>
      </c>
      <c r="G74" s="58">
        <f>$E$2-F74</f>
        <v/>
      </c>
      <c r="H74" s="51" t="n"/>
      <c r="I74" s="51" t="n"/>
      <c r="J74" s="52" t="n"/>
      <c r="K74" s="19" t="n"/>
      <c r="L74" s="19" t="n"/>
      <c r="M74" s="19" t="n"/>
      <c r="N74" s="19" t="n"/>
      <c r="O74" s="6" t="n"/>
      <c r="P74" s="6" t="n"/>
      <c r="Q74" s="6" t="n"/>
      <c r="R74" s="6" t="n"/>
      <c r="S74" s="6" t="n"/>
      <c r="T74" s="6" t="n"/>
    </row>
    <row r="75">
      <c r="A75" s="48" t="n"/>
      <c r="B75" s="49" t="n"/>
      <c r="C75" s="49" t="n"/>
      <c r="D75" s="55" t="n">
        <v>37104</v>
      </c>
      <c r="E75" s="56" t="n">
        <v>37104</v>
      </c>
      <c r="F75" s="49" t="n"/>
      <c r="G75" s="49" t="n"/>
      <c r="H75" s="51" t="n"/>
      <c r="I75" s="51" t="n"/>
      <c r="J75" s="52" t="n"/>
      <c r="K75" s="19" t="n"/>
      <c r="L75" s="19" t="n"/>
      <c r="M75" s="19" t="n"/>
      <c r="N75" s="19" t="n"/>
      <c r="O75" s="6" t="n"/>
      <c r="P75" s="6" t="n"/>
      <c r="Q75" s="6" t="n"/>
      <c r="R75" s="6" t="n"/>
      <c r="S75" s="6" t="n"/>
      <c r="T75" s="6" t="n"/>
    </row>
    <row r="76">
      <c r="A76" s="48" t="n"/>
      <c r="B76" s="49" t="n"/>
      <c r="C76" s="50" t="inlineStr">
        <is>
          <t>Soujanya Stationary Book Stall</t>
        </is>
      </c>
      <c r="D76" s="49" t="n"/>
      <c r="E76" s="49" t="n"/>
      <c r="F76" s="49" t="n"/>
      <c r="G76" s="49" t="n"/>
      <c r="H76" s="51" t="n"/>
      <c r="I76" s="51" t="n"/>
      <c r="J76" s="52" t="n"/>
      <c r="K76" s="19" t="inlineStr">
        <is>
          <t>CALL DISCONNETED  THE CALL | RINGING NOT RESPONDING | MONDAY SEND VINOD HE WILL GIVE CHEQUE | RINGING NOT RESPONDING</t>
        </is>
      </c>
      <c r="L76" s="19" t="n"/>
      <c r="M76" s="19" t="n"/>
      <c r="N76" s="19" t="n"/>
      <c r="O76" s="6" t="n"/>
      <c r="P76" s="6" t="n"/>
      <c r="Q76" s="6" t="n"/>
      <c r="R76" s="6" t="n"/>
      <c r="S76" s="6" t="n"/>
      <c r="T76" s="6" t="n"/>
    </row>
    <row r="77">
      <c r="A77" s="53" t="n">
        <v>46112</v>
      </c>
      <c r="B77" s="54" t="inlineStr">
        <is>
          <t>C-SLG/2488/25-26</t>
        </is>
      </c>
      <c r="C77" s="49" t="n"/>
      <c r="D77" s="55" t="n">
        <v>15873</v>
      </c>
      <c r="E77" s="56" t="n">
        <v>15873</v>
      </c>
      <c r="F77" s="59" t="n">
        <v>46137</v>
      </c>
      <c r="G77" s="58">
        <f>$E$2-F77</f>
        <v/>
      </c>
      <c r="H77" s="51" t="n">
        <v>15873</v>
      </c>
      <c r="I77" s="51">
        <f>E77-H77</f>
        <v/>
      </c>
      <c r="J77" s="52" t="inlineStr">
        <is>
          <t>Paid Cheque - Full Amount</t>
        </is>
      </c>
      <c r="K77" s="19" t="n"/>
      <c r="L77" s="19" t="n"/>
      <c r="M77" s="19" t="n"/>
      <c r="N77" s="19" t="n"/>
      <c r="O77" s="6" t="n"/>
      <c r="P77" s="6" t="n"/>
      <c r="Q77" s="6" t="n"/>
      <c r="R77" s="6" t="n"/>
      <c r="S77" s="6" t="n"/>
      <c r="T77" s="6" t="n"/>
    </row>
    <row r="78">
      <c r="A78" s="53" t="n">
        <v>46118</v>
      </c>
      <c r="B78" s="54" t="inlineStr">
        <is>
          <t>C-SLG/007/26-27</t>
        </is>
      </c>
      <c r="C78" s="49" t="n"/>
      <c r="D78" s="55" t="n">
        <v>7623</v>
      </c>
      <c r="E78" s="56" t="n">
        <v>7623</v>
      </c>
      <c r="F78" s="59" t="n">
        <v>46143</v>
      </c>
      <c r="G78" s="58">
        <f>$E$2-F78</f>
        <v/>
      </c>
      <c r="H78" s="51" t="n">
        <v>7623</v>
      </c>
      <c r="I78" s="51">
        <f>E78-H78</f>
        <v/>
      </c>
      <c r="J78" s="52" t="inlineStr">
        <is>
          <t>Paid Cheque - Full Amount</t>
        </is>
      </c>
      <c r="K78" s="19" t="n"/>
      <c r="L78" s="19" t="n"/>
      <c r="M78" s="19" t="n"/>
      <c r="N78" s="19" t="n"/>
      <c r="O78" s="6" t="n"/>
      <c r="P78" s="6" t="n"/>
      <c r="Q78" s="6" t="n"/>
      <c r="R78" s="6" t="n"/>
      <c r="S78" s="6" t="n"/>
      <c r="T78" s="6" t="n"/>
    </row>
    <row r="79">
      <c r="A79" s="53" t="n">
        <v>46156</v>
      </c>
      <c r="B79" s="54" t="inlineStr">
        <is>
          <t>C-SLG/0130/26-27</t>
        </is>
      </c>
      <c r="C79" s="49" t="n"/>
      <c r="D79" s="55" t="n">
        <v>22152</v>
      </c>
      <c r="E79" s="55" t="n">
        <v>22152</v>
      </c>
      <c r="F79" s="59" t="n">
        <v>46181</v>
      </c>
      <c r="G79" s="49" t="n"/>
      <c r="H79" s="51" t="n"/>
      <c r="I79" s="51" t="n"/>
      <c r="J79" s="52" t="n"/>
      <c r="K79" s="19" t="n"/>
      <c r="L79" s="19" t="n"/>
      <c r="M79" s="19" t="n"/>
      <c r="N79" s="19" t="n"/>
      <c r="O79" s="6" t="n"/>
      <c r="P79" s="6" t="n"/>
      <c r="Q79" s="6" t="n"/>
      <c r="R79" s="6" t="n"/>
      <c r="S79" s="6" t="n"/>
      <c r="T79" s="6" t="n"/>
    </row>
    <row r="80">
      <c r="A80" s="48" t="n"/>
      <c r="B80" s="49" t="n"/>
      <c r="C80" s="49" t="n"/>
      <c r="D80" s="55" t="n">
        <v>45648</v>
      </c>
      <c r="E80" s="56" t="n">
        <v>45648</v>
      </c>
      <c r="F80" s="49" t="n"/>
      <c r="G80" s="49" t="n"/>
      <c r="H80" s="51" t="n"/>
      <c r="I80" s="51" t="n"/>
      <c r="J80" s="52" t="n"/>
      <c r="K80" s="19" t="n"/>
      <c r="L80" s="19" t="n"/>
      <c r="M80" s="19" t="n"/>
      <c r="N80" s="19" t="n"/>
      <c r="O80" s="6" t="n"/>
      <c r="P80" s="6" t="n"/>
      <c r="Q80" s="6" t="n"/>
      <c r="R80" s="6" t="n"/>
      <c r="S80" s="6" t="n"/>
      <c r="T80" s="6" t="n"/>
    </row>
    <row r="81">
      <c r="A81" s="48" t="n"/>
      <c r="B81" s="49" t="n"/>
      <c r="C81" s="47" t="inlineStr">
        <is>
          <t>Sri Chamunda Stationery</t>
        </is>
      </c>
      <c r="D81" s="49" t="n"/>
      <c r="E81" s="49" t="n"/>
      <c r="F81" s="49" t="n"/>
      <c r="G81" s="49" t="n"/>
      <c r="H81" s="51" t="n"/>
      <c r="I81" s="51" t="n"/>
      <c r="J81" s="52" t="n"/>
      <c r="K81" s="19" t="inlineStr">
        <is>
          <t>2 DAYS</t>
        </is>
      </c>
      <c r="L81" s="19" t="n"/>
      <c r="M81" s="19" t="n"/>
      <c r="N81" s="19" t="n"/>
      <c r="O81" s="6" t="n"/>
      <c r="P81" s="6" t="n"/>
      <c r="Q81" s="6" t="n"/>
      <c r="R81" s="6" t="n"/>
      <c r="S81" s="6" t="n"/>
      <c r="T81" s="6" t="n"/>
    </row>
    <row r="82">
      <c r="A82" s="53" t="n">
        <v>46062</v>
      </c>
      <c r="B82" s="54" t="inlineStr">
        <is>
          <t>C-SLG/2204/25-26</t>
        </is>
      </c>
      <c r="C82" s="49" t="n"/>
      <c r="D82" s="55" t="n">
        <v>6352</v>
      </c>
      <c r="E82" s="56" t="n">
        <v>2852</v>
      </c>
      <c r="F82" s="59" t="n">
        <v>46087</v>
      </c>
      <c r="G82" s="58">
        <f>$E$2-F82</f>
        <v/>
      </c>
      <c r="H82" s="51" t="n"/>
      <c r="I82" s="51" t="n"/>
      <c r="J82" s="52" t="inlineStr">
        <is>
          <t>DSO will Collect</t>
        </is>
      </c>
      <c r="K82" s="19" t="n"/>
      <c r="L82" s="19" t="n"/>
      <c r="M82" s="19" t="n"/>
      <c r="N82" s="19" t="n"/>
      <c r="O82" s="6" t="n"/>
      <c r="P82" s="6" t="n"/>
      <c r="Q82" s="6" t="n"/>
      <c r="R82" s="6" t="n"/>
      <c r="S82" s="6" t="n"/>
      <c r="T82" s="6" t="n"/>
    </row>
    <row r="83">
      <c r="A83" s="48" t="n"/>
      <c r="B83" s="49" t="n"/>
      <c r="C83" s="49" t="n"/>
      <c r="D83" s="55" t="n">
        <v>6352</v>
      </c>
      <c r="E83" s="56" t="n">
        <v>2852</v>
      </c>
      <c r="F83" s="49" t="n"/>
      <c r="G83" s="49" t="n"/>
      <c r="H83" s="51" t="n"/>
      <c r="I83" s="51" t="n"/>
      <c r="J83" s="52" t="n"/>
      <c r="K83" s="19" t="n"/>
      <c r="L83" s="19" t="n"/>
      <c r="M83" s="19" t="n"/>
      <c r="N83" s="19" t="n"/>
      <c r="O83" s="6" t="n"/>
      <c r="P83" s="6" t="n"/>
      <c r="Q83" s="6" t="n"/>
      <c r="R83" s="6" t="n"/>
      <c r="S83" s="6" t="n"/>
      <c r="T83" s="6" t="n"/>
    </row>
    <row r="84">
      <c r="A84" s="48" t="n"/>
      <c r="B84" s="49" t="n"/>
      <c r="C84" s="50" t="inlineStr">
        <is>
          <t>SRI DHANALAKSHMI ENTERPRISES</t>
        </is>
      </c>
      <c r="D84" s="49" t="n"/>
      <c r="E84" s="49" t="n"/>
      <c r="F84" s="49" t="n"/>
      <c r="G84" s="49" t="n"/>
      <c r="H84" s="51" t="n"/>
      <c r="I84" s="51" t="n"/>
      <c r="J84" s="52" t="n"/>
      <c r="K84" s="19" t="inlineStr">
        <is>
          <t>ringing not resonding | ringing not resonding | NUMBER  BUSY | HE HIS  IN OUTSATION  AFTER COMING WILL PAY | NUMBER BUSY</t>
        </is>
      </c>
      <c r="L84" s="19" t="n"/>
      <c r="M84" s="19" t="n"/>
      <c r="N84" s="19" t="n"/>
      <c r="O84" s="6" t="n"/>
      <c r="P84" s="6" t="n"/>
      <c r="Q84" s="6" t="n"/>
      <c r="R84" s="6" t="n"/>
      <c r="S84" s="6" t="n"/>
      <c r="T84" s="6" t="n"/>
    </row>
    <row r="85">
      <c r="A85" s="53" t="n">
        <v>46071</v>
      </c>
      <c r="B85" s="54" t="inlineStr">
        <is>
          <t>C-SLG/2255/25-26</t>
        </is>
      </c>
      <c r="C85" s="49" t="n"/>
      <c r="D85" s="55" t="n">
        <v>42121</v>
      </c>
      <c r="E85" s="56" t="n">
        <v>42121</v>
      </c>
      <c r="F85" s="59" t="n">
        <v>46096</v>
      </c>
      <c r="G85" s="58">
        <f>$E$2-F85</f>
        <v/>
      </c>
      <c r="H85" s="51" t="n"/>
      <c r="I85" s="51" t="n"/>
      <c r="J85" s="52" t="n"/>
      <c r="K85" s="19" t="n"/>
      <c r="L85" s="19" t="n"/>
      <c r="M85" s="19" t="n"/>
      <c r="N85" s="19" t="n"/>
      <c r="O85" s="6" t="n"/>
      <c r="P85" s="6" t="n"/>
      <c r="Q85" s="6" t="n"/>
      <c r="R85" s="6" t="n"/>
      <c r="S85" s="6" t="n"/>
      <c r="T85" s="6" t="n"/>
    </row>
    <row r="86">
      <c r="A86" s="48" t="n"/>
      <c r="B86" s="49" t="n"/>
      <c r="C86" s="49" t="n"/>
      <c r="D86" s="55" t="n">
        <v>42121</v>
      </c>
      <c r="E86" s="56" t="n">
        <v>42121</v>
      </c>
      <c r="F86" s="49" t="n"/>
      <c r="G86" s="49" t="n"/>
      <c r="H86" s="51" t="n"/>
      <c r="I86" s="51" t="n"/>
      <c r="J86" s="52" t="inlineStr">
        <is>
          <t>Customer is Out of Station</t>
        </is>
      </c>
      <c r="K86" s="19" t="n"/>
      <c r="L86" s="19" t="n"/>
      <c r="M86" s="19" t="n"/>
      <c r="N86" s="19" t="n"/>
      <c r="O86" s="6" t="n"/>
      <c r="P86" s="6" t="n"/>
      <c r="Q86" s="6" t="n"/>
      <c r="R86" s="6" t="n"/>
      <c r="S86" s="6" t="n"/>
      <c r="T86" s="6" t="n"/>
    </row>
    <row r="87">
      <c r="A87" s="48" t="n"/>
      <c r="B87" s="49" t="n"/>
      <c r="C87" s="50" t="inlineStr">
        <is>
          <t>Sri Hanu Subramanyam Book Center</t>
        </is>
      </c>
      <c r="D87" s="49" t="n"/>
      <c r="E87" s="49" t="n"/>
      <c r="F87" s="49" t="n"/>
      <c r="G87" s="49" t="n"/>
      <c r="H87" s="51" t="n"/>
      <c r="I87" s="51" t="n"/>
      <c r="J87" s="52" t="n"/>
      <c r="K87" s="19" t="inlineStr">
        <is>
          <t>NUMBER  BUSY | NUMBER  BUSY | NUMBER BUSY | NUMBER  BUSY</t>
        </is>
      </c>
      <c r="L87" s="19" t="n"/>
      <c r="M87" s="19" t="n"/>
      <c r="N87" s="19" t="n"/>
      <c r="O87" s="6" t="n"/>
      <c r="P87" s="6" t="n"/>
      <c r="Q87" s="6" t="n"/>
      <c r="R87" s="6" t="n"/>
      <c r="S87" s="6" t="n"/>
      <c r="T87" s="6" t="n"/>
    </row>
    <row r="88">
      <c r="A88" s="53" t="n">
        <v>46111</v>
      </c>
      <c r="B88" s="54" t="inlineStr">
        <is>
          <t>C-SLG/2479/25-26</t>
        </is>
      </c>
      <c r="C88" s="49" t="n"/>
      <c r="D88" s="55" t="n">
        <v>8190</v>
      </c>
      <c r="E88" s="56" t="n">
        <v>8190</v>
      </c>
      <c r="F88" s="59" t="n">
        <v>46136</v>
      </c>
      <c r="G88" s="58">
        <f>$E$2-F88</f>
        <v/>
      </c>
      <c r="H88" s="51" t="n"/>
      <c r="I88" s="51" t="n"/>
      <c r="J88" s="52" t="inlineStr">
        <is>
          <t>Ringing Not Responding</t>
        </is>
      </c>
      <c r="K88" s="19" t="n"/>
      <c r="L88" s="19" t="n"/>
      <c r="M88" s="19" t="n"/>
      <c r="N88" s="19" t="n"/>
      <c r="O88" s="6" t="n"/>
      <c r="P88" s="6" t="n"/>
      <c r="Q88" s="6" t="n"/>
      <c r="R88" s="6" t="n"/>
      <c r="S88" s="6" t="n"/>
      <c r="T88" s="6" t="n"/>
    </row>
    <row r="89">
      <c r="A89" s="48" t="n"/>
      <c r="B89" s="49" t="n"/>
      <c r="C89" s="49" t="n"/>
      <c r="D89" s="55" t="n">
        <v>8190</v>
      </c>
      <c r="E89" s="56" t="n">
        <v>8190</v>
      </c>
      <c r="F89" s="49" t="n"/>
      <c r="G89" s="49" t="n"/>
      <c r="H89" s="51" t="n"/>
      <c r="I89" s="51" t="n"/>
      <c r="J89" s="52" t="n"/>
      <c r="K89" s="19" t="n"/>
      <c r="L89" s="19" t="n"/>
      <c r="M89" s="19" t="n"/>
      <c r="N89" s="19" t="n"/>
      <c r="O89" s="6" t="n"/>
      <c r="P89" s="6" t="n"/>
      <c r="Q89" s="6" t="n"/>
      <c r="R89" s="6" t="n"/>
      <c r="S89" s="6" t="n"/>
      <c r="T89" s="6" t="n"/>
    </row>
    <row r="90">
      <c r="A90" s="48" t="n"/>
      <c r="B90" s="49" t="n"/>
      <c r="C90" s="50" t="inlineStr">
        <is>
          <t>Sri Laxmi Book Centre (DSNR)</t>
        </is>
      </c>
      <c r="D90" s="49" t="n"/>
      <c r="E90" s="49" t="n"/>
      <c r="F90" s="49" t="n"/>
      <c r="G90" s="49" t="n"/>
      <c r="H90" s="51" t="n"/>
      <c r="I90" s="51" t="n"/>
      <c r="J90" s="52" t="n"/>
      <c r="K90" s="19" t="n"/>
      <c r="L90" s="19" t="n"/>
      <c r="M90" s="19" t="n"/>
      <c r="N90" s="19" t="n"/>
      <c r="O90" s="6" t="n"/>
      <c r="P90" s="6" t="n"/>
      <c r="Q90" s="6" t="n"/>
      <c r="R90" s="6" t="n"/>
      <c r="S90" s="6" t="n"/>
      <c r="T90" s="6" t="n"/>
    </row>
    <row r="91">
      <c r="A91" s="53" t="n">
        <v>45954</v>
      </c>
      <c r="B91" s="54" t="inlineStr">
        <is>
          <t>Bounce Charges-155</t>
        </is>
      </c>
      <c r="C91" s="49" t="n"/>
      <c r="D91" s="55" t="n">
        <v>500</v>
      </c>
      <c r="E91" s="56" t="n">
        <v>500</v>
      </c>
      <c r="F91" s="59" t="n">
        <v>45979</v>
      </c>
      <c r="G91" s="58">
        <f>$E$2-F91</f>
        <v/>
      </c>
      <c r="H91" s="51" t="n"/>
      <c r="I91" s="51" t="n"/>
      <c r="J91" s="52" t="inlineStr">
        <is>
          <t>Sent Scanner on Whatsapp</t>
        </is>
      </c>
      <c r="K91" s="19" t="n"/>
      <c r="L91" s="19" t="n"/>
      <c r="M91" s="19" t="n"/>
      <c r="N91" s="19" t="n"/>
      <c r="O91" s="6" t="n"/>
      <c r="P91" s="6" t="n"/>
      <c r="Q91" s="6" t="n"/>
      <c r="R91" s="6" t="n"/>
      <c r="S91" s="6" t="n"/>
      <c r="T91" s="6" t="n"/>
    </row>
    <row r="92">
      <c r="A92" s="53" t="n">
        <v>46118</v>
      </c>
      <c r="B92" s="54" t="inlineStr">
        <is>
          <t>C-SLG/0012/26-27</t>
        </is>
      </c>
      <c r="C92" s="49" t="n"/>
      <c r="D92" s="55" t="n">
        <v>6100</v>
      </c>
      <c r="E92" s="56" t="n">
        <v>6100</v>
      </c>
      <c r="F92" s="59" t="n">
        <v>46143</v>
      </c>
      <c r="G92" s="58">
        <f>$E$2-F92</f>
        <v/>
      </c>
      <c r="H92" s="51" t="n"/>
      <c r="I92" s="51" t="n"/>
      <c r="J92" s="52" t="inlineStr">
        <is>
          <t>Sent Scanner on Whatsapp</t>
        </is>
      </c>
      <c r="K92" s="19" t="n"/>
      <c r="L92" s="19" t="n"/>
      <c r="M92" s="19" t="n"/>
      <c r="N92" s="19" t="n"/>
      <c r="O92" s="6" t="n"/>
      <c r="P92" s="6" t="n"/>
      <c r="Q92" s="6" t="n"/>
      <c r="R92" s="6" t="n"/>
      <c r="S92" s="6" t="n"/>
      <c r="T92" s="6" t="n"/>
    </row>
    <row r="93">
      <c r="A93" s="48" t="n"/>
      <c r="B93" s="49" t="n"/>
      <c r="C93" s="49" t="n"/>
      <c r="D93" s="55" t="n">
        <v>6600</v>
      </c>
      <c r="E93" s="56" t="n">
        <v>6600</v>
      </c>
      <c r="F93" s="49" t="n"/>
      <c r="G93" s="49" t="n"/>
      <c r="H93" s="51" t="n"/>
      <c r="I93" s="51" t="n"/>
      <c r="J93" s="52" t="n"/>
      <c r="K93" s="19" t="n"/>
      <c r="L93" s="19" t="n"/>
      <c r="M93" s="19" t="n"/>
      <c r="N93" s="19" t="n"/>
      <c r="O93" s="6" t="n"/>
      <c r="P93" s="6" t="n"/>
      <c r="Q93" s="6" t="n"/>
      <c r="R93" s="6" t="n"/>
      <c r="S93" s="6" t="n"/>
      <c r="T93" s="6" t="n"/>
    </row>
    <row r="94">
      <c r="A94" s="48" t="n"/>
      <c r="B94" s="49" t="n"/>
      <c r="C94" s="50" t="inlineStr">
        <is>
          <t>Sri Mahalaxmi Stationary and General</t>
        </is>
      </c>
      <c r="D94" s="49" t="n"/>
      <c r="E94" s="49" t="n"/>
      <c r="F94" s="49" t="n"/>
      <c r="G94" s="49" t="n"/>
      <c r="H94" s="51" t="n"/>
      <c r="I94" s="51" t="n"/>
      <c r="J94" s="52" t="n"/>
      <c r="K94" s="19" t="inlineStr">
        <is>
          <t>NUMBER BUSY | NUMBER NOT CONNETED | HE SAID THAT HE WILL PAY WHEN VINOD COME | NUMBER BUSY</t>
        </is>
      </c>
      <c r="L94" s="19" t="n"/>
      <c r="M94" s="19" t="n"/>
      <c r="N94" s="19" t="n"/>
      <c r="O94" s="6" t="n"/>
      <c r="P94" s="6" t="n"/>
      <c r="Q94" s="6" t="n"/>
      <c r="R94" s="6" t="n"/>
      <c r="S94" s="6" t="n"/>
      <c r="T94" s="6" t="n"/>
    </row>
    <row r="95">
      <c r="A95" s="53" t="n">
        <v>46105</v>
      </c>
      <c r="B95" s="54" t="inlineStr">
        <is>
          <t>C-SLG/2431/25-26</t>
        </is>
      </c>
      <c r="C95" s="49" t="n"/>
      <c r="D95" s="55" t="n">
        <v>2287</v>
      </c>
      <c r="E95" s="56" t="n">
        <v>2287</v>
      </c>
      <c r="F95" s="59" t="n">
        <v>46130</v>
      </c>
      <c r="G95" s="58">
        <f>$E$2-F95</f>
        <v/>
      </c>
      <c r="H95" s="51" t="n"/>
      <c r="I95" s="51" t="n"/>
      <c r="J95" s="52" t="n"/>
      <c r="K95" s="19" t="n"/>
      <c r="L95" s="19" t="n"/>
      <c r="M95" s="19" t="n"/>
      <c r="N95" s="19" t="n"/>
      <c r="O95" s="6" t="n"/>
      <c r="P95" s="6" t="n"/>
      <c r="Q95" s="6" t="n"/>
      <c r="R95" s="6" t="n"/>
      <c r="S95" s="6" t="n"/>
      <c r="T95" s="6" t="n"/>
    </row>
    <row r="96">
      <c r="A96" s="48" t="n"/>
      <c r="B96" s="49" t="n"/>
      <c r="C96" s="49" t="n"/>
      <c r="D96" s="55" t="n">
        <v>2287</v>
      </c>
      <c r="E96" s="56" t="n">
        <v>2287</v>
      </c>
      <c r="F96" s="49" t="n"/>
      <c r="G96" s="49" t="n"/>
      <c r="H96" s="51" t="n">
        <v>2287</v>
      </c>
      <c r="I96" s="51">
        <f>E96-H96</f>
        <v/>
      </c>
      <c r="J96" s="52" t="inlineStr">
        <is>
          <t>Paid Online - Full Amount</t>
        </is>
      </c>
      <c r="K96" s="19" t="n"/>
      <c r="L96" s="19" t="n"/>
      <c r="M96" s="19" t="n"/>
      <c r="N96" s="19" t="n"/>
      <c r="O96" s="6" t="n"/>
      <c r="P96" s="6" t="n"/>
      <c r="Q96" s="6" t="n"/>
      <c r="R96" s="6" t="n"/>
      <c r="S96" s="6" t="n"/>
      <c r="T96" s="6" t="n"/>
    </row>
    <row r="97">
      <c r="A97" s="48" t="n"/>
      <c r="B97" s="49" t="n"/>
      <c r="C97" s="50" t="inlineStr">
        <is>
          <t>Srinivasa Stationery &amp; Xerox</t>
        </is>
      </c>
      <c r="D97" s="49" t="n"/>
      <c r="E97" s="49" t="n"/>
      <c r="F97" s="49" t="n"/>
      <c r="G97" s="49" t="n"/>
      <c r="H97" s="51" t="n"/>
      <c r="I97" s="51" t="n"/>
      <c r="J97" s="52" t="n"/>
      <c r="K97" s="19" t="inlineStr">
        <is>
          <t>NUMBER NOT THIER | NUMBER NOT THIER</t>
        </is>
      </c>
      <c r="L97" s="19" t="n"/>
      <c r="M97" s="19" t="n"/>
      <c r="N97" s="19" t="n"/>
      <c r="O97" s="6" t="n"/>
      <c r="P97" s="6" t="n"/>
      <c r="Q97" s="6" t="n"/>
      <c r="R97" s="6" t="n"/>
      <c r="S97" s="6" t="n"/>
      <c r="T97" s="6" t="n"/>
    </row>
    <row r="98">
      <c r="A98" s="53" t="n">
        <v>46126</v>
      </c>
      <c r="B98" s="54" t="inlineStr">
        <is>
          <t>C-SLG/0040/26-27</t>
        </is>
      </c>
      <c r="C98" s="49" t="n"/>
      <c r="D98" s="55" t="n">
        <v>2795</v>
      </c>
      <c r="E98" s="56" t="n">
        <v>2795</v>
      </c>
      <c r="F98" s="59" t="n">
        <v>46126</v>
      </c>
      <c r="G98" s="58">
        <f>$E$2-F98</f>
        <v/>
      </c>
      <c r="H98" s="51" t="n"/>
      <c r="I98" s="51" t="n"/>
      <c r="J98" s="52" t="inlineStr">
        <is>
          <t>Number Not Avilable</t>
        </is>
      </c>
      <c r="K98" s="19" t="n"/>
      <c r="L98" s="19" t="n"/>
      <c r="M98" s="19" t="n"/>
      <c r="N98" s="19" t="n"/>
      <c r="O98" s="6" t="n"/>
      <c r="P98" s="6" t="n"/>
      <c r="Q98" s="6" t="n"/>
      <c r="R98" s="6" t="n"/>
      <c r="S98" s="6" t="n"/>
      <c r="T98" s="6" t="n"/>
    </row>
    <row r="99">
      <c r="A99" s="48" t="n"/>
      <c r="B99" s="49" t="n"/>
      <c r="C99" s="49" t="n"/>
      <c r="D99" s="55" t="n">
        <v>2795</v>
      </c>
      <c r="E99" s="56" t="n">
        <v>2795</v>
      </c>
      <c r="F99" s="49" t="n"/>
      <c r="G99" s="49" t="n"/>
      <c r="H99" s="51" t="n"/>
      <c r="I99" s="51" t="n"/>
      <c r="J99" s="52" t="n"/>
      <c r="K99" s="19" t="n"/>
      <c r="L99" s="19" t="n"/>
      <c r="M99" s="19" t="n"/>
      <c r="N99" s="19" t="n"/>
      <c r="O99" s="6" t="n"/>
      <c r="P99" s="6" t="n"/>
      <c r="Q99" s="6" t="n"/>
      <c r="R99" s="6" t="n"/>
      <c r="S99" s="6" t="n"/>
      <c r="T99" s="6" t="n"/>
    </row>
    <row r="100">
      <c r="A100" s="48" t="n"/>
      <c r="B100" s="49" t="n"/>
      <c r="C100" s="50" t="inlineStr">
        <is>
          <t>Sri Ram Plastic</t>
        </is>
      </c>
      <c r="D100" s="49" t="n"/>
      <c r="E100" s="49" t="n"/>
      <c r="F100" s="49" t="n"/>
      <c r="G100" s="49" t="n"/>
      <c r="H100" s="51" t="n"/>
      <c r="I100" s="51" t="n"/>
      <c r="J100" s="52" t="n"/>
      <c r="K100" s="19" t="inlineStr">
        <is>
          <t>NUMBER NOT CONNETED | HE WILL  PAY IN 1 WEEK  NO SEASON | RINGING  NOT RESPONDING | AFTER 10 DAYS HE WILL PAY</t>
        </is>
      </c>
      <c r="L100" s="19" t="n"/>
      <c r="M100" s="19" t="n"/>
      <c r="N100" s="19" t="n"/>
      <c r="O100" s="6" t="n"/>
      <c r="P100" s="6" t="n"/>
      <c r="Q100" s="6" t="n"/>
      <c r="R100" s="6" t="n"/>
      <c r="S100" s="6" t="n"/>
      <c r="T100" s="6" t="n"/>
    </row>
    <row r="101">
      <c r="A101" s="53" t="n">
        <v>46112</v>
      </c>
      <c r="B101" s="54" t="inlineStr">
        <is>
          <t>C-SLG/2495/25-26</t>
        </is>
      </c>
      <c r="C101" s="49" t="n"/>
      <c r="D101" s="55" t="n">
        <v>96214</v>
      </c>
      <c r="E101" s="56" t="n">
        <v>96214</v>
      </c>
      <c r="F101" s="59" t="n">
        <v>46137</v>
      </c>
      <c r="G101" s="58">
        <f>$E$2-F101</f>
        <v/>
      </c>
      <c r="H101" s="51" t="n"/>
      <c r="I101" s="51" t="n"/>
      <c r="J101" s="52" t="n"/>
      <c r="K101" s="19" t="n"/>
      <c r="L101" s="19" t="n"/>
      <c r="M101" s="19" t="n"/>
      <c r="N101" s="19" t="n"/>
      <c r="O101" s="6" t="n"/>
      <c r="P101" s="6" t="n"/>
      <c r="Q101" s="6" t="n"/>
      <c r="R101" s="6" t="n"/>
      <c r="S101" s="6" t="n"/>
      <c r="T101" s="6" t="n"/>
    </row>
    <row r="102">
      <c r="A102" s="48" t="n"/>
      <c r="B102" s="49" t="n"/>
      <c r="C102" s="49" t="n"/>
      <c r="D102" s="55" t="n">
        <v>96214</v>
      </c>
      <c r="E102" s="56" t="n">
        <v>96214</v>
      </c>
      <c r="F102" s="49" t="n"/>
      <c r="G102" s="49" t="n"/>
      <c r="H102" s="51" t="n"/>
      <c r="I102" s="51" t="n"/>
      <c r="J102" s="52" t="n"/>
      <c r="K102" s="19" t="n"/>
      <c r="L102" s="19" t="n"/>
      <c r="M102" s="19" t="n"/>
      <c r="N102" s="19" t="n"/>
      <c r="O102" s="6" t="n"/>
      <c r="P102" s="6" t="n"/>
      <c r="Q102" s="6" t="n"/>
      <c r="R102" s="6" t="n"/>
      <c r="S102" s="6" t="n"/>
      <c r="T102" s="6" t="n"/>
    </row>
    <row r="103">
      <c r="A103" s="48" t="n"/>
      <c r="B103" s="49" t="n"/>
      <c r="C103" s="50" t="inlineStr">
        <is>
          <t>Sri Sai Books &amp; Gifts (Chaithanyapuri)</t>
        </is>
      </c>
      <c r="D103" s="49" t="n"/>
      <c r="E103" s="49" t="n"/>
      <c r="F103" s="49" t="n"/>
      <c r="G103" s="49" t="n"/>
      <c r="H103" s="51" t="n"/>
      <c r="I103" s="51" t="n"/>
      <c r="J103" s="52" t="n"/>
      <c r="K103" s="19" t="inlineStr">
        <is>
          <t>number not their | HE WILL PAY ONSATURDAY | THEY WILL PAY</t>
        </is>
      </c>
      <c r="L103" s="19" t="n"/>
      <c r="M103" s="19" t="n"/>
      <c r="N103" s="19" t="n"/>
      <c r="O103" s="6" t="n"/>
      <c r="P103" s="6" t="n"/>
      <c r="Q103" s="6" t="n"/>
      <c r="R103" s="6" t="n"/>
      <c r="S103" s="6" t="n"/>
      <c r="T103" s="6" t="n"/>
    </row>
    <row r="104">
      <c r="A104" s="53" t="n">
        <v>46101</v>
      </c>
      <c r="B104" s="54" t="inlineStr">
        <is>
          <t>C-SLG/2413/25-26</t>
        </is>
      </c>
      <c r="C104" s="49" t="n"/>
      <c r="D104" s="55" t="n">
        <v>3580</v>
      </c>
      <c r="E104" s="56" t="n">
        <v>3580</v>
      </c>
      <c r="F104" s="59" t="n">
        <v>46126</v>
      </c>
      <c r="G104" s="58">
        <f>$E$2-F104</f>
        <v/>
      </c>
      <c r="H104" s="51" t="n"/>
      <c r="I104" s="51" t="n"/>
      <c r="J104" s="52" t="inlineStr">
        <is>
          <t>Sent Scanner on WhatsApp</t>
        </is>
      </c>
      <c r="K104" s="19" t="n"/>
      <c r="L104" s="19" t="n"/>
      <c r="M104" s="19" t="n"/>
      <c r="N104" s="19" t="n"/>
      <c r="O104" s="6" t="n"/>
      <c r="P104" s="6" t="n"/>
      <c r="Q104" s="6" t="n"/>
      <c r="R104" s="6" t="n"/>
      <c r="S104" s="6" t="n"/>
      <c r="T104" s="6" t="n"/>
    </row>
    <row r="105">
      <c r="A105" s="48" t="n"/>
      <c r="B105" s="49" t="n"/>
      <c r="C105" s="49" t="n"/>
      <c r="D105" s="55" t="n">
        <v>3580</v>
      </c>
      <c r="E105" s="56" t="n">
        <v>3580</v>
      </c>
      <c r="F105" s="49" t="n"/>
      <c r="G105" s="49" t="n"/>
      <c r="H105" s="51" t="n"/>
      <c r="I105" s="51" t="n"/>
      <c r="J105" s="52" t="n"/>
      <c r="K105" s="19" t="n"/>
      <c r="L105" s="19" t="n"/>
      <c r="M105" s="19" t="n"/>
      <c r="N105" s="19" t="n"/>
      <c r="O105" s="6" t="n"/>
      <c r="P105" s="6" t="n"/>
      <c r="Q105" s="6" t="n"/>
      <c r="R105" s="6" t="n"/>
      <c r="S105" s="6" t="n"/>
      <c r="T105" s="6" t="n"/>
    </row>
    <row r="106">
      <c r="A106" s="48" t="n"/>
      <c r="B106" s="49" t="n"/>
      <c r="C106" s="50" t="inlineStr">
        <is>
          <t>SRI SAI RAM STATIONERY(RK PURAM)</t>
        </is>
      </c>
      <c r="D106" s="49" t="n"/>
      <c r="E106" s="49" t="n"/>
      <c r="F106" s="49" t="n"/>
      <c r="G106" s="49" t="n"/>
      <c r="H106" s="51" t="n"/>
      <c r="I106" s="51" t="n"/>
      <c r="J106" s="52" t="n"/>
      <c r="K106" s="19" t="n"/>
      <c r="L106" s="19" t="n"/>
      <c r="M106" s="19" t="n"/>
      <c r="N106" s="19" t="n"/>
      <c r="O106" s="6" t="n"/>
      <c r="P106" s="6" t="n"/>
      <c r="Q106" s="6" t="n"/>
      <c r="R106" s="6" t="n"/>
      <c r="S106" s="6" t="n"/>
      <c r="T106" s="6" t="n"/>
    </row>
    <row r="107">
      <c r="A107" s="53" t="n">
        <v>46107</v>
      </c>
      <c r="B107" s="54" t="inlineStr">
        <is>
          <t>C-SLG/2452/25-26</t>
        </is>
      </c>
      <c r="C107" s="49" t="n"/>
      <c r="D107" s="55" t="n">
        <v>100</v>
      </c>
      <c r="E107" s="56" t="n">
        <v>100</v>
      </c>
      <c r="F107" s="59" t="n">
        <v>46132</v>
      </c>
      <c r="G107" s="58">
        <f>$E$2-F107</f>
        <v/>
      </c>
      <c r="H107" s="51" t="n"/>
      <c r="I107" s="51" t="n"/>
      <c r="J107" s="52" t="n"/>
      <c r="K107" s="19" t="n"/>
      <c r="L107" s="19" t="n"/>
      <c r="M107" s="19" t="n"/>
      <c r="N107" s="19" t="n"/>
      <c r="O107" s="6" t="n"/>
      <c r="P107" s="6" t="n"/>
      <c r="Q107" s="6" t="n"/>
      <c r="R107" s="6" t="n"/>
      <c r="S107" s="6" t="n"/>
      <c r="T107" s="6" t="n"/>
    </row>
    <row r="108">
      <c r="A108" s="48" t="n"/>
      <c r="B108" s="49" t="n"/>
      <c r="C108" s="49" t="n"/>
      <c r="D108" s="55" t="n">
        <v>100</v>
      </c>
      <c r="E108" s="56" t="n">
        <v>100</v>
      </c>
      <c r="F108" s="49" t="n"/>
      <c r="G108" s="49" t="n"/>
      <c r="H108" s="51" t="n"/>
      <c r="I108" s="51" t="n"/>
      <c r="J108" s="52" t="n"/>
      <c r="K108" s="19" t="n"/>
      <c r="L108" s="19" t="n"/>
      <c r="M108" s="19" t="n"/>
      <c r="N108" s="19" t="n"/>
      <c r="O108" s="6" t="n"/>
      <c r="P108" s="6" t="n"/>
      <c r="Q108" s="6" t="n"/>
      <c r="R108" s="6" t="n"/>
      <c r="S108" s="6" t="n"/>
      <c r="T108" s="6" t="n"/>
    </row>
    <row r="109">
      <c r="A109" s="48" t="n"/>
      <c r="B109" s="49" t="n"/>
      <c r="C109" s="50" t="inlineStr">
        <is>
          <t>SRI SAI SARASWATHI STATIONARY</t>
        </is>
      </c>
      <c r="D109" s="49" t="n"/>
      <c r="E109" s="49" t="n"/>
      <c r="F109" s="49" t="n"/>
      <c r="G109" s="49" t="n"/>
      <c r="H109" s="51" t="n"/>
      <c r="I109" s="51" t="n"/>
      <c r="J109" s="52" t="n"/>
      <c r="K109" s="19" t="inlineStr">
        <is>
          <t>number not their | number not their | paid online</t>
        </is>
      </c>
      <c r="L109" s="19" t="n"/>
      <c r="M109" s="19" t="n"/>
      <c r="N109" s="19" t="n"/>
      <c r="O109" s="6" t="n"/>
      <c r="P109" s="6" t="n"/>
      <c r="Q109" s="6" t="n"/>
      <c r="R109" s="6" t="n"/>
      <c r="S109" s="6" t="n"/>
      <c r="T109" s="6" t="n"/>
    </row>
    <row r="110">
      <c r="A110" s="53" t="n">
        <v>46098</v>
      </c>
      <c r="B110" s="54" t="inlineStr">
        <is>
          <t>C-SLG/2399/25-26</t>
        </is>
      </c>
      <c r="C110" s="49" t="n"/>
      <c r="D110" s="55" t="n">
        <v>886</v>
      </c>
      <c r="E110" s="56" t="n">
        <v>886</v>
      </c>
      <c r="F110" s="59" t="n">
        <v>46123</v>
      </c>
      <c r="G110" s="58">
        <f>$E$2-F110</f>
        <v/>
      </c>
      <c r="H110" s="51" t="n"/>
      <c r="I110" s="51" t="n"/>
      <c r="J110" s="52" t="n"/>
      <c r="K110" s="19" t="n"/>
      <c r="L110" s="19" t="n"/>
      <c r="M110" s="19" t="n"/>
      <c r="N110" s="19" t="n"/>
      <c r="O110" s="6" t="n"/>
      <c r="P110" s="6" t="n"/>
      <c r="Q110" s="6" t="n"/>
      <c r="R110" s="6" t="n"/>
      <c r="S110" s="6" t="n"/>
      <c r="T110" s="6" t="n"/>
    </row>
    <row r="111">
      <c r="A111" s="48" t="n"/>
      <c r="B111" s="49" t="n"/>
      <c r="C111" s="49" t="n"/>
      <c r="D111" s="55" t="n">
        <v>886</v>
      </c>
      <c r="E111" s="56" t="n">
        <v>886</v>
      </c>
      <c r="F111" s="49" t="n"/>
      <c r="G111" s="49" t="n"/>
      <c r="H111" s="51">
        <f>886</f>
        <v/>
      </c>
      <c r="I111" s="51">
        <f>E111-H111</f>
        <v/>
      </c>
      <c r="J111" s="52" t="inlineStr">
        <is>
          <t>Paid Online - Full Amount</t>
        </is>
      </c>
      <c r="K111" s="19" t="n"/>
      <c r="L111" s="19" t="n"/>
      <c r="M111" s="19" t="n"/>
      <c r="N111" s="19" t="n"/>
      <c r="O111" s="6" t="n"/>
      <c r="P111" s="6" t="n"/>
      <c r="Q111" s="6" t="n"/>
      <c r="R111" s="6" t="n"/>
      <c r="S111" s="6" t="n"/>
      <c r="T111" s="6" t="n"/>
    </row>
    <row r="112">
      <c r="A112" s="48" t="n"/>
      <c r="B112" s="49" t="n"/>
      <c r="C112" s="50" t="inlineStr">
        <is>
          <t>Sri Sai Tirumala Book &amp; Guides - Badangpet</t>
        </is>
      </c>
      <c r="D112" s="49" t="n"/>
      <c r="E112" s="49" t="n"/>
      <c r="F112" s="49" t="n"/>
      <c r="G112" s="49" t="n"/>
      <c r="H112" s="51" t="n"/>
      <c r="I112" s="51" t="n"/>
      <c r="J112" s="52" t="n"/>
      <c r="K112" s="19" t="inlineStr">
        <is>
          <t>he will pay in today eveng | ringing not resonding | ringing not resonding | ringing not resonding | ringing not resonding</t>
        </is>
      </c>
      <c r="L112" s="19" t="n"/>
      <c r="M112" s="19" t="n"/>
      <c r="N112" s="19" t="n"/>
      <c r="O112" s="6" t="n"/>
      <c r="P112" s="6" t="n"/>
      <c r="Q112" s="6" t="n"/>
      <c r="R112" s="6" t="n"/>
      <c r="S112" s="6" t="n"/>
      <c r="T112" s="6" t="n"/>
    </row>
    <row r="113">
      <c r="A113" s="53" t="n">
        <v>46013</v>
      </c>
      <c r="B113" s="54" t="inlineStr">
        <is>
          <t>C-SLG/1957/25-26</t>
        </is>
      </c>
      <c r="C113" s="49" t="n"/>
      <c r="D113" s="55" t="n">
        <v>13732</v>
      </c>
      <c r="E113" s="56" t="n">
        <v>2232</v>
      </c>
      <c r="F113" s="59" t="n">
        <v>46038</v>
      </c>
      <c r="G113" s="58">
        <f>$E$2-F113</f>
        <v/>
      </c>
      <c r="H113" s="51" t="n"/>
      <c r="I113" s="51" t="n"/>
      <c r="J113" s="52" t="n"/>
      <c r="K113" s="19" t="n"/>
      <c r="L113" s="19" t="n"/>
      <c r="M113" s="19" t="n"/>
      <c r="N113" s="19" t="n"/>
      <c r="O113" s="6" t="n"/>
      <c r="P113" s="6" t="n"/>
      <c r="Q113" s="6" t="n"/>
      <c r="R113" s="6" t="n"/>
      <c r="S113" s="6" t="n"/>
      <c r="T113" s="6" t="n"/>
    </row>
    <row r="114">
      <c r="A114" s="48" t="n"/>
      <c r="B114" s="49" t="n"/>
      <c r="C114" s="49" t="n"/>
      <c r="D114" s="55" t="n">
        <v>13732</v>
      </c>
      <c r="E114" s="56" t="n">
        <v>2232</v>
      </c>
      <c r="F114" s="49" t="n"/>
      <c r="G114" s="49" t="n"/>
      <c r="H114" s="51" t="n"/>
      <c r="I114" s="51" t="n"/>
      <c r="J114" s="52" t="inlineStr">
        <is>
          <t>Not Responding</t>
        </is>
      </c>
      <c r="K114" s="19" t="n"/>
      <c r="L114" s="19" t="n"/>
      <c r="M114" s="19" t="n"/>
      <c r="N114" s="19" t="n"/>
      <c r="O114" s="6" t="n"/>
      <c r="P114" s="6" t="n"/>
      <c r="Q114" s="6" t="n"/>
      <c r="R114" s="6" t="n"/>
      <c r="S114" s="6" t="n"/>
      <c r="T114" s="6" t="n"/>
    </row>
    <row r="115">
      <c r="A115" s="48" t="n"/>
      <c r="B115" s="49" t="n"/>
      <c r="C115" s="97" t="inlineStr">
        <is>
          <t>SRI SAI TIRUMALA BOOKS &amp; GUIDES (Santhosh Nagar)</t>
        </is>
      </c>
      <c r="D115" s="49" t="n"/>
      <c r="E115" s="49" t="n"/>
      <c r="F115" s="49" t="n"/>
      <c r="G115" s="49" t="n"/>
      <c r="H115" s="51" t="n"/>
      <c r="I115" s="51" t="n"/>
      <c r="J115" s="52" t="n"/>
      <c r="K115" s="19" t="n"/>
      <c r="L115" s="19" t="n"/>
      <c r="M115" s="19" t="n"/>
      <c r="N115" s="19" t="n"/>
      <c r="O115" s="6" t="n"/>
      <c r="P115" s="6" t="n"/>
      <c r="Q115" s="6" t="n"/>
      <c r="R115" s="6" t="n"/>
      <c r="S115" s="6" t="n"/>
      <c r="T115" s="6" t="n"/>
    </row>
    <row r="116">
      <c r="A116" s="53" t="n">
        <v>46129</v>
      </c>
      <c r="B116" s="54" t="inlineStr">
        <is>
          <t>C-SLG/0047/26-27</t>
        </is>
      </c>
      <c r="C116" s="49" t="n"/>
      <c r="D116" s="55" t="n">
        <v>4988</v>
      </c>
      <c r="E116" s="56" t="n">
        <v>4988</v>
      </c>
      <c r="F116" s="59" t="n">
        <v>46154</v>
      </c>
      <c r="G116" s="58">
        <f>$E$2-F116</f>
        <v/>
      </c>
      <c r="H116" s="51" t="n"/>
      <c r="I116" s="51" t="n"/>
      <c r="J116" s="52" t="n"/>
      <c r="K116" s="19" t="n"/>
      <c r="L116" s="19" t="n"/>
      <c r="M116" s="19" t="n"/>
      <c r="N116" s="19" t="n"/>
      <c r="O116" s="6" t="n"/>
      <c r="P116" s="6" t="n"/>
      <c r="Q116" s="6" t="n"/>
      <c r="R116" s="6" t="n"/>
      <c r="S116" s="6" t="n"/>
      <c r="T116" s="6" t="n"/>
    </row>
    <row r="117">
      <c r="A117" s="48" t="n"/>
      <c r="B117" s="49" t="n"/>
      <c r="C117" s="49" t="n"/>
      <c r="D117" s="55" t="n">
        <v>4988</v>
      </c>
      <c r="E117" s="56" t="n">
        <v>4988</v>
      </c>
      <c r="F117" s="49" t="n"/>
      <c r="G117" s="49" t="n"/>
      <c r="H117" s="51" t="n"/>
      <c r="I117" s="51" t="n"/>
      <c r="J117" s="52" t="n"/>
      <c r="K117" s="19" t="n"/>
      <c r="L117" s="19" t="n"/>
      <c r="M117" s="19" t="n"/>
      <c r="N117" s="19" t="n"/>
      <c r="O117" s="6" t="n"/>
      <c r="P117" s="6" t="n"/>
      <c r="Q117" s="6" t="n"/>
      <c r="R117" s="6" t="n"/>
      <c r="S117" s="6" t="n"/>
      <c r="T117" s="6" t="n"/>
    </row>
    <row r="118">
      <c r="A118" s="48" t="n"/>
      <c r="B118" s="49" t="n"/>
      <c r="C118" s="50" t="inlineStr">
        <is>
          <t>Sri Siddi Vinayaka Book Center</t>
        </is>
      </c>
      <c r="D118" s="49" t="n"/>
      <c r="E118" s="49" t="n"/>
      <c r="F118" s="49" t="n"/>
      <c r="G118" s="49" t="n"/>
      <c r="H118" s="51" t="n"/>
      <c r="I118" s="51" t="n"/>
      <c r="J118" s="52" t="n"/>
      <c r="K118" s="19" t="inlineStr">
        <is>
          <t>ringing not resonding | NUMBER BUSY | HEWILL PAYTODAY EOD | ringing not resonding | paid online</t>
        </is>
      </c>
      <c r="L118" s="19" t="n"/>
      <c r="M118" s="19" t="n"/>
      <c r="N118" s="19" t="n"/>
      <c r="O118" s="6" t="n"/>
      <c r="P118" s="6" t="n"/>
      <c r="Q118" s="6" t="n"/>
      <c r="R118" s="6" t="n"/>
      <c r="S118" s="6" t="n"/>
      <c r="T118" s="6" t="n"/>
    </row>
    <row r="119">
      <c r="A119" s="53" t="n">
        <v>46050</v>
      </c>
      <c r="B119" s="54" t="inlineStr">
        <is>
          <t>C-SLG/2124/25-26</t>
        </is>
      </c>
      <c r="C119" s="49" t="n"/>
      <c r="D119" s="55" t="n">
        <v>12200</v>
      </c>
      <c r="E119" s="56" t="n">
        <v>6200</v>
      </c>
      <c r="F119" s="59" t="n">
        <v>46075</v>
      </c>
      <c r="G119" s="58">
        <f>$E$2-F119</f>
        <v/>
      </c>
      <c r="H119" s="51" t="n"/>
      <c r="I119" s="51" t="n"/>
      <c r="J119" s="52" t="n"/>
      <c r="K119" s="19" t="n"/>
      <c r="L119" s="19" t="n"/>
      <c r="M119" s="19" t="n"/>
      <c r="N119" s="19" t="n"/>
      <c r="O119" s="6" t="n"/>
      <c r="P119" s="6" t="n"/>
      <c r="Q119" s="6" t="n"/>
      <c r="R119" s="6" t="n"/>
      <c r="S119" s="6" t="n"/>
      <c r="T119" s="6" t="n"/>
    </row>
    <row r="120">
      <c r="A120" s="48" t="n"/>
      <c r="B120" s="49" t="n"/>
      <c r="C120" s="49" t="n"/>
      <c r="D120" s="55" t="n">
        <v>12200</v>
      </c>
      <c r="E120" s="56" t="n">
        <v>6200</v>
      </c>
      <c r="F120" s="49" t="n"/>
      <c r="G120" s="49" t="n"/>
      <c r="H120" s="51">
        <f>6200</f>
        <v/>
      </c>
      <c r="I120" s="51">
        <f>E120-H120</f>
        <v/>
      </c>
      <c r="J120" s="52" t="inlineStr">
        <is>
          <t>Paid Online - Full Amount</t>
        </is>
      </c>
      <c r="K120" s="19" t="n"/>
      <c r="L120" s="19" t="n"/>
      <c r="M120" s="19" t="n"/>
      <c r="N120" s="19" t="n"/>
      <c r="O120" s="6" t="n"/>
      <c r="P120" s="6" t="n"/>
      <c r="Q120" s="6" t="n"/>
      <c r="R120" s="6" t="n"/>
      <c r="S120" s="6" t="n"/>
      <c r="T120" s="6" t="n"/>
    </row>
    <row r="121">
      <c r="A121" s="48" t="n"/>
      <c r="B121" s="49" t="n"/>
      <c r="C121" s="50" t="inlineStr">
        <is>
          <t>Sri Venkateshwara Book Centre.I S</t>
        </is>
      </c>
      <c r="D121" s="49" t="n"/>
      <c r="E121" s="49" t="n"/>
      <c r="F121" s="49" t="n"/>
      <c r="G121" s="49" t="n"/>
      <c r="H121" s="51" t="n"/>
      <c r="I121" s="51" t="n"/>
      <c r="J121" s="52" t="n"/>
      <c r="K121" s="19" t="n"/>
      <c r="L121" s="19" t="n"/>
      <c r="M121" s="19" t="n"/>
      <c r="N121" s="19" t="n"/>
      <c r="O121" s="6" t="n"/>
      <c r="P121" s="6" t="n"/>
      <c r="Q121" s="6" t="n"/>
      <c r="R121" s="6" t="n"/>
      <c r="S121" s="6" t="n"/>
      <c r="T121" s="6" t="n"/>
    </row>
    <row r="122">
      <c r="A122" s="53" t="n">
        <v>46129</v>
      </c>
      <c r="B122" s="54" t="inlineStr">
        <is>
          <t>C-SLG/0051/26-27</t>
        </is>
      </c>
      <c r="C122" s="49" t="n"/>
      <c r="D122" s="55" t="n">
        <v>2214</v>
      </c>
      <c r="E122" s="56" t="n">
        <v>2214</v>
      </c>
      <c r="F122" s="59" t="n">
        <v>46154</v>
      </c>
      <c r="G122" s="58">
        <f>$E$2-F122</f>
        <v/>
      </c>
      <c r="H122" s="51" t="n"/>
      <c r="I122" s="51" t="n"/>
      <c r="J122" s="52" t="n"/>
      <c r="K122" s="19" t="n"/>
      <c r="L122" s="19" t="n"/>
      <c r="M122" s="19" t="n"/>
      <c r="N122" s="19" t="n"/>
      <c r="O122" s="6" t="n"/>
      <c r="P122" s="6" t="n"/>
      <c r="Q122" s="6" t="n"/>
      <c r="R122" s="6" t="n"/>
      <c r="S122" s="6" t="n"/>
      <c r="T122" s="6" t="n"/>
    </row>
    <row r="123">
      <c r="A123" s="48" t="n"/>
      <c r="B123" s="49" t="n"/>
      <c r="C123" s="49" t="n"/>
      <c r="D123" s="55" t="n">
        <v>2214</v>
      </c>
      <c r="E123" s="56" t="n">
        <v>2214</v>
      </c>
      <c r="F123" s="49" t="n"/>
      <c r="G123" s="49" t="n"/>
      <c r="H123" s="51" t="n"/>
      <c r="I123" s="51" t="n"/>
      <c r="J123" s="52" t="n"/>
      <c r="K123" s="19" t="n"/>
      <c r="L123" s="19" t="n"/>
      <c r="M123" s="19" t="n"/>
      <c r="N123" s="19" t="n"/>
      <c r="O123" s="6" t="n"/>
      <c r="P123" s="6" t="n"/>
      <c r="Q123" s="6" t="n"/>
      <c r="R123" s="6" t="n"/>
      <c r="S123" s="6" t="n"/>
      <c r="T123" s="6" t="n"/>
    </row>
    <row r="124">
      <c r="A124" s="48" t="n"/>
      <c r="B124" s="49" t="n"/>
      <c r="C124" s="50" t="inlineStr">
        <is>
          <t>Sri Venkatheswara Book World</t>
        </is>
      </c>
      <c r="D124" s="49" t="n"/>
      <c r="E124" s="49" t="n"/>
      <c r="F124" s="49" t="n"/>
      <c r="G124" s="49" t="n"/>
      <c r="H124" s="51" t="n"/>
      <c r="I124" s="51" t="n"/>
      <c r="J124" s="52" t="n"/>
      <c r="K124" s="19" t="inlineStr">
        <is>
          <t>ringing not resonding | ringing not resonding | ringing not resonding | ringing not resonding | ringing not resonding</t>
        </is>
      </c>
      <c r="L124" s="19" t="n"/>
      <c r="M124" s="19" t="n"/>
      <c r="N124" s="19" t="n"/>
      <c r="O124" s="6" t="n"/>
      <c r="P124" s="6" t="n"/>
      <c r="Q124" s="6" t="n"/>
      <c r="R124" s="6" t="n"/>
      <c r="S124" s="6" t="n"/>
      <c r="T124" s="6" t="n"/>
    </row>
    <row r="125">
      <c r="A125" s="53" t="n">
        <v>46099</v>
      </c>
      <c r="B125" s="54" t="inlineStr">
        <is>
          <t>C-SLG/2406/25-26</t>
        </is>
      </c>
      <c r="C125" s="49" t="n"/>
      <c r="D125" s="55" t="n">
        <v>104942</v>
      </c>
      <c r="E125" s="56" t="n">
        <v>104942</v>
      </c>
      <c r="F125" s="59" t="n">
        <v>46124</v>
      </c>
      <c r="G125" s="58">
        <f>$E$2-F125</f>
        <v/>
      </c>
      <c r="H125" s="51" t="n"/>
      <c r="I125" s="51" t="n"/>
      <c r="J125" s="52" t="inlineStr">
        <is>
          <t>Not Responding - Send DSO</t>
        </is>
      </c>
      <c r="K125" s="19" t="n"/>
      <c r="L125" s="19" t="n"/>
      <c r="M125" s="19" t="n"/>
      <c r="N125" s="19" t="n"/>
      <c r="O125" s="6" t="n"/>
      <c r="P125" s="6" t="n"/>
      <c r="Q125" s="6" t="n"/>
      <c r="R125" s="6" t="n"/>
      <c r="S125" s="6" t="n"/>
      <c r="T125" s="6" t="n"/>
    </row>
    <row r="126">
      <c r="A126" s="48" t="n"/>
      <c r="B126" s="49" t="n"/>
      <c r="C126" s="49" t="n"/>
      <c r="D126" s="55" t="n">
        <v>104942</v>
      </c>
      <c r="E126" s="56" t="n">
        <v>104942</v>
      </c>
      <c r="F126" s="49" t="n"/>
      <c r="G126" s="49" t="n"/>
      <c r="H126" s="51" t="n"/>
      <c r="I126" s="51" t="n"/>
      <c r="J126" s="52" t="n"/>
      <c r="K126" s="19" t="n"/>
      <c r="L126" s="19" t="n"/>
      <c r="M126" s="19" t="n"/>
      <c r="N126" s="19" t="n"/>
      <c r="O126" s="6" t="n"/>
      <c r="P126" s="6" t="n"/>
      <c r="Q126" s="6" t="n"/>
      <c r="R126" s="6" t="n"/>
      <c r="S126" s="6" t="n"/>
      <c r="T126" s="6" t="n"/>
    </row>
    <row r="127">
      <c r="A127" s="48" t="n"/>
      <c r="B127" s="49" t="n"/>
      <c r="C127" s="50" t="inlineStr">
        <is>
          <t>SR VENKATESHWARA BOOK WORLD</t>
        </is>
      </c>
      <c r="D127" s="49" t="n"/>
      <c r="E127" s="49" t="n"/>
      <c r="F127" s="49" t="n"/>
      <c r="G127" s="49" t="n"/>
      <c r="H127" s="51" t="n"/>
      <c r="I127" s="51" t="n"/>
      <c r="J127" s="52" t="n"/>
      <c r="K127" s="19" t="inlineStr">
        <is>
          <t>ringing not resonding | ringing not resonding | ringing not resonding | ringing not resonding</t>
        </is>
      </c>
      <c r="L127" s="19" t="n"/>
      <c r="M127" s="19" t="n"/>
      <c r="N127" s="19" t="n"/>
      <c r="O127" s="6" t="n"/>
      <c r="P127" s="6" t="n"/>
      <c r="Q127" s="6" t="n"/>
      <c r="R127" s="6" t="n"/>
      <c r="S127" s="6" t="n"/>
      <c r="T127" s="6" t="n"/>
    </row>
    <row r="128">
      <c r="A128" s="53" t="n">
        <v>46092</v>
      </c>
      <c r="B128" s="55" t="inlineStr">
        <is>
          <t>C-SLG/2372/25-26</t>
        </is>
      </c>
      <c r="C128" s="49" t="n"/>
      <c r="D128" s="55" t="n">
        <v>11511</v>
      </c>
      <c r="E128" s="56" t="n">
        <v>11511</v>
      </c>
      <c r="F128" s="59" t="n">
        <v>46117</v>
      </c>
      <c r="G128" s="58">
        <f>$E$2-F128</f>
        <v/>
      </c>
      <c r="H128" s="51" t="n">
        <v>11511</v>
      </c>
      <c r="I128" s="51">
        <f>E128-H128</f>
        <v/>
      </c>
      <c r="J128" s="52" t="inlineStr">
        <is>
          <t>Paid Online - Full Amount</t>
        </is>
      </c>
      <c r="K128" s="19" t="n"/>
      <c r="L128" s="19" t="n"/>
      <c r="M128" s="19" t="n"/>
      <c r="N128" s="19" t="n"/>
      <c r="O128" s="6" t="n"/>
      <c r="P128" s="6" t="n"/>
      <c r="Q128" s="6" t="n"/>
      <c r="R128" s="6" t="n"/>
      <c r="S128" s="6" t="n"/>
      <c r="T128" s="6" t="n"/>
    </row>
    <row r="129">
      <c r="A129" s="53" t="n">
        <v>46153</v>
      </c>
      <c r="B129" s="55" t="inlineStr">
        <is>
          <t>C-SLG/0114/26-27</t>
        </is>
      </c>
      <c r="C129" s="49" t="n"/>
      <c r="D129" s="55" t="n">
        <v>5201</v>
      </c>
      <c r="E129" s="55" t="n">
        <v>5201</v>
      </c>
      <c r="F129" s="59" t="n">
        <v>46178</v>
      </c>
      <c r="G129" s="49" t="n"/>
      <c r="H129" s="51" t="n"/>
      <c r="I129" s="51" t="n"/>
      <c r="J129" s="52" t="n"/>
      <c r="K129" s="19" t="n"/>
      <c r="L129" s="19" t="n"/>
      <c r="M129" s="19" t="n"/>
      <c r="N129" s="19" t="n"/>
      <c r="O129" s="6" t="n"/>
      <c r="P129" s="6" t="n"/>
      <c r="Q129" s="6" t="n"/>
      <c r="R129" s="6" t="n"/>
      <c r="S129" s="6" t="n"/>
      <c r="T129" s="6" t="n"/>
    </row>
    <row r="130">
      <c r="A130" s="48" t="n"/>
      <c r="B130" s="49" t="n"/>
      <c r="C130" s="49" t="n"/>
      <c r="D130" s="55" t="n">
        <v>16712</v>
      </c>
      <c r="E130" s="56" t="n">
        <v>16712</v>
      </c>
      <c r="F130" s="49" t="n"/>
      <c r="G130" s="49" t="n"/>
      <c r="H130" s="51" t="n"/>
      <c r="I130" s="51" t="n"/>
      <c r="J130" s="52" t="n"/>
      <c r="K130" s="19" t="n"/>
      <c r="L130" s="19" t="n"/>
      <c r="M130" s="19" t="n"/>
      <c r="N130" s="19" t="n"/>
      <c r="O130" s="6" t="n"/>
      <c r="P130" s="6" t="n"/>
      <c r="Q130" s="6" t="n"/>
      <c r="R130" s="6" t="n"/>
      <c r="S130" s="6" t="n"/>
      <c r="T130" s="6" t="n"/>
    </row>
    <row r="131">
      <c r="A131" s="48" t="n"/>
      <c r="B131" s="49" t="n"/>
      <c r="C131" s="50" t="inlineStr">
        <is>
          <t>Sun Electronics Times</t>
        </is>
      </c>
      <c r="D131" s="49" t="n"/>
      <c r="E131" s="49" t="n"/>
      <c r="F131" s="49" t="n"/>
      <c r="G131" s="49" t="n"/>
      <c r="H131" s="51" t="n"/>
      <c r="I131" s="51" t="n"/>
      <c r="J131" s="52" t="n"/>
      <c r="K131" s="19" t="inlineStr">
        <is>
          <t>ringing not resonding | ringing not resonding | HE GOT THE ACCIDENT HEWILL PAY 2DAYS | ringing not resonding</t>
        </is>
      </c>
      <c r="L131" s="19" t="n"/>
      <c r="M131" s="19" t="n"/>
      <c r="N131" s="19" t="n"/>
      <c r="O131" s="6" t="n"/>
      <c r="P131" s="6" t="n"/>
      <c r="Q131" s="6" t="n"/>
      <c r="R131" s="6" t="n"/>
      <c r="S131" s="6" t="n"/>
      <c r="T131" s="6" t="n"/>
    </row>
    <row r="132">
      <c r="A132" s="53" t="n">
        <v>46015</v>
      </c>
      <c r="B132" s="55" t="inlineStr">
        <is>
          <t>C-SLG/1969/25-26</t>
        </is>
      </c>
      <c r="C132" s="49" t="n"/>
      <c r="D132" s="55" t="n">
        <v>8682</v>
      </c>
      <c r="E132" s="56" t="n">
        <v>6182</v>
      </c>
      <c r="F132" s="59" t="n">
        <v>46040</v>
      </c>
      <c r="G132" s="58">
        <f>$E$2-F132</f>
        <v/>
      </c>
      <c r="H132" s="51" t="n"/>
      <c r="I132" s="51" t="n"/>
      <c r="J132" s="52" t="n"/>
      <c r="K132" s="19" t="n"/>
      <c r="L132" s="19" t="n"/>
      <c r="M132" s="19" t="n"/>
      <c r="N132" s="19" t="n"/>
      <c r="O132" s="6" t="n"/>
      <c r="P132" s="6" t="n"/>
      <c r="Q132" s="6" t="n"/>
      <c r="R132" s="6" t="n"/>
      <c r="S132" s="6" t="n"/>
      <c r="T132" s="6" t="n"/>
    </row>
    <row r="133">
      <c r="A133" s="48" t="n"/>
      <c r="B133" s="49" t="n"/>
      <c r="C133" s="49" t="n"/>
      <c r="D133" s="55" t="n">
        <v>8682</v>
      </c>
      <c r="E133" s="56" t="n">
        <v>6182</v>
      </c>
      <c r="F133" s="49" t="n"/>
      <c r="G133" s="49" t="n"/>
      <c r="H133" s="51" t="n"/>
      <c r="I133" s="51" t="n"/>
      <c r="J133" s="52" t="inlineStr">
        <is>
          <t>Customer Hospitlized</t>
        </is>
      </c>
      <c r="K133" s="19" t="n"/>
      <c r="L133" s="19" t="n"/>
      <c r="M133" s="19" t="n"/>
      <c r="N133" s="19" t="n"/>
      <c r="O133" s="6" t="n"/>
      <c r="P133" s="6" t="n"/>
      <c r="Q133" s="6" t="n"/>
      <c r="R133" s="6" t="n"/>
      <c r="S133" s="6" t="n"/>
      <c r="T133" s="6" t="n"/>
    </row>
    <row r="134">
      <c r="A134" s="48" t="n"/>
      <c r="B134" s="49" t="n"/>
      <c r="C134" s="50" t="inlineStr">
        <is>
          <t>S.V.TRADERS DSNR</t>
        </is>
      </c>
      <c r="D134" s="49" t="n"/>
      <c r="E134" s="49" t="n"/>
      <c r="F134" s="49" t="n"/>
      <c r="G134" s="49" t="n"/>
      <c r="H134" s="51" t="n"/>
      <c r="I134" s="51" t="n"/>
      <c r="J134" s="52" t="n"/>
      <c r="K134" s="19" t="inlineStr">
        <is>
          <t>NUMBER NOT CONNETED | RINGING NOT RESPONDING | NUMBER NOT CONNETED</t>
        </is>
      </c>
      <c r="L134" s="19" t="n"/>
      <c r="M134" s="19" t="n"/>
      <c r="N134" s="19" t="n"/>
      <c r="O134" s="6" t="n"/>
      <c r="P134" s="6" t="n"/>
      <c r="Q134" s="6" t="n"/>
      <c r="R134" s="6" t="n"/>
      <c r="S134" s="6" t="n"/>
      <c r="T134" s="6" t="n"/>
    </row>
    <row r="135">
      <c r="A135" s="53" t="n">
        <v>46121</v>
      </c>
      <c r="B135" s="55" t="inlineStr">
        <is>
          <t>C-SLG/009/26-27</t>
        </is>
      </c>
      <c r="C135" s="49" t="n"/>
      <c r="D135" s="55" t="n">
        <v>17710</v>
      </c>
      <c r="E135" s="56" t="n">
        <v>17710</v>
      </c>
      <c r="F135" s="59" t="n">
        <v>46146</v>
      </c>
      <c r="G135" s="58">
        <f>$E$2-F135</f>
        <v/>
      </c>
      <c r="H135" s="51" t="n"/>
      <c r="I135" s="51" t="n"/>
      <c r="J135" s="52" t="n"/>
      <c r="K135" s="19" t="n"/>
      <c r="L135" s="19" t="n"/>
      <c r="M135" s="19" t="n"/>
      <c r="N135" s="19" t="n"/>
      <c r="O135" s="6" t="n"/>
      <c r="P135" s="6" t="n"/>
      <c r="Q135" s="6" t="n"/>
      <c r="R135" s="6" t="n"/>
      <c r="S135" s="6" t="n"/>
      <c r="T135" s="6" t="n"/>
    </row>
    <row r="136">
      <c r="A136" s="53" t="n">
        <v>46122</v>
      </c>
      <c r="B136" s="55" t="inlineStr">
        <is>
          <t>C-SLG/0026/26-27</t>
        </is>
      </c>
      <c r="C136" s="49" t="n"/>
      <c r="D136" s="55" t="n">
        <v>8855</v>
      </c>
      <c r="E136" s="56" t="n">
        <v>8855</v>
      </c>
      <c r="F136" s="59" t="n">
        <v>46147</v>
      </c>
      <c r="G136" s="58">
        <f>$E$2-F136</f>
        <v/>
      </c>
      <c r="H136" s="51" t="n"/>
      <c r="I136" s="51" t="n"/>
      <c r="J136" s="52" t="n"/>
      <c r="K136" s="19" t="n"/>
      <c r="L136" s="19" t="n"/>
      <c r="M136" s="19" t="n"/>
      <c r="N136" s="19" t="n"/>
      <c r="O136" s="6" t="n"/>
      <c r="P136" s="6" t="n"/>
      <c r="Q136" s="6" t="n"/>
      <c r="R136" s="6" t="n"/>
      <c r="S136" s="6" t="n"/>
      <c r="T136" s="6" t="n"/>
    </row>
    <row r="137">
      <c r="A137" s="53" t="n">
        <v>46130</v>
      </c>
      <c r="B137" s="55" t="inlineStr">
        <is>
          <t>C-SLG/0054/26-27</t>
        </is>
      </c>
      <c r="C137" s="49" t="n"/>
      <c r="D137" s="55" t="n">
        <v>5572</v>
      </c>
      <c r="E137" s="56" t="n">
        <v>5572</v>
      </c>
      <c r="F137" s="59" t="n">
        <v>46155</v>
      </c>
      <c r="G137" s="58">
        <f>$E$2-F137</f>
        <v/>
      </c>
      <c r="H137" s="51" t="n"/>
      <c r="I137" s="51" t="n"/>
      <c r="J137" s="52" t="n"/>
      <c r="K137" s="19" t="n"/>
      <c r="L137" s="19" t="n"/>
      <c r="M137" s="19" t="n"/>
      <c r="N137" s="19" t="n"/>
      <c r="O137" s="6" t="n"/>
      <c r="P137" s="6" t="n"/>
      <c r="Q137" s="6" t="n"/>
      <c r="R137" s="6" t="n"/>
      <c r="S137" s="6" t="n"/>
      <c r="T137" s="6" t="n"/>
    </row>
    <row r="138">
      <c r="A138" s="53" t="n">
        <v>46142</v>
      </c>
      <c r="B138" s="55" t="inlineStr">
        <is>
          <t>C-SLG/0083/26-27</t>
        </is>
      </c>
      <c r="C138" s="49" t="n"/>
      <c r="D138" s="55" t="n">
        <v>5144</v>
      </c>
      <c r="E138" s="55" t="n">
        <v>5144</v>
      </c>
      <c r="F138" s="59" t="n">
        <v>46167</v>
      </c>
      <c r="G138" s="49" t="n"/>
      <c r="H138" s="51" t="n"/>
      <c r="I138" s="51" t="n"/>
      <c r="J138" s="52" t="n"/>
      <c r="K138" s="19" t="n"/>
      <c r="L138" s="19" t="n"/>
      <c r="M138" s="19" t="n"/>
      <c r="N138" s="19" t="n"/>
      <c r="O138" s="6" t="n"/>
      <c r="P138" s="6" t="n"/>
      <c r="Q138" s="6" t="n"/>
      <c r="R138" s="6" t="n"/>
      <c r="S138" s="6" t="n"/>
      <c r="T138" s="6" t="n"/>
    </row>
    <row r="139">
      <c r="A139" s="53" t="n">
        <v>46148</v>
      </c>
      <c r="B139" s="55" t="inlineStr">
        <is>
          <t>C-SLG/0094/26-27</t>
        </is>
      </c>
      <c r="C139" s="49" t="n"/>
      <c r="D139" s="55" t="n">
        <v>2291</v>
      </c>
      <c r="E139" s="55" t="n">
        <v>2291</v>
      </c>
      <c r="F139" s="59" t="n">
        <v>46173</v>
      </c>
      <c r="G139" s="49" t="n"/>
      <c r="H139" s="51" t="n"/>
      <c r="I139" s="51" t="n"/>
      <c r="J139" s="52" t="n"/>
      <c r="K139" s="19" t="n"/>
      <c r="L139" s="19" t="n"/>
      <c r="M139" s="19" t="n"/>
      <c r="N139" s="19" t="n"/>
      <c r="O139" s="6" t="n"/>
      <c r="P139" s="6" t="n"/>
      <c r="Q139" s="6" t="n"/>
      <c r="R139" s="6" t="n"/>
      <c r="S139" s="6" t="n"/>
      <c r="T139" s="6" t="n"/>
    </row>
    <row r="140">
      <c r="A140" s="53" t="n">
        <v>46150</v>
      </c>
      <c r="B140" s="55" t="inlineStr">
        <is>
          <t>C-SLG/0101/26-27</t>
        </is>
      </c>
      <c r="C140" s="49" t="n"/>
      <c r="D140" s="55" t="n">
        <v>21163</v>
      </c>
      <c r="E140" s="55" t="n">
        <v>21163</v>
      </c>
      <c r="F140" s="59" t="n">
        <v>46175</v>
      </c>
      <c r="G140" s="49" t="n"/>
      <c r="H140" s="51" t="n"/>
      <c r="I140" s="51" t="n"/>
      <c r="J140" s="52" t="n"/>
      <c r="K140" s="19" t="n"/>
      <c r="L140" s="19" t="n"/>
      <c r="M140" s="19" t="n"/>
      <c r="N140" s="19" t="n"/>
      <c r="O140" s="6" t="n"/>
      <c r="P140" s="6" t="n"/>
      <c r="Q140" s="6" t="n"/>
      <c r="R140" s="6" t="n"/>
      <c r="S140" s="6" t="n"/>
      <c r="T140" s="6" t="n"/>
    </row>
    <row r="141">
      <c r="A141" s="53" t="n">
        <v>46156</v>
      </c>
      <c r="B141" s="55" t="inlineStr">
        <is>
          <t>C-SLG/0132/26-27</t>
        </is>
      </c>
      <c r="C141" s="49" t="n"/>
      <c r="D141" s="55" t="n">
        <v>7384</v>
      </c>
      <c r="E141" s="55" t="n">
        <v>7384</v>
      </c>
      <c r="F141" s="59" t="n">
        <v>46181</v>
      </c>
      <c r="G141" s="49" t="n"/>
      <c r="H141" s="51" t="n"/>
      <c r="I141" s="51" t="n"/>
      <c r="J141" s="52" t="n"/>
      <c r="K141" s="19" t="n"/>
      <c r="L141" s="19" t="n"/>
      <c r="M141" s="19" t="n"/>
      <c r="N141" s="19" t="n"/>
      <c r="O141" s="6" t="n"/>
      <c r="P141" s="6" t="n"/>
      <c r="Q141" s="6" t="n"/>
      <c r="R141" s="6" t="n"/>
      <c r="S141" s="6" t="n"/>
      <c r="T141" s="6" t="n"/>
    </row>
    <row r="142">
      <c r="A142" s="48" t="n"/>
      <c r="B142" s="49" t="n"/>
      <c r="C142" s="49" t="n"/>
      <c r="D142" s="55" t="n">
        <v>68119</v>
      </c>
      <c r="E142" s="56" t="n">
        <v>68119</v>
      </c>
      <c r="F142" s="49" t="n"/>
      <c r="G142" s="49" t="n"/>
      <c r="H142" s="51" t="n"/>
      <c r="I142" s="51" t="n"/>
      <c r="J142" s="52" t="n"/>
      <c r="K142" s="19" t="n"/>
      <c r="L142" s="19" t="n"/>
      <c r="M142" s="19" t="n"/>
      <c r="N142" s="19" t="n"/>
      <c r="O142" s="6" t="n"/>
      <c r="P142" s="6" t="n"/>
      <c r="Q142" s="6" t="n"/>
      <c r="R142" s="6" t="n"/>
      <c r="S142" s="6" t="n"/>
      <c r="T142" s="6" t="n"/>
    </row>
    <row r="143">
      <c r="A143" s="48" t="n"/>
      <c r="B143" s="49" t="n"/>
      <c r="C143" s="50" t="inlineStr">
        <is>
          <t>VANI BOOKS &amp; STATIONERY</t>
        </is>
      </c>
      <c r="D143" s="49" t="n"/>
      <c r="E143" s="49" t="n"/>
      <c r="F143" s="49" t="n"/>
      <c r="G143" s="49" t="n"/>
      <c r="H143" s="51" t="n"/>
      <c r="I143" s="51" t="n"/>
      <c r="J143" s="52" t="n"/>
      <c r="K143" s="19" t="inlineStr">
        <is>
          <t>1% discount</t>
        </is>
      </c>
      <c r="L143" s="19" t="n"/>
      <c r="M143" s="19" t="n"/>
      <c r="N143" s="19" t="n"/>
      <c r="O143" s="6" t="n"/>
      <c r="P143" s="6" t="n"/>
      <c r="Q143" s="6" t="n"/>
      <c r="R143" s="6" t="n"/>
      <c r="S143" s="6" t="n"/>
      <c r="T143" s="6" t="n"/>
    </row>
    <row r="144">
      <c r="A144" s="53" t="n">
        <v>46115</v>
      </c>
      <c r="B144" s="55" t="inlineStr">
        <is>
          <t>C-SLG/005/26-27</t>
        </is>
      </c>
      <c r="C144" s="49" t="n"/>
      <c r="D144" s="55" t="n">
        <v>2191</v>
      </c>
      <c r="E144" s="56" t="n">
        <v>22</v>
      </c>
      <c r="F144" s="59" t="n">
        <v>46140</v>
      </c>
      <c r="G144" s="58">
        <f>$E$2-F144</f>
        <v/>
      </c>
      <c r="H144" s="51" t="n"/>
      <c r="I144" s="51" t="n"/>
      <c r="J144" s="52" t="n"/>
      <c r="K144" s="19" t="n"/>
      <c r="L144" s="19" t="n"/>
      <c r="M144" s="19" t="n"/>
      <c r="N144" s="19" t="n"/>
      <c r="O144" s="6" t="n"/>
      <c r="P144" s="6" t="n"/>
      <c r="Q144" s="6" t="n"/>
      <c r="R144" s="6" t="n"/>
      <c r="S144" s="6" t="n"/>
      <c r="T144" s="6" t="n"/>
    </row>
    <row r="145">
      <c r="A145" s="53" t="n">
        <v>46125</v>
      </c>
      <c r="B145" s="55" t="inlineStr">
        <is>
          <t>C-SLG/0032/26-27</t>
        </is>
      </c>
      <c r="C145" s="49" t="n"/>
      <c r="D145" s="55" t="n">
        <v>1548</v>
      </c>
      <c r="E145" s="56" t="n">
        <v>16</v>
      </c>
      <c r="F145" s="59" t="n">
        <v>46150</v>
      </c>
      <c r="G145" s="58">
        <f>$E$2-F145</f>
        <v/>
      </c>
      <c r="H145" s="51" t="n"/>
      <c r="I145" s="51" t="n"/>
      <c r="J145" s="52" t="n"/>
      <c r="K145" s="19" t="n"/>
      <c r="L145" s="19" t="n"/>
      <c r="M145" s="19" t="n"/>
      <c r="N145" s="19" t="n"/>
      <c r="O145" s="6" t="n"/>
      <c r="P145" s="6" t="n"/>
      <c r="Q145" s="6" t="n"/>
      <c r="R145" s="6" t="n"/>
      <c r="S145" s="6" t="n"/>
      <c r="T145" s="6" t="n"/>
    </row>
    <row r="146">
      <c r="A146" s="53" t="n">
        <v>46146</v>
      </c>
      <c r="B146" s="55" t="inlineStr">
        <is>
          <t>C-SLG/0087/26-27</t>
        </is>
      </c>
      <c r="C146" s="49" t="n"/>
      <c r="D146" s="55" t="n">
        <v>3660</v>
      </c>
      <c r="E146" s="55" t="n">
        <v>3660</v>
      </c>
      <c r="F146" s="59" t="n">
        <v>46171</v>
      </c>
      <c r="G146" s="49" t="n"/>
      <c r="H146" s="51" t="n"/>
      <c r="I146" s="51" t="n"/>
      <c r="J146" s="52" t="n"/>
      <c r="K146" s="19" t="n"/>
      <c r="L146" s="19" t="n"/>
      <c r="M146" s="19" t="n"/>
      <c r="N146" s="19" t="n"/>
      <c r="O146" s="6" t="n"/>
      <c r="P146" s="6" t="n"/>
      <c r="Q146" s="6" t="n"/>
      <c r="R146" s="6" t="n"/>
      <c r="S146" s="6" t="n"/>
      <c r="T146" s="6" t="n"/>
    </row>
    <row r="147">
      <c r="A147" s="48" t="n"/>
      <c r="B147" s="49" t="n"/>
      <c r="C147" s="49" t="n"/>
      <c r="D147" s="55" t="n">
        <v>7399</v>
      </c>
      <c r="E147" s="56" t="n">
        <v>3698</v>
      </c>
      <c r="F147" s="49" t="n"/>
      <c r="G147" s="49" t="n"/>
      <c r="H147" s="51" t="n"/>
      <c r="I147" s="51" t="n"/>
      <c r="J147" s="52" t="inlineStr">
        <is>
          <t>Credit Note</t>
        </is>
      </c>
      <c r="K147" s="19" t="n"/>
      <c r="L147" s="19" t="n"/>
      <c r="M147" s="19" t="n"/>
      <c r="N147" s="19" t="n"/>
      <c r="O147" s="6" t="n"/>
      <c r="P147" s="6" t="n"/>
      <c r="Q147" s="6" t="n"/>
      <c r="R147" s="6" t="n"/>
      <c r="S147" s="6" t="n"/>
      <c r="T147" s="6" t="n"/>
    </row>
    <row r="148">
      <c r="A148" s="48" t="n"/>
      <c r="B148" s="49" t="n"/>
      <c r="C148" s="50" t="inlineStr">
        <is>
          <t>Venkateswara Book Bank</t>
        </is>
      </c>
      <c r="D148" s="49" t="n"/>
      <c r="E148" s="49" t="n"/>
      <c r="F148" s="49" t="n"/>
      <c r="G148" s="49" t="n"/>
      <c r="H148" s="51" t="n"/>
      <c r="I148" s="51" t="n"/>
      <c r="J148" s="52" t="n"/>
      <c r="K148" s="19" t="inlineStr">
        <is>
          <t>PAY ONLINEremaing one bill  arp bill pending | paid online</t>
        </is>
      </c>
      <c r="L148" s="19" t="n"/>
      <c r="M148" s="19" t="n"/>
      <c r="N148" s="19" t="n"/>
      <c r="O148" s="6" t="n"/>
      <c r="P148" s="6" t="n"/>
      <c r="Q148" s="6" t="n"/>
      <c r="R148" s="6" t="n"/>
      <c r="S148" s="6" t="n"/>
      <c r="T148" s="6" t="n"/>
    </row>
    <row r="149">
      <c r="A149" s="53" t="n">
        <v>46111</v>
      </c>
      <c r="B149" s="55" t="inlineStr">
        <is>
          <t>C-SLG/2475/25-26</t>
        </is>
      </c>
      <c r="C149" s="49" t="n"/>
      <c r="D149" s="55" t="n">
        <v>1655</v>
      </c>
      <c r="E149" s="56" t="n">
        <v>1655</v>
      </c>
      <c r="F149" s="59" t="n">
        <v>46136</v>
      </c>
      <c r="G149" s="58">
        <f>$E$2-F149</f>
        <v/>
      </c>
      <c r="H149" s="51" t="n"/>
      <c r="I149" s="51" t="n"/>
      <c r="J149" s="52" t="n"/>
      <c r="K149" s="19" t="n"/>
      <c r="L149" s="19" t="n"/>
      <c r="M149" s="19" t="n"/>
      <c r="N149" s="19" t="n"/>
      <c r="O149" s="6" t="n"/>
      <c r="P149" s="6" t="n"/>
      <c r="Q149" s="6" t="n"/>
      <c r="R149" s="6" t="n"/>
      <c r="S149" s="6" t="n"/>
      <c r="T149" s="6" t="n"/>
    </row>
    <row r="150">
      <c r="A150" s="53" t="n">
        <v>46121</v>
      </c>
      <c r="B150" s="55" t="inlineStr">
        <is>
          <t>C-SLG/0019/26-27</t>
        </is>
      </c>
      <c r="C150" s="49" t="n"/>
      <c r="D150" s="55" t="n">
        <v>1906</v>
      </c>
      <c r="E150" s="56" t="n">
        <v>251</v>
      </c>
      <c r="F150" s="59" t="n">
        <v>46146</v>
      </c>
      <c r="G150" s="58">
        <f>$E$2-F150</f>
        <v/>
      </c>
      <c r="H150" s="51" t="n"/>
      <c r="I150" s="51" t="n"/>
      <c r="J150" s="52" t="n"/>
      <c r="K150" s="19" t="n"/>
      <c r="L150" s="19" t="n"/>
      <c r="M150" s="19" t="n"/>
      <c r="N150" s="19" t="n"/>
      <c r="O150" s="6" t="n"/>
      <c r="P150" s="6" t="n"/>
      <c r="Q150" s="6" t="n"/>
      <c r="R150" s="6" t="n"/>
      <c r="S150" s="6" t="n"/>
      <c r="T150" s="6" t="n"/>
    </row>
    <row r="151">
      <c r="A151" s="48" t="n"/>
      <c r="B151" s="49" t="n"/>
      <c r="C151" s="49" t="n"/>
      <c r="D151" s="55" t="n">
        <v>3561</v>
      </c>
      <c r="E151" s="56" t="n">
        <v>1906</v>
      </c>
      <c r="F151" s="49" t="n"/>
      <c r="G151" s="49" t="n"/>
      <c r="H151" s="51" t="n">
        <v>1906</v>
      </c>
      <c r="I151" s="51">
        <f>E151-H151</f>
        <v/>
      </c>
      <c r="J151" s="52" t="inlineStr">
        <is>
          <t>Paid Online - Full Amount</t>
        </is>
      </c>
      <c r="K151" s="19" t="n"/>
      <c r="L151" s="19" t="n"/>
      <c r="M151" s="19" t="n"/>
      <c r="N151" s="19" t="n"/>
      <c r="O151" s="6" t="n"/>
      <c r="P151" s="6" t="n"/>
      <c r="Q151" s="6" t="n"/>
      <c r="R151" s="6" t="n"/>
      <c r="S151" s="6" t="n"/>
      <c r="T151" s="6" t="n"/>
    </row>
    <row r="152">
      <c r="A152" s="48" t="n"/>
      <c r="B152" s="49" t="n"/>
      <c r="C152" s="60" t="inlineStr">
        <is>
          <t>TOTAL AMOUNT</t>
        </is>
      </c>
      <c r="D152" s="55" t="n">
        <v>905251</v>
      </c>
      <c r="E152" s="56" t="n">
        <v>837195</v>
      </c>
      <c r="F152" s="49" t="n"/>
      <c r="G152" s="49" t="n"/>
      <c r="H152" s="51" t="n"/>
      <c r="I152" s="51" t="n"/>
      <c r="J152" s="52" t="n"/>
      <c r="K152" s="19" t="n"/>
      <c r="L152" s="19" t="n"/>
      <c r="M152" s="19" t="n"/>
      <c r="N152" s="19" t="n"/>
      <c r="O152" s="6" t="n"/>
      <c r="P152" s="6" t="n"/>
      <c r="Q152" s="6" t="n"/>
      <c r="R152" s="6" t="n"/>
      <c r="S152" s="6" t="n"/>
      <c r="T152" s="6" t="n"/>
    </row>
    <row r="153">
      <c r="H153" s="42" t="n"/>
      <c r="I153" s="42" t="n"/>
      <c r="J153" s="20" t="n"/>
      <c r="K153" s="20" t="n"/>
      <c r="L153" s="20" t="n"/>
      <c r="M153" s="20" t="n"/>
      <c r="N153" s="20" t="n"/>
    </row>
    <row r="154">
      <c r="H154" s="42" t="n"/>
      <c r="I154" s="42" t="n"/>
      <c r="J154" s="20" t="n"/>
      <c r="K154" s="20" t="n"/>
      <c r="L154" s="20" t="n"/>
      <c r="M154" s="20" t="n"/>
      <c r="N154" s="20" t="n"/>
    </row>
    <row r="155">
      <c r="H155" s="42" t="n"/>
      <c r="I155" s="42" t="n"/>
      <c r="J155" s="20" t="n"/>
      <c r="K155" s="20" t="n"/>
      <c r="L155" s="20" t="n"/>
      <c r="M155" s="20" t="n"/>
      <c r="N155" s="20" t="n"/>
    </row>
    <row r="156">
      <c r="H156" s="42" t="n"/>
      <c r="I156" s="42" t="n"/>
      <c r="J156" s="20" t="n"/>
      <c r="K156" s="20" t="n"/>
      <c r="L156" s="20" t="n"/>
      <c r="M156" s="20" t="n"/>
      <c r="N156" s="20" t="n"/>
    </row>
    <row r="157">
      <c r="H157" s="42" t="n"/>
      <c r="I157" s="42" t="n"/>
      <c r="J157" s="20" t="n"/>
      <c r="K157" s="20" t="n"/>
      <c r="L157" s="20" t="n"/>
      <c r="M157" s="20" t="n"/>
      <c r="N157" s="20" t="n"/>
    </row>
    <row r="158">
      <c r="H158" s="42" t="n"/>
      <c r="I158" s="42" t="n"/>
      <c r="J158" s="20" t="n"/>
      <c r="K158" s="20" t="n"/>
      <c r="L158" s="20" t="n"/>
      <c r="M158" s="20" t="n"/>
      <c r="N158" s="20" t="n"/>
    </row>
    <row r="159">
      <c r="H159" s="42" t="n"/>
      <c r="I159" s="42" t="n"/>
      <c r="J159" s="20" t="n"/>
      <c r="K159" s="20" t="n"/>
      <c r="L159" s="20" t="n"/>
      <c r="M159" s="20" t="n"/>
      <c r="N159" s="20" t="n"/>
    </row>
    <row r="160">
      <c r="H160" s="42" t="n"/>
      <c r="I160" s="42" t="n"/>
      <c r="J160" s="20" t="n"/>
      <c r="K160" s="20" t="n"/>
      <c r="L160" s="20" t="n"/>
      <c r="M160" s="20" t="n"/>
      <c r="N160" s="20" t="n"/>
    </row>
    <row r="161">
      <c r="H161" s="42" t="n"/>
      <c r="I161" s="42" t="n"/>
      <c r="J161" s="20" t="n"/>
      <c r="K161" s="20" t="n"/>
      <c r="L161" s="20" t="n"/>
      <c r="M161" s="20" t="n"/>
      <c r="N161" s="20" t="n"/>
    </row>
    <row r="162">
      <c r="H162" s="42" t="n"/>
      <c r="I162" s="42" t="n"/>
      <c r="J162" s="20" t="n"/>
      <c r="K162" s="20" t="n"/>
      <c r="L162" s="20" t="n"/>
      <c r="M162" s="20" t="n"/>
      <c r="N162" s="20" t="n"/>
    </row>
    <row r="163">
      <c r="H163" s="42" t="n"/>
      <c r="I163" s="42" t="n"/>
      <c r="J163" s="20" t="n"/>
      <c r="K163" s="20" t="n"/>
      <c r="L163" s="20" t="n"/>
      <c r="M163" s="20" t="n"/>
      <c r="N163" s="20" t="n"/>
    </row>
    <row r="164">
      <c r="H164" s="42" t="n"/>
      <c r="I164" s="42" t="n"/>
      <c r="J164" s="20" t="n"/>
      <c r="K164" s="20" t="n"/>
      <c r="L164" s="20" t="n"/>
      <c r="M164" s="20" t="n"/>
      <c r="N164" s="20" t="n"/>
    </row>
    <row r="165">
      <c r="H165" s="42" t="n"/>
      <c r="I165" s="42" t="n"/>
      <c r="J165" s="20" t="n"/>
      <c r="K165" s="20" t="n"/>
      <c r="L165" s="20" t="n"/>
      <c r="M165" s="20" t="n"/>
      <c r="N165" s="20" t="n"/>
    </row>
    <row r="166">
      <c r="H166" s="42" t="n"/>
      <c r="I166" s="42" t="n"/>
      <c r="J166" s="20" t="n"/>
      <c r="K166" s="20" t="n"/>
      <c r="L166" s="20" t="n"/>
      <c r="M166" s="20" t="n"/>
      <c r="N166" s="20" t="n"/>
    </row>
    <row r="167">
      <c r="H167" s="42" t="n"/>
      <c r="I167" s="42" t="n"/>
      <c r="J167" s="20" t="n"/>
      <c r="K167" s="20" t="n"/>
      <c r="L167" s="20" t="n"/>
      <c r="M167" s="20" t="n"/>
      <c r="N167" s="20" t="n"/>
    </row>
    <row r="168">
      <c r="H168" s="42" t="n"/>
      <c r="I168" s="42" t="n"/>
      <c r="J168" s="20" t="n"/>
      <c r="K168" s="20" t="n"/>
      <c r="L168" s="20" t="n"/>
      <c r="M168" s="20" t="n"/>
      <c r="N168" s="20" t="n"/>
    </row>
    <row r="169">
      <c r="H169" s="42" t="n"/>
      <c r="I169" s="42" t="n"/>
      <c r="J169" s="20" t="n"/>
      <c r="K169" s="20" t="n"/>
      <c r="L169" s="20" t="n"/>
      <c r="M169" s="20" t="n"/>
      <c r="N169" s="20" t="n"/>
    </row>
    <row r="170">
      <c r="H170" s="42" t="n"/>
      <c r="I170" s="42" t="n"/>
      <c r="J170" s="20" t="n"/>
      <c r="K170" s="20" t="n"/>
      <c r="L170" s="20" t="n"/>
      <c r="M170" s="20" t="n"/>
      <c r="N170" s="20" t="n"/>
    </row>
    <row r="171">
      <c r="H171" s="42" t="n"/>
      <c r="I171" s="42" t="n"/>
      <c r="J171" s="20" t="n"/>
      <c r="K171" s="20" t="n"/>
      <c r="L171" s="20" t="n"/>
      <c r="M171" s="20" t="n"/>
      <c r="N171" s="20" t="n"/>
    </row>
    <row r="172">
      <c r="H172" s="42" t="n"/>
      <c r="I172" s="42" t="n"/>
      <c r="J172" s="20" t="n"/>
      <c r="K172" s="20" t="n"/>
      <c r="L172" s="20" t="n"/>
      <c r="M172" s="20" t="n"/>
      <c r="N172" s="20" t="n"/>
    </row>
    <row r="173">
      <c r="H173" s="42" t="n"/>
      <c r="I173" s="42" t="n"/>
      <c r="J173" s="20" t="n"/>
      <c r="K173" s="20" t="n"/>
      <c r="L173" s="20" t="n"/>
      <c r="M173" s="20" t="n"/>
      <c r="N173" s="20" t="n"/>
    </row>
    <row r="174">
      <c r="H174" s="42" t="n"/>
      <c r="I174" s="42" t="n"/>
      <c r="J174" s="20" t="n"/>
      <c r="K174" s="20" t="n"/>
      <c r="L174" s="20" t="n"/>
      <c r="M174" s="20" t="n"/>
      <c r="N174" s="20" t="n"/>
    </row>
    <row r="175">
      <c r="H175" s="42" t="n"/>
      <c r="I175" s="42" t="n"/>
      <c r="J175" s="20" t="n"/>
      <c r="K175" s="20" t="n"/>
      <c r="L175" s="20" t="n"/>
      <c r="M175" s="20" t="n"/>
      <c r="N175" s="20" t="n"/>
    </row>
    <row r="176">
      <c r="H176" s="42" t="n"/>
      <c r="I176" s="42" t="n"/>
      <c r="J176" s="20" t="n"/>
      <c r="K176" s="20" t="n"/>
      <c r="L176" s="20" t="n"/>
      <c r="M176" s="20" t="n"/>
      <c r="N176" s="20" t="n"/>
    </row>
    <row r="177">
      <c r="H177" s="42" t="n"/>
      <c r="I177" s="42" t="n"/>
      <c r="J177" s="20" t="n"/>
      <c r="K177" s="20" t="n"/>
      <c r="L177" s="20" t="n"/>
      <c r="M177" s="20" t="n"/>
      <c r="N177" s="20" t="n"/>
    </row>
    <row r="178">
      <c r="H178" s="42" t="n"/>
      <c r="I178" s="42" t="n"/>
      <c r="J178" s="20" t="n"/>
      <c r="K178" s="20" t="n"/>
      <c r="L178" s="20" t="n"/>
      <c r="M178" s="20" t="n"/>
      <c r="N178" s="20" t="n"/>
    </row>
    <row r="179">
      <c r="H179" s="42" t="n"/>
      <c r="I179" s="42" t="n"/>
      <c r="J179" s="20" t="n"/>
      <c r="K179" s="20" t="n"/>
      <c r="L179" s="20" t="n"/>
      <c r="M179" s="20" t="n"/>
      <c r="N179" s="20" t="n"/>
    </row>
    <row r="180">
      <c r="H180" s="42" t="n"/>
      <c r="I180" s="42" t="n"/>
      <c r="J180" s="20" t="n"/>
      <c r="K180" s="20" t="n"/>
      <c r="L180" s="20" t="n"/>
      <c r="M180" s="20" t="n"/>
      <c r="N180" s="20" t="n"/>
    </row>
    <row r="181">
      <c r="H181" s="42" t="n"/>
      <c r="I181" s="42" t="n"/>
      <c r="J181" s="20" t="n"/>
      <c r="K181" s="20" t="n"/>
      <c r="L181" s="20" t="n"/>
      <c r="M181" s="20" t="n"/>
      <c r="N181" s="20" t="n"/>
    </row>
    <row r="182">
      <c r="H182" s="42" t="n"/>
      <c r="I182" s="42" t="n"/>
      <c r="J182" s="20" t="n"/>
      <c r="K182" s="20" t="n"/>
      <c r="L182" s="20" t="n"/>
      <c r="M182" s="20" t="n"/>
      <c r="N182" s="20" t="n"/>
    </row>
    <row r="183">
      <c r="H183" s="42" t="n"/>
      <c r="I183" s="42" t="n"/>
      <c r="J183" s="20" t="n"/>
      <c r="K183" s="20" t="n"/>
      <c r="L183" s="20" t="n"/>
      <c r="M183" s="20" t="n"/>
      <c r="N183" s="20" t="n"/>
    </row>
    <row r="184">
      <c r="H184" s="42" t="n"/>
      <c r="I184" s="42" t="n"/>
      <c r="J184" s="20" t="n"/>
      <c r="K184" s="20" t="n"/>
      <c r="L184" s="20" t="n"/>
      <c r="M184" s="20" t="n"/>
      <c r="N184" s="20" t="n"/>
    </row>
    <row r="185">
      <c r="H185" s="42" t="n"/>
      <c r="I185" s="42" t="n"/>
      <c r="J185" s="20" t="n"/>
      <c r="K185" s="20" t="n"/>
      <c r="L185" s="20" t="n"/>
      <c r="M185" s="20" t="n"/>
      <c r="N185" s="20" t="n"/>
    </row>
    <row r="186">
      <c r="H186" s="42" t="n"/>
      <c r="I186" s="42" t="n"/>
      <c r="J186" s="20" t="n"/>
      <c r="K186" s="20" t="n"/>
      <c r="L186" s="20" t="n"/>
      <c r="M186" s="20" t="n"/>
      <c r="N186" s="20" t="n"/>
    </row>
    <row r="187">
      <c r="H187" s="42" t="n"/>
      <c r="I187" s="42" t="n"/>
      <c r="J187" s="20" t="n"/>
      <c r="K187" s="20" t="n"/>
      <c r="L187" s="20" t="n"/>
      <c r="M187" s="20" t="n"/>
      <c r="N187" s="20" t="n"/>
    </row>
    <row r="188">
      <c r="H188" s="42" t="n"/>
      <c r="I188" s="42" t="n"/>
      <c r="J188" s="20" t="n"/>
      <c r="K188" s="20" t="n"/>
      <c r="L188" s="20" t="n"/>
      <c r="M188" s="20" t="n"/>
      <c r="N188" s="20" t="n"/>
    </row>
    <row r="189">
      <c r="H189" s="42" t="n"/>
      <c r="I189" s="42" t="n"/>
      <c r="J189" s="20" t="n"/>
      <c r="K189" s="20" t="n"/>
      <c r="L189" s="20" t="n"/>
      <c r="M189" s="20" t="n"/>
      <c r="N189" s="20" t="n"/>
    </row>
    <row r="190">
      <c r="H190" s="42" t="n"/>
      <c r="I190" s="42" t="n"/>
      <c r="J190" s="20" t="n"/>
      <c r="K190" s="20" t="n"/>
      <c r="L190" s="20" t="n"/>
      <c r="M190" s="20" t="n"/>
      <c r="N190" s="20" t="n"/>
    </row>
    <row r="191">
      <c r="H191" s="42" t="n"/>
      <c r="I191" s="42" t="n"/>
      <c r="J191" s="20" t="n"/>
      <c r="K191" s="20" t="n"/>
      <c r="L191" s="20" t="n"/>
      <c r="M191" s="20" t="n"/>
      <c r="N191" s="20" t="n"/>
    </row>
    <row r="192">
      <c r="H192" s="42" t="n"/>
      <c r="I192" s="42" t="n"/>
      <c r="J192" s="20" t="n"/>
      <c r="K192" s="20" t="n"/>
      <c r="L192" s="20" t="n"/>
      <c r="M192" s="20" t="n"/>
      <c r="N192" s="20" t="n"/>
    </row>
    <row r="193">
      <c r="H193" s="42" t="n"/>
      <c r="I193" s="42" t="n"/>
      <c r="J193" s="20" t="n"/>
      <c r="K193" s="20" t="n"/>
      <c r="L193" s="20" t="n"/>
      <c r="M193" s="20" t="n"/>
      <c r="N193" s="20" t="n"/>
    </row>
    <row r="194">
      <c r="H194" s="42" t="n"/>
      <c r="I194" s="42" t="n"/>
      <c r="J194" s="20" t="n"/>
      <c r="K194" s="20" t="n"/>
      <c r="L194" s="20" t="n"/>
      <c r="M194" s="20" t="n"/>
      <c r="N194" s="20" t="n"/>
    </row>
    <row r="195">
      <c r="H195" s="42" t="n"/>
      <c r="I195" s="42" t="n"/>
      <c r="J195" s="20" t="n"/>
      <c r="K195" s="20" t="n"/>
      <c r="L195" s="20" t="n"/>
      <c r="M195" s="20" t="n"/>
      <c r="N195" s="20" t="n"/>
    </row>
    <row r="196">
      <c r="H196" s="42" t="n"/>
      <c r="I196" s="42" t="n"/>
      <c r="J196" s="20" t="n"/>
      <c r="K196" s="20" t="n"/>
      <c r="L196" s="20" t="n"/>
      <c r="M196" s="20" t="n"/>
      <c r="N196" s="20" t="n"/>
    </row>
    <row r="197">
      <c r="H197" s="42" t="n"/>
      <c r="I197" s="42" t="n"/>
      <c r="J197" s="20" t="n"/>
      <c r="K197" s="20" t="n"/>
      <c r="L197" s="20" t="n"/>
      <c r="M197" s="20" t="n"/>
      <c r="N197" s="20" t="n"/>
    </row>
    <row r="198">
      <c r="H198" s="42" t="n"/>
      <c r="I198" s="42" t="n"/>
      <c r="J198" s="20" t="n"/>
      <c r="K198" s="20" t="n"/>
      <c r="L198" s="20" t="n"/>
      <c r="M198" s="20" t="n"/>
      <c r="N198" s="20" t="n"/>
    </row>
  </sheetData>
  <mergeCells count="2">
    <mergeCell ref="B1:C1"/>
    <mergeCell ref="B2:C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zoomScale="142" zoomScaleNormal="142" workbookViewId="0">
      <pane ySplit="4" topLeftCell="A5" activePane="bottomLeft" state="frozen"/>
      <selection pane="bottomLeft" activeCell="C17" sqref="C17"/>
    </sheetView>
  </sheetViews>
  <sheetFormatPr baseColWidth="8" defaultRowHeight="12.75"/>
  <cols>
    <col width="10.1640625" bestFit="1" customWidth="1" style="68" min="1" max="1"/>
    <col width="20.83203125" bestFit="1" customWidth="1" style="68" min="2" max="2"/>
    <col width="37" customWidth="1" style="68" min="3" max="3"/>
    <col width="13.1640625" bestFit="1" customWidth="1" style="68" min="4" max="4"/>
    <col width="10.83203125" bestFit="1" customWidth="1" style="68" min="5" max="5"/>
    <col width="12.1640625" customWidth="1" style="68" min="6" max="6"/>
    <col width="14.33203125" bestFit="1" customWidth="1" style="73" min="7" max="7"/>
    <col width="17.33203125" bestFit="1" customWidth="1" style="68" min="8" max="8"/>
    <col width="26.6640625" bestFit="1" customWidth="1" style="68" min="9" max="9"/>
    <col width="15.33203125" bestFit="1" customWidth="1" style="68" min="10" max="10"/>
    <col width="9.33203125" customWidth="1" style="68" min="11" max="16384"/>
  </cols>
  <sheetData>
    <row r="1" ht="11.1" customHeight="1" s="5">
      <c r="A1" s="67" t="inlineStr">
        <is>
          <t>Group:</t>
        </is>
      </c>
      <c r="B1" s="107" t="inlineStr">
        <is>
          <t>Casio Watches</t>
        </is>
      </c>
      <c r="C1" s="110" t="n"/>
      <c r="D1" s="108" t="n"/>
      <c r="E1" s="113" t="n"/>
      <c r="F1" s="113" t="n"/>
      <c r="G1" s="113" t="n"/>
    </row>
    <row r="2" ht="11.1" customHeight="1" s="5">
      <c r="A2" s="67" t="inlineStr">
        <is>
          <t>Details of:</t>
        </is>
      </c>
      <c r="B2" s="107" t="inlineStr">
        <is>
          <t>Pending Bills</t>
        </is>
      </c>
      <c r="C2" s="110" t="n"/>
      <c r="D2" s="69" t="inlineStr">
        <is>
          <t>Today Date:</t>
        </is>
      </c>
      <c r="E2" s="70">
        <f>TODAY()</f>
        <v/>
      </c>
      <c r="F2" s="71" t="n"/>
      <c r="G2" s="72" t="n"/>
    </row>
    <row r="3" ht="6" customHeight="1" s="5"/>
    <row r="4">
      <c r="A4" s="44" t="inlineStr">
        <is>
          <t>Date</t>
        </is>
      </c>
      <c r="B4" s="44" t="inlineStr">
        <is>
          <t>Ref. No.</t>
        </is>
      </c>
      <c r="C4" s="44" t="inlineStr">
        <is>
          <t>Party's Name</t>
        </is>
      </c>
      <c r="D4" s="44" t="inlineStr">
        <is>
          <t>Total Amount</t>
        </is>
      </c>
      <c r="E4" s="44" t="inlineStr">
        <is>
          <t>Due on</t>
        </is>
      </c>
      <c r="F4" s="46" t="inlineStr">
        <is>
          <t>Days Overdue</t>
        </is>
      </c>
      <c r="G4" s="45" t="inlineStr">
        <is>
          <t>Paid Amount</t>
        </is>
      </c>
      <c r="H4" s="46" t="inlineStr">
        <is>
          <t>Pending Amount</t>
        </is>
      </c>
      <c r="I4" s="46" t="inlineStr">
        <is>
          <t>Remark (5/20)</t>
        </is>
      </c>
      <c r="J4" s="46" t="inlineStr">
        <is>
          <t>Remark (5/22)</t>
        </is>
      </c>
      <c r="K4" s="114" t="inlineStr">
        <is>
          <t>Last Follow-up Notes</t>
        </is>
      </c>
    </row>
    <row r="5">
      <c r="A5" s="66" t="n"/>
      <c r="B5" s="66" t="n"/>
      <c r="C5" s="66" t="n"/>
      <c r="D5" s="56" t="n"/>
      <c r="E5" s="66" t="n"/>
      <c r="F5" s="74" t="n"/>
      <c r="G5" s="51" t="n"/>
      <c r="H5" s="52" t="n"/>
      <c r="I5" s="52" t="n"/>
    </row>
    <row r="6">
      <c r="A6" s="66" t="n"/>
      <c r="B6" s="66" t="n"/>
      <c r="C6" s="101" t="inlineStr">
        <is>
          <t>C. Ramchander Watch Co.</t>
        </is>
      </c>
      <c r="D6" s="66" t="n"/>
      <c r="E6" s="66" t="n"/>
      <c r="F6" s="66" t="n"/>
      <c r="G6" s="51" t="n"/>
      <c r="H6" s="52" t="n"/>
      <c r="I6" s="52" t="n"/>
    </row>
    <row r="7">
      <c r="A7" s="53" t="n">
        <v>46144</v>
      </c>
      <c r="B7" s="54" t="inlineStr">
        <is>
          <t>SLGCW/46/26-27</t>
        </is>
      </c>
      <c r="C7" s="66" t="n"/>
      <c r="D7" s="75" t="n">
        <v>1400</v>
      </c>
      <c r="E7" s="57" t="n">
        <v>46144</v>
      </c>
      <c r="F7" s="58">
        <f>$E$2-E7</f>
        <v/>
      </c>
      <c r="G7" s="51" t="n"/>
      <c r="H7" s="52" t="n"/>
      <c r="I7" s="52" t="inlineStr">
        <is>
          <t>We need to give Credit Note</t>
        </is>
      </c>
    </row>
    <row r="8">
      <c r="A8" s="66" t="n"/>
      <c r="B8" s="66" t="n"/>
      <c r="C8" s="66" t="n"/>
      <c r="D8" s="75" t="n">
        <v>1400</v>
      </c>
      <c r="E8" s="66" t="n"/>
      <c r="F8" s="66" t="n"/>
      <c r="G8" s="51" t="n"/>
      <c r="H8" s="52" t="n"/>
    </row>
    <row r="9">
      <c r="A9" s="66" t="n"/>
      <c r="B9" s="66" t="n"/>
      <c r="C9" s="50" t="inlineStr">
        <is>
          <t>KHALEEL WATCH CO.</t>
        </is>
      </c>
      <c r="D9" s="66" t="n"/>
      <c r="E9" s="66" t="n"/>
      <c r="F9" s="66" t="n"/>
      <c r="G9" s="51" t="n"/>
      <c r="H9" s="52" t="n"/>
      <c r="I9" s="52" t="n"/>
    </row>
    <row r="10">
      <c r="A10" s="53" t="n">
        <v>45716</v>
      </c>
      <c r="B10" s="55" t="inlineStr">
        <is>
          <t>SLGCW/1077/24-25</t>
        </is>
      </c>
      <c r="C10" s="66" t="n"/>
      <c r="D10" s="75" t="n">
        <v>159.67</v>
      </c>
      <c r="E10" s="57" t="n">
        <v>45716</v>
      </c>
      <c r="F10" s="58">
        <f>$E$2-E10</f>
        <v/>
      </c>
      <c r="G10" s="51" t="n"/>
      <c r="H10" s="52" t="n"/>
      <c r="I10" s="52" t="inlineStr">
        <is>
          <t>Sponge Not recived - Send DSO</t>
        </is>
      </c>
    </row>
    <row r="11">
      <c r="A11" s="53" t="n">
        <v>46013</v>
      </c>
      <c r="B11" s="55" t="inlineStr">
        <is>
          <t>SLGCW/1035/25-26</t>
        </is>
      </c>
      <c r="C11" s="66" t="n"/>
      <c r="D11" s="75" t="n">
        <v>383</v>
      </c>
      <c r="E11" s="57" t="n">
        <v>46043</v>
      </c>
      <c r="F11" s="58">
        <f>$E$2-E11</f>
        <v/>
      </c>
      <c r="G11" s="51" t="n"/>
      <c r="H11" s="52" t="n"/>
      <c r="I11" s="52" t="inlineStr">
        <is>
          <t>He will Pay</t>
        </is>
      </c>
    </row>
    <row r="12">
      <c r="A12" s="66" t="n"/>
      <c r="B12" s="66" t="n"/>
      <c r="C12" s="66" t="n"/>
      <c r="D12" s="75" t="n">
        <v>542.67</v>
      </c>
      <c r="E12" s="66" t="n"/>
      <c r="F12" s="66" t="n"/>
      <c r="G12" s="51" t="n"/>
      <c r="H12" s="52" t="n"/>
      <c r="I12" s="52" t="n"/>
    </row>
    <row r="13">
      <c r="A13" s="66" t="n"/>
      <c r="B13" s="66" t="n"/>
      <c r="C13" s="50" t="inlineStr">
        <is>
          <t>KISHORE WATCH CO</t>
        </is>
      </c>
      <c r="D13" s="66" t="n"/>
      <c r="E13" s="66" t="n"/>
      <c r="F13" s="66" t="n"/>
      <c r="G13" s="51" t="n"/>
      <c r="H13" s="52" t="n"/>
      <c r="I13" s="52" t="n"/>
    </row>
    <row r="14">
      <c r="A14" s="53" t="n">
        <v>45996</v>
      </c>
      <c r="B14" s="54" t="inlineStr">
        <is>
          <t>SLGCW/969/25-26</t>
        </is>
      </c>
      <c r="C14" s="66" t="n"/>
      <c r="D14" s="75" t="n">
        <v>2852</v>
      </c>
      <c r="E14" s="57" t="n">
        <v>46041</v>
      </c>
      <c r="F14" s="58">
        <f>$E$2-E14</f>
        <v/>
      </c>
      <c r="G14" s="51" t="n"/>
      <c r="H14" s="52" t="n"/>
      <c r="I14" s="52" t="inlineStr">
        <is>
          <t>Bill not available</t>
        </is>
      </c>
    </row>
    <row r="15">
      <c r="A15" s="53" t="n">
        <v>46139</v>
      </c>
      <c r="B15" s="54" t="inlineStr">
        <is>
          <t>SLGCW/25/26-27</t>
        </is>
      </c>
      <c r="C15" s="66" t="n"/>
      <c r="D15" s="76" t="n">
        <v>196667</v>
      </c>
      <c r="E15" s="57" t="n">
        <v>46184</v>
      </c>
      <c r="F15" s="58" t="n"/>
      <c r="G15" s="51" t="n"/>
      <c r="H15" s="52" t="n"/>
      <c r="I15" s="52" t="n"/>
    </row>
    <row r="16">
      <c r="A16" s="53" t="n">
        <v>46144</v>
      </c>
      <c r="B16" s="54" t="inlineStr">
        <is>
          <t>SLGCW/51/26-27</t>
        </is>
      </c>
      <c r="C16" s="66" t="n"/>
      <c r="D16" s="76" t="n">
        <v>9035</v>
      </c>
      <c r="E16" s="57" t="n">
        <v>46189</v>
      </c>
      <c r="F16" s="66" t="n"/>
      <c r="G16" s="51" t="n"/>
      <c r="H16" s="52" t="n"/>
      <c r="I16" s="52" t="n"/>
    </row>
    <row r="17">
      <c r="A17" s="53" t="n">
        <v>46148</v>
      </c>
      <c r="B17" s="54" t="inlineStr">
        <is>
          <t>SLGCW/59/26-27</t>
        </is>
      </c>
      <c r="C17" s="66" t="n"/>
      <c r="D17" s="76" t="n">
        <v>19731</v>
      </c>
      <c r="E17" s="57" t="n">
        <v>46193</v>
      </c>
      <c r="F17" s="66" t="n"/>
      <c r="G17" s="51" t="n"/>
      <c r="H17" s="52" t="n"/>
      <c r="I17" s="52" t="n"/>
    </row>
    <row r="18">
      <c r="A18" s="66" t="n"/>
      <c r="B18" s="66" t="n"/>
      <c r="C18" s="66" t="n"/>
      <c r="D18" s="75" t="n">
        <v>228285</v>
      </c>
      <c r="E18" s="66" t="n"/>
      <c r="F18" s="66" t="n"/>
      <c r="G18" s="51" t="n"/>
      <c r="H18" s="52" t="n"/>
      <c r="I18" s="52" t="n"/>
    </row>
    <row r="19">
      <c r="A19" s="66" t="n"/>
      <c r="B19" s="66" t="n"/>
      <c r="C19" s="50" t="inlineStr">
        <is>
          <t>Maruti watche &amp; electronics</t>
        </is>
      </c>
      <c r="D19" s="66" t="n"/>
      <c r="E19" s="66" t="n"/>
      <c r="F19" s="66" t="n"/>
      <c r="G19" s="51" t="n"/>
      <c r="H19" s="52" t="n"/>
      <c r="I19" s="52" t="n"/>
    </row>
    <row r="20">
      <c r="A20" s="53" t="n">
        <v>46136</v>
      </c>
      <c r="B20" s="54" t="inlineStr">
        <is>
          <t>SLGCW/15/26-27</t>
        </is>
      </c>
      <c r="C20" s="66" t="n"/>
      <c r="D20" s="76" t="n">
        <v>13163</v>
      </c>
      <c r="E20" s="57" t="n">
        <v>46181</v>
      </c>
      <c r="F20" s="66" t="n"/>
      <c r="G20" s="51" t="n"/>
      <c r="H20" s="52" t="n"/>
      <c r="I20" s="52" t="n"/>
    </row>
    <row r="21">
      <c r="A21" s="53" t="n">
        <v>46142</v>
      </c>
      <c r="B21" s="54" t="inlineStr">
        <is>
          <t>SLGCW/40/26-27</t>
        </is>
      </c>
      <c r="C21" s="66" t="n"/>
      <c r="D21" s="76" t="n">
        <v>48979</v>
      </c>
      <c r="E21" s="57" t="n">
        <v>46187</v>
      </c>
      <c r="F21" s="66" t="n"/>
      <c r="G21" s="51" t="n"/>
      <c r="H21" s="52" t="n"/>
      <c r="I21" s="52" t="n"/>
    </row>
    <row r="22">
      <c r="A22" s="53" t="n">
        <v>46144</v>
      </c>
      <c r="B22" s="54" t="inlineStr">
        <is>
          <t>SLGCW/53/26-27</t>
        </is>
      </c>
      <c r="C22" s="66" t="n"/>
      <c r="D22" s="76" t="n">
        <v>22969</v>
      </c>
      <c r="E22" s="57" t="n">
        <v>46189</v>
      </c>
      <c r="F22" s="66" t="n"/>
      <c r="G22" s="51" t="n"/>
      <c r="H22" s="52" t="n"/>
      <c r="I22" s="52" t="n"/>
    </row>
    <row r="23">
      <c r="A23" s="53" t="n">
        <v>46149</v>
      </c>
      <c r="B23" s="54" t="inlineStr">
        <is>
          <t>SLGCW/61/26-27</t>
        </is>
      </c>
      <c r="C23" s="66" t="n"/>
      <c r="D23" s="75" t="n">
        <v>14355</v>
      </c>
      <c r="E23" s="57" t="n">
        <v>46150</v>
      </c>
      <c r="F23" s="58">
        <f>$E$2-E23</f>
        <v/>
      </c>
      <c r="G23" s="51" t="n"/>
      <c r="H23" s="52" t="n"/>
      <c r="I23" s="52" t="inlineStr">
        <is>
          <t>Number Busy</t>
        </is>
      </c>
    </row>
    <row r="24">
      <c r="A24" s="53" t="n">
        <v>46157</v>
      </c>
      <c r="B24" s="54" t="inlineStr">
        <is>
          <t>SLGCW/65/26-27</t>
        </is>
      </c>
      <c r="C24" s="66" t="n"/>
      <c r="D24" s="75" t="n">
        <v>3281</v>
      </c>
      <c r="E24" s="57" t="n">
        <v>46158</v>
      </c>
      <c r="F24" s="58">
        <f>$E$2-E24</f>
        <v/>
      </c>
      <c r="G24" s="51" t="n"/>
      <c r="H24" s="52" t="n"/>
      <c r="I24" s="52" t="inlineStr">
        <is>
          <t>Number Busy</t>
        </is>
      </c>
    </row>
    <row r="25">
      <c r="A25" s="53" t="n">
        <v>46158</v>
      </c>
      <c r="B25" s="54" t="inlineStr">
        <is>
          <t>SLGCW/67/26-27</t>
        </is>
      </c>
      <c r="C25" s="66" t="n"/>
      <c r="D25" s="76" t="n">
        <v>8756</v>
      </c>
      <c r="E25" s="57" t="n">
        <v>46159</v>
      </c>
      <c r="F25" s="58">
        <f>$E$2-E25</f>
        <v/>
      </c>
      <c r="G25" s="51" t="n"/>
      <c r="H25" s="52" t="n"/>
      <c r="I25" s="52" t="inlineStr">
        <is>
          <t>Number Busy</t>
        </is>
      </c>
    </row>
    <row r="26">
      <c r="A26" s="66" t="n"/>
      <c r="B26" s="66" t="n"/>
      <c r="C26" s="66" t="n"/>
      <c r="D26" s="75" t="n">
        <v>111503</v>
      </c>
      <c r="E26" s="66" t="n"/>
      <c r="F26" s="66" t="n"/>
      <c r="G26" s="51" t="n"/>
      <c r="H26" s="52" t="n"/>
      <c r="I26" s="52" t="n"/>
    </row>
    <row r="27">
      <c r="A27" s="66" t="n"/>
      <c r="B27" s="66" t="n"/>
      <c r="C27" s="50" t="inlineStr">
        <is>
          <t>MILAP GENERAL STORES</t>
        </is>
      </c>
      <c r="D27" s="66" t="n"/>
      <c r="E27" s="66" t="n"/>
      <c r="F27" s="66" t="n"/>
      <c r="G27" s="51" t="n"/>
      <c r="H27" s="52" t="n"/>
      <c r="I27" s="52" t="n"/>
    </row>
    <row r="28">
      <c r="A28" s="53" t="n">
        <v>45705</v>
      </c>
      <c r="B28" s="54" t="inlineStr">
        <is>
          <t>SLGCW/1043/24-25</t>
        </is>
      </c>
      <c r="C28" s="66" t="n"/>
      <c r="D28" s="75" t="n">
        <v>560</v>
      </c>
      <c r="E28" s="57" t="n">
        <v>45705</v>
      </c>
      <c r="F28" s="58">
        <f>$E$2-E28</f>
        <v/>
      </c>
      <c r="G28" s="51" t="n"/>
      <c r="H28" s="52" t="n"/>
      <c r="I28" s="52" t="inlineStr">
        <is>
          <t>Not Lifting Call</t>
        </is>
      </c>
    </row>
    <row r="29">
      <c r="A29" s="53" t="n">
        <v>45708</v>
      </c>
      <c r="B29" s="54" t="inlineStr">
        <is>
          <t>SLGCW/1061/24-25</t>
        </is>
      </c>
      <c r="C29" s="66" t="n"/>
      <c r="D29" s="75" t="n">
        <v>103.36</v>
      </c>
      <c r="E29" s="57" t="n">
        <v>45708</v>
      </c>
      <c r="F29" s="58">
        <f>$E$2-E29</f>
        <v/>
      </c>
      <c r="G29" s="51" t="n"/>
      <c r="H29" s="52" t="n"/>
      <c r="I29" s="52" t="inlineStr">
        <is>
          <t>Not Lifting Call</t>
        </is>
      </c>
    </row>
    <row r="30">
      <c r="A30" s="66" t="n"/>
      <c r="B30" s="66" t="n"/>
      <c r="C30" s="66" t="n"/>
      <c r="D30" s="75" t="n">
        <v>663.36</v>
      </c>
      <c r="E30" s="66" t="n"/>
      <c r="F30" s="66" t="n"/>
      <c r="G30" s="51" t="n"/>
      <c r="H30" s="52" t="n"/>
      <c r="I30" s="52" t="n"/>
    </row>
    <row r="31">
      <c r="A31" s="66" t="n"/>
      <c r="B31" s="66" t="n"/>
      <c r="C31" s="101" t="inlineStr">
        <is>
          <t>NAZEER &amp; SONS</t>
        </is>
      </c>
      <c r="D31" s="66" t="n"/>
      <c r="E31" s="66" t="n"/>
      <c r="F31" s="66" t="n"/>
      <c r="G31" s="51" t="n"/>
      <c r="H31" s="52" t="n"/>
      <c r="I31" s="52" t="n"/>
    </row>
    <row r="32">
      <c r="A32" s="53" t="n">
        <v>46144</v>
      </c>
      <c r="B32" s="54" t="inlineStr">
        <is>
          <t>SLGCW/58/26-27</t>
        </is>
      </c>
      <c r="C32" s="66" t="n"/>
      <c r="D32" s="76" t="n">
        <v>14781</v>
      </c>
      <c r="E32" s="57" t="n">
        <v>46174</v>
      </c>
      <c r="F32" s="66" t="n"/>
      <c r="G32" s="51" t="n"/>
      <c r="H32" s="52" t="n"/>
      <c r="I32" s="52" t="n"/>
    </row>
    <row r="33">
      <c r="A33" s="53" t="n">
        <v>46150</v>
      </c>
      <c r="B33" s="54" t="inlineStr">
        <is>
          <t>SLGCW/62/26-27</t>
        </is>
      </c>
      <c r="C33" s="66" t="n"/>
      <c r="D33" s="75" t="n">
        <v>12783</v>
      </c>
      <c r="E33" s="57" t="n">
        <v>46151</v>
      </c>
      <c r="F33" s="58">
        <f>$E$2-E33</f>
        <v/>
      </c>
      <c r="G33" s="51" t="n">
        <v>12783</v>
      </c>
      <c r="H33" s="51">
        <f>D33-G33</f>
        <v/>
      </c>
      <c r="I33" s="52" t="inlineStr">
        <is>
          <t>Customer says Cheque already Paid</t>
        </is>
      </c>
    </row>
    <row r="34">
      <c r="A34" s="66" t="n"/>
      <c r="B34" s="66" t="n"/>
      <c r="C34" s="66" t="n"/>
      <c r="D34" s="75" t="n">
        <v>27564</v>
      </c>
      <c r="E34" s="66" t="n"/>
      <c r="F34" s="66" t="n"/>
      <c r="G34" s="51" t="n"/>
      <c r="H34" s="52" t="n"/>
      <c r="I34" s="52" t="n"/>
    </row>
    <row r="35" ht="18" customHeight="1" s="5">
      <c r="A35" s="66" t="n"/>
      <c r="B35" s="66" t="n"/>
      <c r="C35" s="101" t="inlineStr">
        <is>
          <t>RAMESH WATCH CO PVT LTD K-INORBIT</t>
        </is>
      </c>
      <c r="D35" s="66" t="n"/>
      <c r="E35" s="66" t="n"/>
      <c r="F35" s="66" t="n"/>
      <c r="G35" s="51" t="n"/>
      <c r="H35" s="52" t="n"/>
      <c r="I35" s="52" t="n"/>
    </row>
    <row r="36">
      <c r="A36" s="53" t="n">
        <v>45667</v>
      </c>
      <c r="B36" s="54" t="inlineStr">
        <is>
          <t>SLGCW/898/24-25</t>
        </is>
      </c>
      <c r="C36" s="66" t="n"/>
      <c r="D36" s="75" t="n">
        <v>92000</v>
      </c>
      <c r="E36" s="57" t="n">
        <v>45667</v>
      </c>
      <c r="F36" s="58">
        <f>$E$2-E36</f>
        <v/>
      </c>
      <c r="G36" s="51" t="n"/>
      <c r="H36" s="52" t="n"/>
      <c r="I36" s="52" t="inlineStr">
        <is>
          <t>Issue</t>
        </is>
      </c>
    </row>
    <row r="37">
      <c r="A37" s="53" t="n">
        <v>46044</v>
      </c>
      <c r="B37" s="54" t="inlineStr">
        <is>
          <t>SLGCW/1138/25-26</t>
        </is>
      </c>
      <c r="C37" s="66" t="n"/>
      <c r="D37" s="75" t="n">
        <v>74393</v>
      </c>
      <c r="E37" s="57" t="n">
        <v>46089</v>
      </c>
      <c r="F37" s="58">
        <f>$E$2-E37</f>
        <v/>
      </c>
      <c r="G37" s="51" t="n"/>
      <c r="H37" s="52" t="n"/>
      <c r="I37" s="52" t="inlineStr">
        <is>
          <t>DSO will collect</t>
        </is>
      </c>
    </row>
    <row r="38">
      <c r="A38" s="53" t="n">
        <v>46045</v>
      </c>
      <c r="B38" s="54" t="inlineStr">
        <is>
          <t>SLGCW/1150/25-26</t>
        </is>
      </c>
      <c r="C38" s="66" t="n"/>
      <c r="D38" s="75" t="n">
        <v>263334</v>
      </c>
      <c r="E38" s="57" t="n">
        <v>46090</v>
      </c>
      <c r="F38" s="58">
        <f>$E$2-E38</f>
        <v/>
      </c>
      <c r="G38" s="51" t="n"/>
      <c r="H38" s="52" t="n"/>
      <c r="I38" s="52" t="inlineStr">
        <is>
          <t>DSO will collect</t>
        </is>
      </c>
    </row>
    <row r="39">
      <c r="A39" s="53" t="n">
        <v>46045</v>
      </c>
      <c r="B39" s="54" t="inlineStr">
        <is>
          <t>SLGCW/1147/25-26</t>
        </is>
      </c>
      <c r="C39" s="66" t="n"/>
      <c r="D39" s="75" t="n">
        <v>60364</v>
      </c>
      <c r="E39" s="57" t="n">
        <v>46090</v>
      </c>
      <c r="F39" s="58">
        <f>$E$2-E39</f>
        <v/>
      </c>
      <c r="G39" s="51" t="n"/>
      <c r="H39" s="52" t="n"/>
      <c r="I39" s="52" t="inlineStr">
        <is>
          <t>DSO will collect</t>
        </is>
      </c>
    </row>
    <row r="40">
      <c r="A40" s="53" t="n">
        <v>46045</v>
      </c>
      <c r="B40" s="54" t="inlineStr">
        <is>
          <t>SLGCW/1149/25-26</t>
        </is>
      </c>
      <c r="C40" s="66" t="n"/>
      <c r="D40" s="75" t="n">
        <v>30132</v>
      </c>
      <c r="E40" s="57" t="n">
        <v>46090</v>
      </c>
      <c r="F40" s="58">
        <f>$E$2-E40</f>
        <v/>
      </c>
      <c r="G40" s="51" t="n"/>
      <c r="H40" s="52" t="n"/>
      <c r="I40" s="52" t="inlineStr">
        <is>
          <t>DSO will collect</t>
        </is>
      </c>
    </row>
    <row r="41">
      <c r="A41" s="53" t="n">
        <v>46055</v>
      </c>
      <c r="B41" s="54" t="inlineStr">
        <is>
          <t>SLGCW/1188/25-26</t>
        </is>
      </c>
      <c r="C41" s="66" t="n"/>
      <c r="D41" s="75" t="n">
        <v>304908</v>
      </c>
      <c r="E41" s="57" t="n">
        <v>46100</v>
      </c>
      <c r="F41" s="58">
        <f>$E$2-E41</f>
        <v/>
      </c>
      <c r="G41" s="51" t="n"/>
      <c r="H41" s="52" t="n"/>
      <c r="I41" s="52" t="inlineStr">
        <is>
          <t>DSO will collect</t>
        </is>
      </c>
    </row>
    <row r="42">
      <c r="A42" s="53" t="n">
        <v>46067</v>
      </c>
      <c r="B42" s="54" t="inlineStr">
        <is>
          <t>SLGCW/1226/25-26</t>
        </is>
      </c>
      <c r="C42" s="66" t="n"/>
      <c r="D42" s="75" t="n">
        <v>51332</v>
      </c>
      <c r="E42" s="57" t="n">
        <v>46112</v>
      </c>
      <c r="F42" s="58">
        <f>$E$2-E42</f>
        <v/>
      </c>
      <c r="G42" s="51" t="n"/>
      <c r="H42" s="52" t="n"/>
      <c r="I42" s="52" t="inlineStr">
        <is>
          <t>DSO will collect</t>
        </is>
      </c>
    </row>
    <row r="43">
      <c r="A43" s="53" t="n">
        <v>46076</v>
      </c>
      <c r="B43" s="54" t="inlineStr">
        <is>
          <t>SLGCW/1233/25-26</t>
        </is>
      </c>
      <c r="C43" s="66" t="n"/>
      <c r="D43" s="75" t="n">
        <v>11979</v>
      </c>
      <c r="E43" s="57" t="n">
        <v>46121</v>
      </c>
      <c r="F43" s="58">
        <f>$E$2-E43</f>
        <v/>
      </c>
      <c r="G43" s="51" t="n"/>
      <c r="H43" s="52" t="n"/>
      <c r="I43" s="52" t="inlineStr">
        <is>
          <t>DSO will collect</t>
        </is>
      </c>
    </row>
    <row r="44">
      <c r="A44" s="53" t="n">
        <v>46076</v>
      </c>
      <c r="B44" s="54" t="inlineStr">
        <is>
          <t>SLGCW/1235/25-26</t>
        </is>
      </c>
      <c r="C44" s="66" t="n"/>
      <c r="D44" s="75" t="n">
        <v>6291</v>
      </c>
      <c r="E44" s="57" t="n">
        <v>46121</v>
      </c>
      <c r="F44" s="58">
        <f>$E$2-E44</f>
        <v/>
      </c>
      <c r="G44" s="51" t="n"/>
      <c r="H44" s="52" t="n"/>
      <c r="I44" s="52" t="inlineStr">
        <is>
          <t>DSO will collect</t>
        </is>
      </c>
    </row>
    <row r="45">
      <c r="A45" s="53" t="n">
        <v>46076</v>
      </c>
      <c r="B45" s="54" t="inlineStr">
        <is>
          <t>SLGCW/1236/25-26</t>
        </is>
      </c>
      <c r="C45" s="66" t="n"/>
      <c r="D45" s="75" t="n">
        <v>7296</v>
      </c>
      <c r="E45" s="57" t="n">
        <v>46121</v>
      </c>
      <c r="F45" s="58">
        <f>$E$2-E45</f>
        <v/>
      </c>
      <c r="G45" s="51" t="n"/>
      <c r="H45" s="52" t="n"/>
      <c r="I45" s="52" t="inlineStr">
        <is>
          <t>DSO will collect</t>
        </is>
      </c>
    </row>
    <row r="46">
      <c r="A46" s="53" t="n">
        <v>46090</v>
      </c>
      <c r="B46" s="54" t="inlineStr">
        <is>
          <t>SLGCW/1247/25-26</t>
        </is>
      </c>
      <c r="C46" s="66" t="n"/>
      <c r="D46" s="75" t="n">
        <v>17417</v>
      </c>
      <c r="E46" s="57" t="n">
        <v>46135</v>
      </c>
      <c r="F46" s="58">
        <f>$E$2-E46</f>
        <v/>
      </c>
      <c r="G46" s="51" t="n"/>
      <c r="H46" s="52" t="n"/>
      <c r="I46" s="52" t="inlineStr">
        <is>
          <t>DSO will collect</t>
        </is>
      </c>
    </row>
    <row r="47">
      <c r="A47" s="53" t="n">
        <v>46121</v>
      </c>
      <c r="B47" s="54" t="inlineStr">
        <is>
          <t>SLGCW/1/26-27</t>
        </is>
      </c>
      <c r="C47" s="66" t="n"/>
      <c r="D47" s="76" t="n">
        <v>188677</v>
      </c>
      <c r="E47" s="57" t="n">
        <v>46166</v>
      </c>
      <c r="F47" s="66" t="n"/>
      <c r="G47" s="51" t="n"/>
      <c r="H47" s="52" t="n"/>
      <c r="I47" s="52" t="inlineStr">
        <is>
          <t>DSO will collect</t>
        </is>
      </c>
    </row>
    <row r="48">
      <c r="A48" s="53" t="n">
        <v>46121</v>
      </c>
      <c r="B48" s="54" t="inlineStr">
        <is>
          <t>SLGCW/2/26-27</t>
        </is>
      </c>
      <c r="C48" s="66" t="n"/>
      <c r="D48" s="76" t="n">
        <v>125895</v>
      </c>
      <c r="E48" s="57" t="n">
        <v>46166</v>
      </c>
      <c r="F48" s="66" t="n"/>
      <c r="G48" s="51" t="n"/>
      <c r="H48" s="52" t="n"/>
      <c r="I48" s="52" t="inlineStr">
        <is>
          <t>DSO will collect</t>
        </is>
      </c>
    </row>
    <row r="49">
      <c r="A49" s="53" t="n">
        <v>46121</v>
      </c>
      <c r="B49" s="54" t="inlineStr">
        <is>
          <t>SLGCW/3/26-27</t>
        </is>
      </c>
      <c r="C49" s="66" t="n"/>
      <c r="D49" s="76" t="n">
        <v>176081</v>
      </c>
      <c r="E49" s="57" t="n">
        <v>46166</v>
      </c>
      <c r="F49" s="66" t="n"/>
      <c r="G49" s="51" t="n"/>
      <c r="H49" s="52" t="n"/>
      <c r="I49" s="52" t="inlineStr">
        <is>
          <t>DSO will collect</t>
        </is>
      </c>
    </row>
    <row r="50">
      <c r="A50" s="53" t="n">
        <v>46121</v>
      </c>
      <c r="B50" s="54" t="inlineStr">
        <is>
          <t>SLGCW/4/26-27</t>
        </is>
      </c>
      <c r="C50" s="66" t="n"/>
      <c r="D50" s="76" t="n">
        <v>101373</v>
      </c>
      <c r="E50" s="57" t="n">
        <v>46166</v>
      </c>
      <c r="F50" s="66" t="n"/>
      <c r="G50" s="51" t="n"/>
      <c r="H50" s="52" t="n"/>
      <c r="I50" s="52" t="inlineStr">
        <is>
          <t>DSO will collect</t>
        </is>
      </c>
    </row>
    <row r="51">
      <c r="A51" s="53" t="n">
        <v>46121</v>
      </c>
      <c r="B51" s="54" t="inlineStr">
        <is>
          <t>SLGCW/5/26-27</t>
        </is>
      </c>
      <c r="C51" s="66" t="n"/>
      <c r="D51" s="76" t="n">
        <v>16740</v>
      </c>
      <c r="E51" s="57" t="n">
        <v>46166</v>
      </c>
      <c r="F51" s="66" t="n"/>
      <c r="G51" s="51" t="n"/>
      <c r="H51" s="52" t="n"/>
      <c r="I51" s="52" t="inlineStr">
        <is>
          <t>DSO will collect</t>
        </is>
      </c>
    </row>
    <row r="52">
      <c r="A52" s="53" t="n">
        <v>46121</v>
      </c>
      <c r="B52" s="54" t="inlineStr">
        <is>
          <t>SLGCW/6/26-27</t>
        </is>
      </c>
      <c r="C52" s="66" t="n"/>
      <c r="D52" s="76" t="n">
        <v>34833</v>
      </c>
      <c r="E52" s="57" t="n">
        <v>46166</v>
      </c>
      <c r="F52" s="66" t="n"/>
      <c r="G52" s="51" t="n"/>
      <c r="H52" s="52" t="n"/>
      <c r="I52" s="52" t="inlineStr">
        <is>
          <t>DSO will collect</t>
        </is>
      </c>
    </row>
    <row r="53">
      <c r="A53" s="53" t="n">
        <v>46121</v>
      </c>
      <c r="B53" s="54" t="inlineStr">
        <is>
          <t>SLGCW/7/26-27</t>
        </is>
      </c>
      <c r="C53" s="66" t="n"/>
      <c r="D53" s="76" t="n">
        <v>743415</v>
      </c>
      <c r="E53" s="57" t="n">
        <v>46166</v>
      </c>
      <c r="F53" s="66" t="n"/>
      <c r="G53" s="51" t="n"/>
      <c r="H53" s="52" t="n"/>
      <c r="I53" s="52" t="inlineStr">
        <is>
          <t>DSO will collect</t>
        </is>
      </c>
    </row>
    <row r="54">
      <c r="A54" s="53" t="n">
        <v>46121</v>
      </c>
      <c r="B54" s="54" t="inlineStr">
        <is>
          <t>SLGCW/8/26-27</t>
        </is>
      </c>
      <c r="C54" s="66" t="n"/>
      <c r="D54" s="76" t="n">
        <v>371398</v>
      </c>
      <c r="E54" s="57" t="n">
        <v>46166</v>
      </c>
      <c r="F54" s="66" t="n"/>
      <c r="G54" s="51" t="n"/>
      <c r="H54" s="52" t="n"/>
      <c r="I54" s="52" t="inlineStr">
        <is>
          <t>DSO will collect</t>
        </is>
      </c>
    </row>
    <row r="55">
      <c r="A55" s="53" t="n">
        <v>46137</v>
      </c>
      <c r="B55" s="54" t="inlineStr">
        <is>
          <t>SLGCW/22/26-27</t>
        </is>
      </c>
      <c r="C55" s="66" t="n"/>
      <c r="D55" s="76" t="n">
        <v>111145</v>
      </c>
      <c r="E55" s="57" t="n">
        <v>46182</v>
      </c>
      <c r="F55" s="66" t="n"/>
      <c r="G55" s="51" t="n"/>
      <c r="H55" s="52" t="n"/>
      <c r="I55" s="52" t="inlineStr">
        <is>
          <t>DSO will collect</t>
        </is>
      </c>
    </row>
    <row r="56">
      <c r="A56" s="53" t="n">
        <v>46137</v>
      </c>
      <c r="B56" s="54" t="inlineStr">
        <is>
          <t>SLGCW/23/26-27</t>
        </is>
      </c>
      <c r="C56" s="66" t="n"/>
      <c r="D56" s="76" t="n">
        <v>119259</v>
      </c>
      <c r="E56" s="57" t="n">
        <v>46182</v>
      </c>
      <c r="F56" s="66" t="n"/>
      <c r="G56" s="51" t="n"/>
      <c r="H56" s="52" t="n"/>
      <c r="I56" s="52" t="inlineStr">
        <is>
          <t>DSO will collect</t>
        </is>
      </c>
    </row>
    <row r="57">
      <c r="A57" s="53" t="n">
        <v>46139</v>
      </c>
      <c r="B57" s="54" t="inlineStr">
        <is>
          <t>SLGCW/28/26-27</t>
        </is>
      </c>
      <c r="C57" s="66" t="n"/>
      <c r="D57" s="75" t="n">
        <v>547720</v>
      </c>
      <c r="E57" s="57" t="n">
        <v>46140</v>
      </c>
      <c r="F57" s="58">
        <f>$E$2-E57</f>
        <v/>
      </c>
      <c r="G57" s="51" t="n"/>
      <c r="H57" s="52" t="n"/>
      <c r="I57" s="52" t="inlineStr">
        <is>
          <t>DSO will collect</t>
        </is>
      </c>
    </row>
    <row r="58">
      <c r="A58" s="53" t="n">
        <v>46140</v>
      </c>
      <c r="B58" s="54" t="inlineStr">
        <is>
          <t>SLGCW/29/26-27</t>
        </is>
      </c>
      <c r="C58" s="66" t="n"/>
      <c r="D58" s="76" t="n">
        <v>348093</v>
      </c>
      <c r="E58" s="57" t="n">
        <v>46185</v>
      </c>
      <c r="F58" s="66" t="n"/>
      <c r="G58" s="51" t="n"/>
      <c r="H58" s="52" t="n"/>
      <c r="I58" s="52" t="inlineStr">
        <is>
          <t>DSO will collect</t>
        </is>
      </c>
    </row>
    <row r="59">
      <c r="A59" s="53" t="n">
        <v>46140</v>
      </c>
      <c r="B59" s="54" t="inlineStr">
        <is>
          <t>SLGCW/30/26-27</t>
        </is>
      </c>
      <c r="C59" s="66" t="n"/>
      <c r="D59" s="75" t="n">
        <v>90650</v>
      </c>
      <c r="E59" s="57" t="n">
        <v>46141</v>
      </c>
      <c r="F59" s="58">
        <f>$E$2-E59</f>
        <v/>
      </c>
      <c r="G59" s="51" t="n"/>
      <c r="H59" s="52" t="n"/>
      <c r="I59" s="52" t="inlineStr">
        <is>
          <t>DSO will collect</t>
        </is>
      </c>
    </row>
    <row r="60">
      <c r="A60" s="53" t="n">
        <v>46140</v>
      </c>
      <c r="B60" s="54" t="inlineStr">
        <is>
          <t>SLGCW/31/26-27</t>
        </is>
      </c>
      <c r="C60" s="66" t="n"/>
      <c r="D60" s="76" t="n">
        <v>292469</v>
      </c>
      <c r="E60" s="57" t="n">
        <v>46185</v>
      </c>
      <c r="F60" s="66" t="n"/>
      <c r="G60" s="51" t="n"/>
      <c r="H60" s="52" t="n"/>
      <c r="I60" s="52" t="inlineStr">
        <is>
          <t>DSO will collect</t>
        </is>
      </c>
    </row>
    <row r="61">
      <c r="A61" s="53" t="n">
        <v>46140</v>
      </c>
      <c r="B61" s="54" t="inlineStr">
        <is>
          <t>SLGCW/32/26-27</t>
        </is>
      </c>
      <c r="C61" s="66" t="n"/>
      <c r="D61" s="76" t="n">
        <v>132528</v>
      </c>
      <c r="E61" s="57" t="n">
        <v>46185</v>
      </c>
      <c r="F61" s="66" t="n"/>
      <c r="G61" s="51" t="n"/>
      <c r="H61" s="52" t="n"/>
      <c r="I61" s="52" t="inlineStr">
        <is>
          <t>DSO will collect</t>
        </is>
      </c>
    </row>
    <row r="62">
      <c r="A62" s="53" t="n">
        <v>46140</v>
      </c>
      <c r="B62" s="54" t="inlineStr">
        <is>
          <t>SLGCW/33/26-27</t>
        </is>
      </c>
      <c r="C62" s="66" t="n"/>
      <c r="D62" s="76" t="n">
        <v>240230</v>
      </c>
      <c r="E62" s="57" t="n">
        <v>46185</v>
      </c>
      <c r="F62" s="66" t="n"/>
      <c r="G62" s="51" t="n"/>
      <c r="H62" s="52" t="n"/>
      <c r="I62" s="52" t="inlineStr">
        <is>
          <t>DSO will collect</t>
        </is>
      </c>
    </row>
    <row r="63">
      <c r="A63" s="53" t="n">
        <v>46140</v>
      </c>
      <c r="B63" s="54" t="inlineStr">
        <is>
          <t>SLGCW/35/26-27</t>
        </is>
      </c>
      <c r="C63" s="66" t="n"/>
      <c r="D63" s="76" t="n">
        <v>204171</v>
      </c>
      <c r="E63" s="57" t="n">
        <v>46185</v>
      </c>
      <c r="F63" s="66" t="n"/>
      <c r="G63" s="51" t="n"/>
      <c r="H63" s="52" t="n"/>
      <c r="I63" s="52" t="inlineStr">
        <is>
          <t>DSO will collect</t>
        </is>
      </c>
    </row>
    <row r="64">
      <c r="A64" s="53" t="n">
        <v>46141</v>
      </c>
      <c r="B64" s="54" t="inlineStr">
        <is>
          <t>SLGCW/37/26-27</t>
        </is>
      </c>
      <c r="C64" s="66" t="n"/>
      <c r="D64" s="75" t="n">
        <v>65314</v>
      </c>
      <c r="E64" s="57" t="n">
        <v>46142</v>
      </c>
      <c r="F64" s="58">
        <f>$E$2-E64</f>
        <v/>
      </c>
      <c r="G64" s="51" t="n"/>
      <c r="H64" s="52" t="n"/>
      <c r="I64" s="52" t="inlineStr">
        <is>
          <t>DSO will collect</t>
        </is>
      </c>
    </row>
    <row r="65">
      <c r="A65" s="53" t="n">
        <v>46141</v>
      </c>
      <c r="B65" s="54" t="inlineStr">
        <is>
          <t>SLGCW/36/26-27</t>
        </is>
      </c>
      <c r="C65" s="66" t="n"/>
      <c r="D65" s="75" t="n">
        <v>107008</v>
      </c>
      <c r="E65" s="57" t="n">
        <v>46142</v>
      </c>
      <c r="F65" s="58">
        <f>$E$2-E65</f>
        <v/>
      </c>
      <c r="G65" s="51" t="n"/>
      <c r="H65" s="52" t="n"/>
      <c r="I65" s="52" t="inlineStr">
        <is>
          <t>DSO will collect</t>
        </is>
      </c>
    </row>
    <row r="66">
      <c r="A66" s="53" t="n">
        <v>46142</v>
      </c>
      <c r="B66" s="54" t="inlineStr">
        <is>
          <t>SLGCW/42/26-27</t>
        </is>
      </c>
      <c r="C66" s="66" t="n"/>
      <c r="D66" s="76" t="n">
        <v>105959</v>
      </c>
      <c r="E66" s="57" t="n">
        <v>46187</v>
      </c>
      <c r="F66" s="66" t="n"/>
      <c r="G66" s="51" t="n"/>
      <c r="H66" s="52" t="n"/>
      <c r="I66" s="52" t="inlineStr">
        <is>
          <t>DSO will collect</t>
        </is>
      </c>
    </row>
    <row r="67">
      <c r="A67" s="53" t="n">
        <v>46144</v>
      </c>
      <c r="B67" s="54" t="inlineStr">
        <is>
          <t>SLGCW/50/26-27</t>
        </is>
      </c>
      <c r="C67" s="66" t="n"/>
      <c r="D67" s="76" t="n">
        <v>84325</v>
      </c>
      <c r="E67" s="57" t="n">
        <v>46189</v>
      </c>
      <c r="F67" s="66" t="n"/>
      <c r="G67" s="51" t="n"/>
      <c r="H67" s="52" t="n"/>
      <c r="I67" s="52" t="inlineStr">
        <is>
          <t>DSO will collect</t>
        </is>
      </c>
    </row>
    <row r="68">
      <c r="A68" s="53" t="n">
        <v>46148</v>
      </c>
      <c r="B68" s="54" t="inlineStr">
        <is>
          <t>SLGCW/60/26-27</t>
        </is>
      </c>
      <c r="C68" s="66" t="n"/>
      <c r="D68" s="76" t="n">
        <v>9635</v>
      </c>
      <c r="E68" s="57" t="n">
        <v>46193</v>
      </c>
      <c r="F68" s="66" t="n"/>
      <c r="G68" s="51" t="n"/>
      <c r="H68" s="52" t="n"/>
      <c r="I68" s="52" t="inlineStr">
        <is>
          <t>DSO will collect</t>
        </is>
      </c>
    </row>
    <row r="69">
      <c r="A69" s="66" t="n"/>
      <c r="B69" s="66" t="n"/>
      <c r="C69" s="66" t="n"/>
      <c r="D69" s="75" t="n">
        <v>5136364</v>
      </c>
      <c r="E69" s="66" t="n"/>
      <c r="F69" s="66" t="n"/>
      <c r="G69" s="51" t="n">
        <v>10000</v>
      </c>
      <c r="H69" s="51">
        <f>D69-G69</f>
        <v/>
      </c>
      <c r="I69" s="52" t="n"/>
    </row>
    <row r="70">
      <c r="A70" s="66" t="n"/>
      <c r="B70" s="66" t="n"/>
      <c r="C70" s="50" t="inlineStr">
        <is>
          <t>RAVINDRA WATCH REPAIR</t>
        </is>
      </c>
      <c r="D70" s="66" t="n"/>
      <c r="E70" s="66" t="n"/>
      <c r="F70" s="66" t="n"/>
      <c r="G70" s="51" t="n"/>
      <c r="H70" s="52" t="n"/>
      <c r="I70" s="52" t="n"/>
    </row>
    <row r="71">
      <c r="A71" s="53" t="n">
        <v>45682</v>
      </c>
      <c r="B71" s="54" t="inlineStr">
        <is>
          <t>SLGCW/969/24-25</t>
        </is>
      </c>
      <c r="C71" s="66" t="n"/>
      <c r="D71" s="75" t="n">
        <v>271</v>
      </c>
      <c r="E71" s="57" t="n">
        <v>45682</v>
      </c>
      <c r="F71" s="58">
        <f>$E$2-E71</f>
        <v/>
      </c>
      <c r="G71" s="51" t="n"/>
      <c r="H71" s="52" t="n"/>
      <c r="I71" s="52" t="inlineStr">
        <is>
          <t>Old Credit Issue</t>
        </is>
      </c>
    </row>
    <row r="72">
      <c r="A72" s="53" t="n">
        <v>45951</v>
      </c>
      <c r="B72" s="54" t="inlineStr">
        <is>
          <t>SLGCW/768/25-26</t>
        </is>
      </c>
      <c r="C72" s="66" t="n"/>
      <c r="D72" s="75" t="n">
        <v>272</v>
      </c>
      <c r="E72" s="57" t="n">
        <v>45952</v>
      </c>
      <c r="F72" s="58">
        <f>$E$2-E72</f>
        <v/>
      </c>
      <c r="G72" s="51" t="n"/>
      <c r="H72" s="52" t="n"/>
      <c r="I72" s="52" t="inlineStr">
        <is>
          <t>Old Credit Issue</t>
        </is>
      </c>
    </row>
    <row r="73">
      <c r="A73" s="66" t="n"/>
      <c r="B73" s="66" t="n"/>
      <c r="C73" s="66" t="n"/>
      <c r="D73" s="75" t="n">
        <v>543</v>
      </c>
      <c r="E73" s="66" t="n"/>
      <c r="F73" s="66" t="n"/>
      <c r="G73" s="51" t="n"/>
      <c r="H73" s="52" t="n"/>
      <c r="I73" s="52" t="n"/>
    </row>
    <row r="74">
      <c r="A74" s="66" t="n"/>
      <c r="B74" s="66" t="n"/>
      <c r="C74" s="50" t="inlineStr">
        <is>
          <t>Siddi Times &amp; Electronics</t>
        </is>
      </c>
      <c r="D74" s="66" t="n"/>
      <c r="E74" s="66" t="n"/>
      <c r="F74" s="66" t="n"/>
      <c r="G74" s="51" t="n"/>
      <c r="H74" s="52" t="n"/>
      <c r="I74" s="52" t="n"/>
    </row>
    <row r="75">
      <c r="A75" s="53" t="n">
        <v>46142</v>
      </c>
      <c r="B75" s="54" t="inlineStr">
        <is>
          <t>SLGCW/41/26-27</t>
        </is>
      </c>
      <c r="C75" s="66" t="n"/>
      <c r="D75" s="75" t="n">
        <v>149682</v>
      </c>
      <c r="E75" s="57" t="n">
        <v>46143</v>
      </c>
      <c r="F75" s="58">
        <f>$E$2-E75</f>
        <v/>
      </c>
      <c r="G75" s="51" t="n"/>
      <c r="H75" s="52" t="n"/>
      <c r="I75" s="52" t="inlineStr">
        <is>
          <t>Send DSO tommorrow morning</t>
        </is>
      </c>
      <c r="J75" s="52" t="inlineStr">
        <is>
          <t>Paid by Cheque</t>
        </is>
      </c>
    </row>
    <row r="76">
      <c r="A76" s="66" t="n"/>
      <c r="B76" s="66" t="n"/>
      <c r="C76" s="66" t="n"/>
      <c r="D76" s="75" t="n">
        <v>149682</v>
      </c>
      <c r="E76" s="66" t="n"/>
      <c r="F76" s="66" t="n"/>
      <c r="G76" s="51" t="n">
        <v>149682</v>
      </c>
      <c r="H76" s="51">
        <f>D76-G76</f>
        <v/>
      </c>
      <c r="I76" s="52" t="n"/>
    </row>
    <row r="77">
      <c r="A77" s="66" t="n"/>
      <c r="B77" s="66" t="n"/>
      <c r="C77" s="50" t="inlineStr">
        <is>
          <t>SS WATCHES AND SUNGLASSES</t>
        </is>
      </c>
      <c r="D77" s="66" t="n"/>
      <c r="E77" s="66" t="n"/>
      <c r="F77" s="66" t="n"/>
      <c r="G77" s="51" t="n"/>
      <c r="H77" s="52" t="n"/>
      <c r="I77" s="52" t="n"/>
    </row>
    <row r="78">
      <c r="A78" s="53" t="n">
        <v>46102</v>
      </c>
      <c r="B78" s="54" t="inlineStr">
        <is>
          <t>SLGCW/1263/25-26</t>
        </is>
      </c>
      <c r="C78" s="66" t="n"/>
      <c r="D78" s="75" t="n">
        <v>12806</v>
      </c>
      <c r="E78" s="57" t="n">
        <v>46102</v>
      </c>
      <c r="F78" s="58">
        <f>$E$2-E78</f>
        <v/>
      </c>
      <c r="G78" s="51" t="n"/>
      <c r="H78" s="52" t="n"/>
      <c r="I78" s="52" t="n"/>
    </row>
    <row r="79">
      <c r="A79" s="66" t="n"/>
      <c r="B79" s="66" t="n"/>
      <c r="C79" s="66" t="n"/>
      <c r="D79" s="75" t="n">
        <v>12806</v>
      </c>
      <c r="E79" s="66" t="n"/>
      <c r="F79" s="66" t="n"/>
      <c r="G79" s="51" t="n"/>
      <c r="H79" s="52" t="n"/>
      <c r="I79" s="52" t="inlineStr">
        <is>
          <t>Not Responding</t>
        </is>
      </c>
    </row>
    <row r="80">
      <c r="A80" s="66" t="n"/>
      <c r="B80" s="66" t="n"/>
      <c r="C80" s="50" t="inlineStr">
        <is>
          <t>Sunny Watch</t>
        </is>
      </c>
      <c r="D80" s="66" t="n"/>
      <c r="E80" s="66" t="n"/>
      <c r="F80" s="66" t="n"/>
      <c r="G80" s="51" t="n"/>
      <c r="H80" s="52" t="n"/>
      <c r="I80" s="52" t="n"/>
    </row>
    <row r="81">
      <c r="A81" s="53" t="n">
        <v>46137</v>
      </c>
      <c r="B81" s="54" t="inlineStr">
        <is>
          <t>SLGCW/18/26-27</t>
        </is>
      </c>
      <c r="C81" s="66" t="n"/>
      <c r="D81" s="75" t="n">
        <v>111599</v>
      </c>
      <c r="E81" s="57" t="n">
        <v>46138</v>
      </c>
      <c r="F81" s="58">
        <f>$E$2-E81</f>
        <v/>
      </c>
      <c r="G81" s="51" t="n"/>
      <c r="H81" s="52" t="n"/>
      <c r="I81" s="52">
        <f>I79</f>
        <v/>
      </c>
    </row>
    <row r="82">
      <c r="A82" s="53" t="n">
        <v>46144</v>
      </c>
      <c r="B82" s="54" t="inlineStr">
        <is>
          <t>SLGCW/56/26-27</t>
        </is>
      </c>
      <c r="C82" s="66" t="n"/>
      <c r="D82" s="76" t="n">
        <v>20227</v>
      </c>
      <c r="E82" s="57" t="n">
        <v>46169</v>
      </c>
      <c r="F82" s="66" t="n"/>
      <c r="G82" s="51" t="n"/>
      <c r="H82" s="52" t="n"/>
      <c r="I82" s="52" t="n"/>
    </row>
    <row r="83">
      <c r="A83" s="66" t="n"/>
      <c r="B83" s="66" t="n"/>
      <c r="C83" s="66" t="n"/>
      <c r="D83" s="75" t="n">
        <v>131826</v>
      </c>
      <c r="E83" s="66" t="n"/>
      <c r="F83" s="66" t="n"/>
      <c r="G83" s="51" t="n"/>
      <c r="H83" s="52" t="n"/>
      <c r="I83" s="52" t="n"/>
    </row>
    <row r="84">
      <c r="A84" s="66" t="n"/>
      <c r="B84" s="66" t="n"/>
      <c r="C84" s="50" t="inlineStr">
        <is>
          <t>THE TIMES</t>
        </is>
      </c>
      <c r="D84" s="66" t="n"/>
      <c r="E84" s="66" t="n"/>
      <c r="F84" s="66" t="n"/>
      <c r="G84" s="51" t="n"/>
      <c r="H84" s="52" t="n"/>
      <c r="I84" s="52" t="n"/>
    </row>
    <row r="85">
      <c r="A85" s="53" t="n">
        <v>46137</v>
      </c>
      <c r="B85" s="54" t="inlineStr">
        <is>
          <t>SLGCW/20/26-27</t>
        </is>
      </c>
      <c r="C85" s="66" t="n"/>
      <c r="D85" s="75" t="n">
        <v>70357</v>
      </c>
      <c r="E85" s="57" t="n">
        <v>46137</v>
      </c>
      <c r="F85" s="58">
        <f>$E$2-E85</f>
        <v/>
      </c>
      <c r="G85" s="51" t="n"/>
      <c r="H85" s="52" t="n"/>
      <c r="I85" s="52" t="inlineStr">
        <is>
          <t>Next Week (Market Down)</t>
        </is>
      </c>
    </row>
    <row r="86">
      <c r="A86" s="66" t="n"/>
      <c r="B86" s="66" t="n"/>
      <c r="C86" s="66" t="n"/>
      <c r="D86" s="75" t="n">
        <v>70357</v>
      </c>
      <c r="E86" s="66" t="n"/>
      <c r="F86" s="66" t="n"/>
      <c r="G86" s="51" t="n"/>
      <c r="H86" s="52" t="n"/>
      <c r="I86" s="52" t="n"/>
    </row>
    <row r="87">
      <c r="A87" s="66" t="n"/>
      <c r="B87" s="66" t="n"/>
      <c r="C87" s="60" t="inlineStr">
        <is>
          <t>TOTAL AMOUNT</t>
        </is>
      </c>
      <c r="D87" s="75" t="n">
        <v>7826037.03</v>
      </c>
      <c r="E87" s="66" t="n"/>
      <c r="F87" s="66" t="n"/>
      <c r="G87" s="51">
        <f>SUM(G6:G87)</f>
        <v/>
      </c>
      <c r="H87" s="52">
        <f>SUM(H6:H86)</f>
        <v/>
      </c>
      <c r="I87" s="52" t="n"/>
    </row>
  </sheetData>
  <mergeCells count="3">
    <mergeCell ref="B1:C1"/>
    <mergeCell ref="B2:C2"/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GROUP HEAD</dc:creator>
  <dcterms:created xmlns:dcterms="http://purl.org/dc/terms/" xmlns:xsi="http://www.w3.org/2001/XMLSchema-instance" xsi:type="dcterms:W3CDTF">2026-05-20T06:51:39Z</dcterms:created>
  <dcterms:modified xmlns:dcterms="http://purl.org/dc/terms/" xmlns:xsi="http://www.w3.org/2001/XMLSchema-instance" xsi:type="dcterms:W3CDTF">2026-05-22T15:11:17Z</dcterms:modified>
  <cp:lastModifiedBy>admin</cp:lastModifiedBy>
  <cp:lastPrinted>2026-05-21T09:56:02Z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2026-05-18T00:00:00Z</vt:filetime>
  </property>
  <property name="Creator" fmtid="{D5CDD505-2E9C-101B-9397-08002B2CF9AE}" pid="3">
    <vt:lpwstr xmlns:vt="http://schemas.openxmlformats.org/officeDocument/2006/docPropsVTypes">Microsoft® Excel® 2010</vt:lpwstr>
  </property>
  <property name="LastSaved" fmtid="{D5CDD505-2E9C-101B-9397-08002B2CF9AE}" pid="4">
    <vt:filetime xmlns:vt="http://schemas.openxmlformats.org/officeDocument/2006/docPropsVTypes">2026-05-20T00:00:00Z</vt:filetime>
  </property>
  <property name="Producer" fmtid="{D5CDD505-2E9C-101B-9397-08002B2CF9AE}" pid="5">
    <vt:lpwstr xmlns:vt="http://schemas.openxmlformats.org/officeDocument/2006/docPropsVTypes">Microsoft® Excel® 2010</vt:lpwstr>
  </property>
</Properties>
</file>