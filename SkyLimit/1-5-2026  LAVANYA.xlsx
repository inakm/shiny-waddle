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9345" activeTab="2"/>
  </bookViews>
  <sheets>
    <sheet name="NAJEEB " sheetId="1" r:id="rId1"/>
    <sheet name="MUJHID" sheetId="2" r:id="rId2"/>
    <sheet name="VINOD " sheetId="3" r:id="rId3"/>
    <sheet name="CREDIT NOTE LIST " sheetId="4" r:id="rId4"/>
    <sheet name="paid detail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3" l="1"/>
  <c r="C22" i="3"/>
  <c r="C24" i="3"/>
  <c r="C33" i="3" l="1"/>
  <c r="D33" i="3"/>
  <c r="C8" i="4" l="1"/>
  <c r="C7" i="4"/>
  <c r="C6" i="4"/>
  <c r="B7" i="4"/>
  <c r="B6" i="4"/>
  <c r="C4" i="4"/>
  <c r="D4" i="1" l="1"/>
  <c r="D44" i="1"/>
  <c r="C44" i="1"/>
  <c r="C8" i="2" l="1"/>
  <c r="K25" i="1" l="1"/>
  <c r="K23" i="1"/>
  <c r="K22" i="1"/>
  <c r="K21" i="1"/>
  <c r="K20" i="1"/>
  <c r="K19" i="1"/>
  <c r="K18" i="1"/>
  <c r="K16" i="1"/>
  <c r="K13" i="1"/>
  <c r="K11" i="1"/>
  <c r="K3" i="1"/>
  <c r="J40" i="3"/>
  <c r="J37" i="3"/>
  <c r="J36" i="3"/>
  <c r="J33" i="3"/>
  <c r="J32" i="3"/>
  <c r="J28" i="3"/>
  <c r="J25" i="3"/>
  <c r="J22" i="3"/>
  <c r="J21" i="3"/>
  <c r="J18" i="3"/>
  <c r="J14" i="3"/>
  <c r="J12" i="3"/>
  <c r="D5" i="3"/>
  <c r="L29" i="2"/>
  <c r="D8" i="2"/>
  <c r="C13" i="3"/>
  <c r="D13" i="2"/>
  <c r="D28" i="2"/>
  <c r="D3" i="3"/>
  <c r="F8" i="5" l="1"/>
  <c r="E8" i="5"/>
  <c r="D8" i="5"/>
  <c r="F5" i="5"/>
  <c r="F6" i="5"/>
  <c r="D32" i="2"/>
  <c r="D60" i="1"/>
  <c r="D46" i="3"/>
  <c r="D26" i="3"/>
  <c r="D18" i="2" l="1"/>
  <c r="C18" i="2"/>
  <c r="B40" i="3" l="1"/>
  <c r="D22" i="2" l="1"/>
  <c r="D20" i="2"/>
  <c r="C32" i="2"/>
  <c r="B32" i="2"/>
  <c r="C60" i="1"/>
  <c r="C12" i="2"/>
  <c r="C9" i="3"/>
  <c r="C46" i="3" s="1"/>
  <c r="C11" i="2" l="1"/>
  <c r="D23" i="2" l="1"/>
  <c r="C23" i="2"/>
  <c r="C7" i="2" l="1"/>
  <c r="D16" i="2" l="1"/>
  <c r="D25" i="2"/>
  <c r="B13" i="3" l="1"/>
  <c r="B12" i="3"/>
  <c r="B9" i="3"/>
  <c r="B3" i="3"/>
  <c r="B10" i="2"/>
  <c r="B8" i="2"/>
  <c r="B7" i="2"/>
  <c r="B46" i="3" l="1"/>
  <c r="B14" i="1"/>
  <c r="B60" i="1" s="1"/>
</calcChain>
</file>

<file path=xl/sharedStrings.xml><?xml version="1.0" encoding="utf-8"?>
<sst xmlns="http://schemas.openxmlformats.org/spreadsheetml/2006/main" count="629" uniqueCount="351">
  <si>
    <t>Details of:</t>
  </si>
  <si>
    <t xml:space="preserve">TOTAL AMOUNT </t>
  </si>
  <si>
    <t xml:space="preserve">PAID AMOUNT </t>
  </si>
  <si>
    <t xml:space="preserve">PENDING AMOUNT </t>
  </si>
  <si>
    <t>REMARKS</t>
  </si>
  <si>
    <t>BEST ENTERPRISES</t>
  </si>
  <si>
    <t xml:space="preserve">RINGING NOT RESPONDING </t>
  </si>
  <si>
    <t>Bharat Novelty</t>
  </si>
  <si>
    <t>Deccan Book Depot and Stationery</t>
  </si>
  <si>
    <t>2900 ISSUE NOT RESOVLED</t>
  </si>
  <si>
    <t>MAHADEV STATIONERY &amp; SPORTS(Nanak)</t>
  </si>
  <si>
    <t xml:space="preserve">PAYMENT ISSUE HE SAID THAT HEPAID </t>
  </si>
  <si>
    <t>Nagesh Stationery &amp; Xerox</t>
  </si>
  <si>
    <t>Popular Book House</t>
  </si>
  <si>
    <t>RADIANT BOOK HOUSE</t>
  </si>
  <si>
    <t>R.B.Novelty</t>
  </si>
  <si>
    <t xml:space="preserve">CUSTOMER  SAID THAT SEND DSO  HE WANT TO TALK </t>
  </si>
  <si>
    <t>Reliable Book Centre</t>
  </si>
  <si>
    <t xml:space="preserve">number not conneted  </t>
  </si>
  <si>
    <t>RR HOSIPATALITY SERVICES</t>
  </si>
  <si>
    <t xml:space="preserve">she said that he will pay  in 10 days </t>
  </si>
  <si>
    <t>Shiva Book Stall</t>
  </si>
  <si>
    <t>send bill in wattup</t>
  </si>
  <si>
    <t>SIDDHARTHA STATIONERY &amp; ELECRTRICAL</t>
  </si>
  <si>
    <t>SREE VENKATESHWARA PUBLISHERS</t>
  </si>
  <si>
    <t>SRI RAKHI BOOK CENTER</t>
  </si>
  <si>
    <t>Stationey Xerox</t>
  </si>
  <si>
    <t>Universal Book Shop</t>
  </si>
  <si>
    <t>Vidya Book Point(Vijaynagar Colony)</t>
  </si>
  <si>
    <t>Vidya Collection (New)</t>
  </si>
  <si>
    <t xml:space="preserve">number busy </t>
  </si>
  <si>
    <t>YADA LAXMAIAH BOOK SELLERS &amp; STATIONERY</t>
  </si>
  <si>
    <t>AMBIKA STATIONERY</t>
  </si>
  <si>
    <t>COSMIC OFFICE SOLUTIONS</t>
  </si>
  <si>
    <t>Dilip Super Market( Manikonda)</t>
  </si>
  <si>
    <t xml:space="preserve">he will pay send  person with singcopy </t>
  </si>
  <si>
    <t>GS Enterprises</t>
  </si>
  <si>
    <t>number not their</t>
  </si>
  <si>
    <t>Hasti Stationery Mart (Madhapur)</t>
  </si>
  <si>
    <t xml:space="preserve">he will pay his in out sation </t>
  </si>
  <si>
    <t>J.K Pen Stores</t>
  </si>
  <si>
    <t>he said that send  bil in wattup</t>
  </si>
  <si>
    <t>KITSONS-NALLAGANDLA</t>
  </si>
  <si>
    <t xml:space="preserve">CHEQUE READY </t>
  </si>
  <si>
    <t>KLC BOOKS &amp; STATIONERY</t>
  </si>
  <si>
    <t>MANIKANTA STATIONERY &amp; SPORTS</t>
  </si>
  <si>
    <t>MASTER SAAB STATIONARY</t>
  </si>
  <si>
    <t>NavDurga Stationery</t>
  </si>
  <si>
    <t>New Vidya Book Point  (Alkapur)</t>
  </si>
  <si>
    <t>SAI TAK AND CO</t>
  </si>
  <si>
    <t>Sai Vaishnavi Book Agency</t>
  </si>
  <si>
    <t>SHREE RAMDEV STATIONEY &amp; SPORTS(Ayyappa Society)</t>
  </si>
  <si>
    <t>SM COLLECTIONS(Universal)</t>
  </si>
  <si>
    <t>SRI RANAJI STATIONERY</t>
  </si>
  <si>
    <t>Swastik Mobile</t>
  </si>
  <si>
    <t>VENUS WATCH AGENCIES</t>
  </si>
  <si>
    <t>Vidya Book Poin't</t>
  </si>
  <si>
    <t>VIDYA COLLECTION</t>
  </si>
  <si>
    <t>WITTYSHOP INDIA</t>
  </si>
  <si>
    <t>Yeo Business Solution</t>
  </si>
  <si>
    <t xml:space="preserve">REMARKS </t>
  </si>
  <si>
    <t>BAGARIA AGENCIES</t>
  </si>
  <si>
    <t>BALAJI ENTERPRISES</t>
  </si>
  <si>
    <t>DHANLAKSHMI ENTERPRISES</t>
  </si>
  <si>
    <t>Dynamic Computer &amp; Stationery</t>
  </si>
  <si>
    <t>FIOLA</t>
  </si>
  <si>
    <t>HITANSHI STATIONERY</t>
  </si>
  <si>
    <t>RAJLAXMI STATIONERY</t>
  </si>
  <si>
    <t>SRI RAMDEV ENTERPRISES</t>
  </si>
  <si>
    <t>SRI RAM STATIONERY</t>
  </si>
  <si>
    <t>RAJKAMAL AGENCIES</t>
  </si>
  <si>
    <t>ISLAMIA BOOK DEPOT</t>
  </si>
  <si>
    <t>Jyothi Book Center</t>
  </si>
  <si>
    <t>MEGHA S.V STATIONERY</t>
  </si>
  <si>
    <t>PUSHPA BOOK  CENTER</t>
  </si>
  <si>
    <t>Ramdev Stationery (K Puram)</t>
  </si>
  <si>
    <t>Sai Jyothi Stationery &amp; Xerox</t>
  </si>
  <si>
    <t>Sai Ram Book Center</t>
  </si>
  <si>
    <t>Sri Balaji Stationery (Abdullamet)</t>
  </si>
  <si>
    <t>Sri Chamunda Stationery</t>
  </si>
  <si>
    <t>SRI DHANALAKSHMI ENTERPRISES</t>
  </si>
  <si>
    <t>Sri Sai Tirumala Book &amp; Guides - Badangpet</t>
  </si>
  <si>
    <t>Sri Siddi Vinayaka Book Center</t>
  </si>
  <si>
    <t>Sun Electronics Times</t>
  </si>
  <si>
    <t>VANI BOOKS &amp; STATIONERY</t>
  </si>
  <si>
    <t xml:space="preserve">KAMAL WATCH </t>
  </si>
  <si>
    <t>JP STATIONERS</t>
  </si>
  <si>
    <t>New Vidya Book Point (Saroor N)</t>
  </si>
  <si>
    <t>Sri Sai Books &amp; Gifts (Chaithanyapuri)</t>
  </si>
  <si>
    <t>SRI SAI SARASWATHI STATIONARY</t>
  </si>
  <si>
    <t>Sri Venkatheswara Book World</t>
  </si>
  <si>
    <t>SR VENKATESHWARA BOOK WORLD</t>
  </si>
  <si>
    <t xml:space="preserve">HE WILL IN 2 DAYS </t>
  </si>
  <si>
    <t xml:space="preserve">HE WILL GIVE TODAY CHEQUE </t>
  </si>
  <si>
    <t xml:space="preserve">NUMBER  BUSY </t>
  </si>
  <si>
    <t xml:space="preserve">PAID ONLINE TODAY </t>
  </si>
  <si>
    <t xml:space="preserve">HE WILL PAY IN 3 DAYS </t>
  </si>
  <si>
    <t xml:space="preserve">NUMBER BUSY </t>
  </si>
  <si>
    <t xml:space="preserve">HE WILL PAY HIS IN OUT SATION </t>
  </si>
  <si>
    <t xml:space="preserve">RINGING  NOTRESPONDING </t>
  </si>
  <si>
    <t xml:space="preserve">TOMMROW HEWILL CHEQUE </t>
  </si>
  <si>
    <t>HE WILL PAY NOW SEND THE BILL IN WATTUP</t>
  </si>
  <si>
    <t>PAID</t>
  </si>
  <si>
    <t xml:space="preserve">HE WILL PAY IN 2 DAYS </t>
  </si>
  <si>
    <t>ringing not responding</t>
  </si>
  <si>
    <t xml:space="preserve">ringing not responding </t>
  </si>
  <si>
    <t xml:space="preserve">expried </t>
  </si>
  <si>
    <t>ringing not resonding</t>
  </si>
  <si>
    <t xml:space="preserve">he will pay in today eveng </t>
  </si>
  <si>
    <t xml:space="preserve">1% discount </t>
  </si>
  <si>
    <t xml:space="preserve">dso need to visit </t>
  </si>
  <si>
    <t xml:space="preserve">paid online </t>
  </si>
  <si>
    <t xml:space="preserve">number not their </t>
  </si>
  <si>
    <t xml:space="preserve">HE  WILL PAY IN 2 DAYS </t>
  </si>
  <si>
    <t xml:space="preserve">HE WILL PAY TOMMROW </t>
  </si>
  <si>
    <t xml:space="preserve">HE WILL GIVE  CHEQUE   SEND PERSON  SATURDAY </t>
  </si>
  <si>
    <t>INDAR TRADING COMPANY</t>
  </si>
  <si>
    <t xml:space="preserve">PAID </t>
  </si>
  <si>
    <t>NUMBER NOT CONNETED</t>
  </si>
  <si>
    <t>NUMBER  NOT CONNETED</t>
  </si>
  <si>
    <t xml:space="preserve">HE WILL PAY ON MONDAY </t>
  </si>
  <si>
    <t xml:space="preserve">NAME </t>
  </si>
  <si>
    <t xml:space="preserve">AMOUNT </t>
  </si>
  <si>
    <t xml:space="preserve">NAVKAR </t>
  </si>
  <si>
    <t xml:space="preserve">CUSTOMER ORDER MISTAKE </t>
  </si>
  <si>
    <t xml:space="preserve">HE WILL PAY 15TH </t>
  </si>
  <si>
    <t xml:space="preserve">TOMMROW HE WILL PAY </t>
  </si>
  <si>
    <t xml:space="preserve">HE WILL PAY HE WILL COME IN 3 DAYS </t>
  </si>
  <si>
    <t xml:space="preserve">paid  given cheque </t>
  </si>
  <si>
    <t xml:space="preserve">paid </t>
  </si>
  <si>
    <t>BANNU ENTERPRISES</t>
  </si>
  <si>
    <t>Durga Stationery &amp; Sports</t>
  </si>
  <si>
    <t>K D M MARKETING</t>
  </si>
  <si>
    <t>Mahadev Stationers</t>
  </si>
  <si>
    <t>MARUTHI MARKETING</t>
  </si>
  <si>
    <t>Murali Stationery Mart</t>
  </si>
  <si>
    <t>Nandi Arts Stationery</t>
  </si>
  <si>
    <t>N. PRIYA STATIONARY</t>
  </si>
  <si>
    <t>RAM BHAGWAN CORPORATION</t>
  </si>
  <si>
    <t>RATAN STATIONARY MART</t>
  </si>
  <si>
    <t>Renuka Enterprises</t>
  </si>
  <si>
    <t>RENUKA STATIONERS</t>
  </si>
  <si>
    <t>Shanker Stationery Mart</t>
  </si>
  <si>
    <t>Vardhman Computer &amp; Stationery</t>
  </si>
  <si>
    <t>V Raja Stationery</t>
  </si>
  <si>
    <t xml:space="preserve">PAID ONLINE </t>
  </si>
  <si>
    <t>PAID TODAY 5000</t>
  </si>
  <si>
    <t xml:space="preserve">HE WILL PAY  CALL BACK </t>
  </si>
  <si>
    <t xml:space="preserve">HE WILLPAY  TODAY </t>
  </si>
  <si>
    <t xml:space="preserve">HE SAID THAT  SEND  THE  LEDGER </t>
  </si>
  <si>
    <t xml:space="preserve">HEWILL PAY SEND PERSON </t>
  </si>
  <si>
    <t>HE WILL   GIVE CHEQUE DSO</t>
  </si>
  <si>
    <t>HE WILL PAY IN 4 DAYS</t>
  </si>
  <si>
    <t xml:space="preserve">SEND THE PERSON FOR PAYMENT </t>
  </si>
  <si>
    <t xml:space="preserve">HE WILLPAY HIS IN OUT SATION </t>
  </si>
  <si>
    <t>8075</t>
  </si>
  <si>
    <t>Bhavani Stationery and Gift</t>
  </si>
  <si>
    <t>DELI STATIONERY</t>
  </si>
  <si>
    <t>Sri Sai Stationary and Book Depot</t>
  </si>
  <si>
    <t>GIVEN CHEQUE</t>
  </si>
  <si>
    <t xml:space="preserve">CHEQUE  GIVEN </t>
  </si>
  <si>
    <t>PAID   ONLINE</t>
  </si>
  <si>
    <t>Ever Green Book Centre</t>
  </si>
  <si>
    <t>GLOBAL STATIONERY</t>
  </si>
  <si>
    <t>SENDBILL IN WATTUP HEWILLPAY</t>
  </si>
  <si>
    <t>JAGDISH BOOK CENTRE</t>
  </si>
  <si>
    <t>5566.00 Dr</t>
  </si>
  <si>
    <t>HE  SAID THATHE WILL PAY WENDAY</t>
  </si>
  <si>
    <t xml:space="preserve">MONDAY HEWILL PAY  </t>
  </si>
  <si>
    <t>KITSONS-GACHIBOWLI</t>
  </si>
  <si>
    <t>NUMBER BUSY</t>
  </si>
  <si>
    <t xml:space="preserve">CHEQUE  READY </t>
  </si>
  <si>
    <t>Life Stationery(Bnj Hills)</t>
  </si>
  <si>
    <t>HE  WILL PAY ON   MONDAY</t>
  </si>
  <si>
    <t>Mahalaxmi Enterprises</t>
  </si>
  <si>
    <t xml:space="preserve">NUMBER NOT THEIR </t>
  </si>
  <si>
    <t>HEWILL PAY TOMMROW ONLINE SEND   WATTUP</t>
  </si>
  <si>
    <t>MARUTHI ENTERPRISES</t>
  </si>
  <si>
    <t>HE WILL READY THE CHEQUE</t>
  </si>
  <si>
    <t>Ramdev Enterprises</t>
  </si>
  <si>
    <t>KIRAN</t>
  </si>
  <si>
    <t>HE WILL  PAY SEND BILL IN WATTUP</t>
  </si>
  <si>
    <t xml:space="preserve">CALL  DISCONNETED  </t>
  </si>
  <si>
    <t xml:space="preserve">HE WILL PAY IN MONDAY </t>
  </si>
  <si>
    <t>SEND PERSON WITH BILLS</t>
  </si>
  <si>
    <t>SRI VIDYA SARASWATI COLLECTION</t>
  </si>
  <si>
    <t>THE DECCAN PEN STORE</t>
  </si>
  <si>
    <t>THE TIMES</t>
  </si>
  <si>
    <t>TRIBHUVAN BOOKS &amp; STATIONERY</t>
  </si>
  <si>
    <t>RINGING NOT  RESPONDING</t>
  </si>
  <si>
    <t>HE  WILL READY CHEQUE AFTER  MONDAY</t>
  </si>
  <si>
    <t xml:space="preserve">HE SAID THAT AFTER  SCHOOLS OPEN HE WILL PAY </t>
  </si>
  <si>
    <t>BSR EXIM</t>
  </si>
  <si>
    <t xml:space="preserve">HE HIS IN OUT SATION HE WILL PAY </t>
  </si>
  <si>
    <t>Himalaya Book Binding Works &amp; Stationery</t>
  </si>
  <si>
    <t>CUSTOMER  IS BUSY CALLBACK</t>
  </si>
  <si>
    <t>M.M AGENCIES</t>
  </si>
  <si>
    <t xml:space="preserve">HE SAID THAT HE WILL GIVE CHEQUE SEND THE PERSON </t>
  </si>
  <si>
    <t xml:space="preserve">HE SAID THAT  HE  WILL  PAY  IN 2 DAYS </t>
  </si>
  <si>
    <t>Omeri Stationery</t>
  </si>
  <si>
    <t>PAID ONLINE</t>
  </si>
  <si>
    <t>PADMAVATHI PEN STORES</t>
  </si>
  <si>
    <t>HE SAID THATHE WILL PAY NEED  SOMETIME</t>
  </si>
  <si>
    <t>Padmavathi Traders</t>
  </si>
  <si>
    <t>HE WILL PAY SEND PERSON TOMMROW</t>
  </si>
  <si>
    <t>Raj Enterprises</t>
  </si>
  <si>
    <t>HE HIS  BUSY  CALL BACK</t>
  </si>
  <si>
    <t>Ramdev Gift-Article Stationery</t>
  </si>
  <si>
    <t>S MART STATIONERY MEGA STORE</t>
  </si>
  <si>
    <t>Soujanya Stationary Book Stall</t>
  </si>
  <si>
    <t xml:space="preserve">CALL DISCONNETED  THE CALL </t>
  </si>
  <si>
    <t>Sri Chaitanya Book Center</t>
  </si>
  <si>
    <t>Sri Hanu Subramanyam Book Center</t>
  </si>
  <si>
    <t xml:space="preserve">NUMBER  BUSY  </t>
  </si>
  <si>
    <t>Sri Laxmi Book Centre ( DSNR)</t>
  </si>
  <si>
    <t xml:space="preserve">HEWILLPAY IN 2 DAYS </t>
  </si>
  <si>
    <t>Sri Mahalaxmi Stationary and General</t>
  </si>
  <si>
    <t>Srinivasa Stationery &amp; Xerox</t>
  </si>
  <si>
    <t>NUMBER NOT THIER</t>
  </si>
  <si>
    <t>Sri Ram Plastic</t>
  </si>
  <si>
    <t>Sri Sai Ram Book Center</t>
  </si>
  <si>
    <t xml:space="preserve">HE PAID HE SAID </t>
  </si>
  <si>
    <t>UPENDRA ENTERPRISES</t>
  </si>
  <si>
    <t>chequegiven</t>
  </si>
  <si>
    <t>total amount</t>
  </si>
  <si>
    <t xml:space="preserve">total  amount </t>
  </si>
  <si>
    <t>Rajan Stationers</t>
  </si>
  <si>
    <t>RAJ MARKETING</t>
  </si>
  <si>
    <t>Yash Marketing</t>
  </si>
  <si>
    <t xml:space="preserve">he his hospital </t>
  </si>
  <si>
    <t>ringing   not respond</t>
  </si>
  <si>
    <t>cheque given</t>
  </si>
  <si>
    <t>share the satement</t>
  </si>
  <si>
    <t>waiting for cheque book</t>
  </si>
  <si>
    <t>CREDIT NOTE</t>
  </si>
  <si>
    <t xml:space="preserve">HE SAID THAT  SATURDAY HEWILL CHEQUE </t>
  </si>
  <si>
    <t>HE WILL PAY ON SATURDAY</t>
  </si>
  <si>
    <t xml:space="preserve">PMANISH </t>
  </si>
  <si>
    <t>RENUKA ENTERPRISES</t>
  </si>
  <si>
    <t>RENUKA STIONERS</t>
  </si>
  <si>
    <t xml:space="preserve">HE HIS IN OUT SATION IN 2 DAYS HE WILL PAY </t>
  </si>
  <si>
    <t>PRAKASH STATIONERS (HIMAYATH NAGAR)</t>
  </si>
  <si>
    <t>Venkateswara Book Bank</t>
  </si>
  <si>
    <t>S.V.TRADERS DSNR</t>
  </si>
  <si>
    <t>`</t>
  </si>
  <si>
    <t>Dachapally Book Centre</t>
  </si>
  <si>
    <t>Sri Shyam Enterprises</t>
  </si>
  <si>
    <t>HE WILL PAY NOW</t>
  </si>
  <si>
    <t>HEWILL PAYNOW</t>
  </si>
  <si>
    <t xml:space="preserve">WE HAVE MSG INWATTUP </t>
  </si>
  <si>
    <t>HEWILL PAY TOMMROW SEND PERSON</t>
  </si>
  <si>
    <t xml:space="preserve">HE  HIS  IN OUT SATION HEWILL RETURN </t>
  </si>
  <si>
    <t xml:space="preserve">TODAY SEND THE PERSON FOR PAYMENT </t>
  </si>
  <si>
    <t>MSG IN WATTUP</t>
  </si>
  <si>
    <t>SHE SAID THAT RETURNTHE STOCK</t>
  </si>
  <si>
    <t>MONDAY  SEND THE SHAKEEL  HE WILL  RETURN THE STOCK</t>
  </si>
  <si>
    <t>HE SAID THAT  HE GIVEN CHEQUE</t>
  </si>
  <si>
    <t>CHEQUE GIVEN</t>
  </si>
  <si>
    <t>CALL BACK 20 MINS</t>
  </si>
  <si>
    <t>HE  WILL DEPOSIT TODAY</t>
  </si>
  <si>
    <t>NUMBERBUSY</t>
  </si>
  <si>
    <t>SENDPERSON TOMMROW HE WILL GIVECHEQUE</t>
  </si>
  <si>
    <t>NEXT WEEK</t>
  </si>
  <si>
    <t>HEWILL PAY</t>
  </si>
  <si>
    <t>HE SAID THAT SENDBILLWITHPERSON</t>
  </si>
  <si>
    <t>HE WILL  PAY IN 1 WEEK  NO SEASON</t>
  </si>
  <si>
    <t>TOMMROW ONLINE</t>
  </si>
  <si>
    <t xml:space="preserve">HE WILLPAY IN 3DAYS </t>
  </si>
  <si>
    <t xml:space="preserve">TOMMROW  HEWILL READYTHE CHEQUE </t>
  </si>
  <si>
    <t>HE HIS OUT SATION HE WILL COME AFTER 22</t>
  </si>
  <si>
    <t>HE WILL PAY ONSATURDAY</t>
  </si>
  <si>
    <t>HEWILL PAYTODAY EOD</t>
  </si>
  <si>
    <t>NUMBER  BUSY</t>
  </si>
  <si>
    <t xml:space="preserve">2 DAYS </t>
  </si>
  <si>
    <t xml:space="preserve">HE WILL PAY NOW </t>
  </si>
  <si>
    <t>3days</t>
  </si>
  <si>
    <t>PAY ONLINEremaing one bill  arp bill pending</t>
  </si>
  <si>
    <t>SATURDAY</t>
  </si>
  <si>
    <t>OUT SATION  AFTER COMING  HEWILL PAY</t>
  </si>
  <si>
    <t>MONDAY HE WILL PAY</t>
  </si>
  <si>
    <t xml:space="preserve">HE NEED TIME TO PAY HIS IN HOSPITAL </t>
  </si>
  <si>
    <t>3 DAYS HE GET THE AMOUNT</t>
  </si>
  <si>
    <t xml:space="preserve">HE WILL PAY TODAY </t>
  </si>
  <si>
    <t xml:space="preserve">DSO TODAY VISIT </t>
  </si>
  <si>
    <t xml:space="preserve">DONE THE CREDIT NOTE </t>
  </si>
  <si>
    <t>DSO WILL COLLECT</t>
  </si>
  <si>
    <t>TODAY HE  DEPOSITED</t>
  </si>
  <si>
    <t xml:space="preserve">IN 1 HOUR  HE WILL PAY </t>
  </si>
  <si>
    <t>month end HEWILL CLEAR</t>
  </si>
  <si>
    <t>MUJHID WILL COLLECT</t>
  </si>
  <si>
    <t>SATURDAY HE WILL RETURN</t>
  </si>
  <si>
    <t>MONDAY  HE WILL PAY</t>
  </si>
  <si>
    <t>HE HIS  IN OUTSATION  AFTER COMING WILL PAY</t>
  </si>
  <si>
    <t xml:space="preserve">HE GOT THE ACCIDENT HEWILL PAY 2DAYS </t>
  </si>
  <si>
    <t>WE NEED TO  COLLECT THE STOCK</t>
  </si>
  <si>
    <t>MONDAY  HE WILL PAY ONLINE</t>
  </si>
  <si>
    <t>MONDAY SEND VINOD HE WILL GIVE CHEQUE</t>
  </si>
  <si>
    <t>HE SAID THAT HE WILL PAY WHEN VINOD COME</t>
  </si>
  <si>
    <t>RINGING  NOT RESPONDING</t>
  </si>
  <si>
    <t>HE SAID THAT HE WILL GIVE CHEQUE</t>
  </si>
  <si>
    <t>MONDAY  HE WILL GIVE CHEQUE</t>
  </si>
  <si>
    <t>MSGIN WATTUP</t>
  </si>
  <si>
    <t>CALL BACK TOMMROW</t>
  </si>
  <si>
    <t>HE WILL GIVE CASH SEND TOMMROW PERSON</t>
  </si>
  <si>
    <t>TOMMROW  SEND PERSON</t>
  </si>
  <si>
    <t>HE WILL PAYNEXT WEEK ONLINE</t>
  </si>
  <si>
    <t>SEND TODAY VISIT</t>
  </si>
  <si>
    <t>TOMMROW ONLINE PAYMENT</t>
  </si>
  <si>
    <t xml:space="preserve">given cheque remaining apr pending </t>
  </si>
  <si>
    <t>TOTAL  AMOUNT</t>
  </si>
  <si>
    <t>PAID AMOUNT</t>
  </si>
  <si>
    <t>MUJHID</t>
  </si>
  <si>
    <t xml:space="preserve">NAJEED </t>
  </si>
  <si>
    <t>VINOD</t>
  </si>
  <si>
    <t>NAMES</t>
  </si>
  <si>
    <t>PENDING AMOUNT</t>
  </si>
  <si>
    <t>HE WILL PAY AND SEND THE DETAILS</t>
  </si>
  <si>
    <t>RINGING NOT RESPONDING</t>
  </si>
  <si>
    <t>SHAKEEL  HE WILL COLLECT</t>
  </si>
  <si>
    <t>CHEQUE READY  SEND THE PERSON</t>
  </si>
  <si>
    <t>BUSY</t>
  </si>
  <si>
    <t>MONDAY WILL PAY</t>
  </si>
  <si>
    <t xml:space="preserve">given cheque </t>
  </si>
  <si>
    <t xml:space="preserve">cheque given </t>
  </si>
  <si>
    <t>paid online</t>
  </si>
  <si>
    <t>paid 20000 remaing he will pay</t>
  </si>
  <si>
    <t xml:space="preserve"> </t>
  </si>
  <si>
    <t>Gayathri Book Centre</t>
  </si>
  <si>
    <t>paid 5000 remaing hewill pay</t>
  </si>
  <si>
    <t>hewill  pay today</t>
  </si>
  <si>
    <t xml:space="preserve">hewill pay today </t>
  </si>
  <si>
    <t>1-2 DAYS CHEQUE GIVE</t>
  </si>
  <si>
    <t>PAYMENT AT 5:30PM</t>
  </si>
  <si>
    <t>OUT OF REACH</t>
  </si>
  <si>
    <t>CUSTOMER IN HOSPITAL</t>
  </si>
  <si>
    <t>paid online 2600 / RINGING NOT RESPONDING</t>
  </si>
  <si>
    <t>THEY WILL PAY</t>
  </si>
  <si>
    <t>AFTER 10 DAYS HE WILL PAY</t>
  </si>
  <si>
    <t>HE WILL NEXT MONTH FIRST WEEK</t>
  </si>
  <si>
    <t>WILL DO PAYMENT</t>
  </si>
  <si>
    <t xml:space="preserve">SIR WILL TALK </t>
  </si>
  <si>
    <t>STOCK RETURNED</t>
  </si>
  <si>
    <t>AFTER 10D HE WILL PAY</t>
  </si>
  <si>
    <t>SHKEEL WILL COLLECT PAYMENT</t>
  </si>
  <si>
    <t xml:space="preserve">HE PAID ONLINE </t>
  </si>
  <si>
    <t>Paid by Cheque</t>
  </si>
  <si>
    <t>Murli Stationery Mart</t>
  </si>
  <si>
    <t>Discount</t>
  </si>
  <si>
    <t>Shankar Stationery Mart</t>
  </si>
  <si>
    <t>Stock Rertuned</t>
  </si>
  <si>
    <t>Raj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</si>
</sst>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&quot;0.00&quot; Dr&quot;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</cellStyleXfs>
  <cellXfs count="41">
    <xf numFmtId="0" fontId="0" fillId="0" borderId="0" xfId="0"/>
    <xf numFmtId="0" fontId="0" fillId="0" borderId="1" xfId="0" applyBorder="1"/>
    <xf numFmtId="49" fontId="1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3" fillId="0" borderId="1" xfId="0" applyNumberFormat="1" applyFont="1" applyBorder="1" applyAlignment="1">
      <alignment horizontal="center" vertical="top"/>
    </xf>
    <xf numFmtId="0" fontId="0" fillId="4" borderId="1" xfId="0" applyFill="1" applyBorder="1"/>
    <xf numFmtId="0" fontId="0" fillId="0" borderId="1" xfId="0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top"/>
    </xf>
    <xf numFmtId="2" fontId="2" fillId="3" borderId="1" xfId="0" applyNumberFormat="1" applyFont="1" applyFill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4" borderId="0" xfId="0" applyFill="1"/>
    <xf numFmtId="49" fontId="1" fillId="4" borderId="1" xfId="0" applyNumberFormat="1" applyFont="1" applyFill="1" applyBorder="1" applyAlignment="1">
      <alignment horizontal="center" vertical="top"/>
    </xf>
    <xf numFmtId="2" fontId="1" fillId="4" borderId="1" xfId="0" applyNumberFormat="1" applyFon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2" fontId="0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49" fontId="7" fillId="6" borderId="1" xfId="2" applyNumberFormat="1" applyBorder="1" applyAlignment="1">
      <alignment horizontal="center" vertical="top"/>
    </xf>
    <xf numFmtId="0" fontId="7" fillId="6" borderId="1" xfId="2" applyBorder="1" applyAlignment="1">
      <alignment horizontal="center"/>
    </xf>
    <xf numFmtId="49" fontId="8" fillId="7" borderId="1" xfId="3" applyNumberFormat="1" applyBorder="1" applyAlignment="1">
      <alignment horizontal="center" vertical="top"/>
    </xf>
    <xf numFmtId="49" fontId="6" fillId="5" borderId="1" xfId="1" applyNumberFormat="1" applyBorder="1" applyAlignment="1">
      <alignment horizontal="center" vertical="top"/>
    </xf>
    <xf numFmtId="0" fontId="8" fillId="7" borderId="1" xfId="3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6" borderId="0" xfId="2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33" workbookViewId="0">
      <selection activeCell="J55" sqref="J55"/>
    </sheetView>
  </sheetViews>
  <sheetFormatPr defaultRowHeight="15" x14ac:dyDescent="0.25"/>
  <cols>
    <col min="1" max="1" width="53.5703125" style="7" bestFit="1" customWidth="1"/>
    <col min="2" max="2" width="19.42578125" style="18" customWidth="1"/>
    <col min="3" max="3" width="14.42578125" style="7" bestFit="1" customWidth="1"/>
    <col min="4" max="4" width="18.42578125" style="7" bestFit="1" customWidth="1"/>
    <col min="5" max="5" width="48.42578125" style="7" bestFit="1" customWidth="1"/>
    <col min="6" max="6" width="34.85546875" style="7" bestFit="1" customWidth="1"/>
    <col min="7" max="7" width="44.28515625" style="7" bestFit="1" customWidth="1"/>
    <col min="8" max="8" width="53.28515625" style="7" bestFit="1" customWidth="1"/>
    <col min="9" max="9" width="42.140625" style="7" bestFit="1" customWidth="1"/>
    <col min="10" max="10" width="33.140625" style="7" bestFit="1" customWidth="1"/>
    <col min="11" max="11" width="25.28515625" style="7" customWidth="1"/>
    <col min="12" max="12" width="14.85546875" style="7" bestFit="1" customWidth="1"/>
    <col min="13" max="16384" width="9.140625" style="7"/>
  </cols>
  <sheetData>
    <row r="1" spans="1:12" x14ac:dyDescent="0.25">
      <c r="A1" s="3" t="s">
        <v>0</v>
      </c>
      <c r="B1" s="15" t="s">
        <v>1</v>
      </c>
      <c r="C1" s="38" t="s">
        <v>2</v>
      </c>
      <c r="D1" s="38" t="s">
        <v>3</v>
      </c>
      <c r="E1" s="38" t="s">
        <v>4</v>
      </c>
      <c r="F1" s="38" t="s">
        <v>4</v>
      </c>
      <c r="G1" s="38" t="s">
        <v>4</v>
      </c>
      <c r="H1" s="38" t="s">
        <v>4</v>
      </c>
      <c r="I1" s="38" t="s">
        <v>4</v>
      </c>
      <c r="J1" s="38" t="s">
        <v>4</v>
      </c>
      <c r="K1" s="38" t="s">
        <v>4</v>
      </c>
      <c r="L1" s="38" t="s">
        <v>4</v>
      </c>
    </row>
    <row r="2" spans="1:12" s="12" customFormat="1" x14ac:dyDescent="0.25">
      <c r="A2" s="11" t="s">
        <v>32</v>
      </c>
      <c r="B2" s="16" t="s">
        <v>155</v>
      </c>
      <c r="C2" s="12" t="s">
        <v>244</v>
      </c>
      <c r="G2" s="12" t="s">
        <v>97</v>
      </c>
      <c r="H2" s="12" t="s">
        <v>248</v>
      </c>
      <c r="J2" s="12" t="s">
        <v>316</v>
      </c>
      <c r="K2" s="12" t="s">
        <v>170</v>
      </c>
    </row>
    <row r="3" spans="1:12" x14ac:dyDescent="0.25">
      <c r="A3" s="5" t="s">
        <v>5</v>
      </c>
      <c r="B3" s="17">
        <v>30511</v>
      </c>
      <c r="E3" s="7" t="s">
        <v>6</v>
      </c>
      <c r="F3" s="7" t="s">
        <v>118</v>
      </c>
      <c r="G3" s="7" t="s">
        <v>118</v>
      </c>
      <c r="H3" s="7" t="s">
        <v>249</v>
      </c>
      <c r="I3" s="7" t="s">
        <v>288</v>
      </c>
      <c r="K3" s="7" t="str">
        <f>K2</f>
        <v>NUMBER BUSY</v>
      </c>
    </row>
    <row r="4" spans="1:12" x14ac:dyDescent="0.25">
      <c r="A4" s="5" t="s">
        <v>156</v>
      </c>
      <c r="B4" s="17">
        <v>1186</v>
      </c>
      <c r="C4" s="7">
        <v>1186</v>
      </c>
      <c r="D4" s="18">
        <f>B4-C4</f>
        <v>0</v>
      </c>
      <c r="G4" s="12" t="s">
        <v>97</v>
      </c>
      <c r="H4" s="7" t="s">
        <v>250</v>
      </c>
      <c r="K4" s="7" t="s">
        <v>339</v>
      </c>
    </row>
    <row r="5" spans="1:12" x14ac:dyDescent="0.25">
      <c r="A5" s="5" t="s">
        <v>7</v>
      </c>
      <c r="B5" s="17">
        <v>119610</v>
      </c>
      <c r="C5" s="21">
        <v>119610</v>
      </c>
      <c r="D5" s="7">
        <v>0</v>
      </c>
      <c r="E5" s="7" t="s">
        <v>6</v>
      </c>
      <c r="F5" s="7" t="s">
        <v>6</v>
      </c>
      <c r="G5" s="7" t="s">
        <v>6</v>
      </c>
      <c r="H5" s="7" t="s">
        <v>200</v>
      </c>
      <c r="L5" s="7" t="s">
        <v>345</v>
      </c>
    </row>
    <row r="6" spans="1:12" x14ac:dyDescent="0.25">
      <c r="A6" s="39" t="s">
        <v>8</v>
      </c>
      <c r="B6" s="17">
        <v>4944</v>
      </c>
      <c r="E6" s="7" t="s">
        <v>9</v>
      </c>
    </row>
    <row r="7" spans="1:12" x14ac:dyDescent="0.25">
      <c r="A7" s="5" t="s">
        <v>157</v>
      </c>
      <c r="B7" s="17">
        <v>9330</v>
      </c>
      <c r="C7" s="6">
        <v>9330</v>
      </c>
      <c r="D7" s="7">
        <v>0</v>
      </c>
      <c r="G7" s="7" t="s">
        <v>161</v>
      </c>
    </row>
    <row r="8" spans="1:12" x14ac:dyDescent="0.25">
      <c r="A8" s="33" t="s">
        <v>10</v>
      </c>
      <c r="B8" s="17">
        <v>1911</v>
      </c>
      <c r="E8" s="7" t="s">
        <v>11</v>
      </c>
    </row>
    <row r="9" spans="1:12" x14ac:dyDescent="0.25">
      <c r="A9" s="36" t="s">
        <v>12</v>
      </c>
      <c r="B9" s="17">
        <v>1680</v>
      </c>
      <c r="E9" s="7" t="s">
        <v>6</v>
      </c>
      <c r="F9" s="7" t="s">
        <v>6</v>
      </c>
      <c r="G9" s="7" t="s">
        <v>6</v>
      </c>
      <c r="H9" s="7" t="s">
        <v>251</v>
      </c>
    </row>
    <row r="10" spans="1:12" x14ac:dyDescent="0.25">
      <c r="A10" s="5" t="s">
        <v>13</v>
      </c>
      <c r="B10" s="17">
        <v>720</v>
      </c>
      <c r="E10" s="7" t="s">
        <v>6</v>
      </c>
      <c r="F10" s="7" t="s">
        <v>6</v>
      </c>
      <c r="G10" s="7" t="s">
        <v>184</v>
      </c>
      <c r="H10" s="7" t="s">
        <v>252</v>
      </c>
      <c r="J10" s="7" t="s">
        <v>6</v>
      </c>
    </row>
    <row r="11" spans="1:12" x14ac:dyDescent="0.25">
      <c r="A11" s="5" t="s">
        <v>14</v>
      </c>
      <c r="B11" s="17">
        <v>7800</v>
      </c>
      <c r="E11" s="7" t="s">
        <v>6</v>
      </c>
      <c r="F11" s="7" t="s">
        <v>6</v>
      </c>
      <c r="G11" s="7" t="s">
        <v>6</v>
      </c>
      <c r="H11" s="7" t="s">
        <v>252</v>
      </c>
      <c r="I11" s="7" t="s">
        <v>6</v>
      </c>
      <c r="J11" s="7" t="s">
        <v>6</v>
      </c>
      <c r="K11" s="7" t="str">
        <f>J11</f>
        <v xml:space="preserve">RINGING NOT RESPONDING </v>
      </c>
    </row>
    <row r="12" spans="1:12" x14ac:dyDescent="0.25">
      <c r="A12" s="5" t="s">
        <v>15</v>
      </c>
      <c r="B12" s="17">
        <v>31317</v>
      </c>
      <c r="E12" s="7" t="s">
        <v>16</v>
      </c>
      <c r="H12" s="7" t="s">
        <v>252</v>
      </c>
      <c r="I12" s="7" t="s">
        <v>289</v>
      </c>
      <c r="K12" s="7" t="s">
        <v>340</v>
      </c>
    </row>
    <row r="13" spans="1:12" x14ac:dyDescent="0.25">
      <c r="A13" s="5" t="s">
        <v>17</v>
      </c>
      <c r="B13" s="17">
        <v>10083</v>
      </c>
      <c r="E13" s="7" t="s">
        <v>18</v>
      </c>
      <c r="F13" s="7" t="s">
        <v>119</v>
      </c>
      <c r="G13" s="7" t="s">
        <v>119</v>
      </c>
      <c r="H13" s="7" t="s">
        <v>253</v>
      </c>
      <c r="I13" s="7" t="s">
        <v>119</v>
      </c>
      <c r="J13" s="7" t="s">
        <v>119</v>
      </c>
      <c r="K13" s="7" t="str">
        <f>K11</f>
        <v xml:space="preserve">RINGING NOT RESPONDING </v>
      </c>
    </row>
    <row r="14" spans="1:12" x14ac:dyDescent="0.25">
      <c r="A14" s="5" t="s">
        <v>19</v>
      </c>
      <c r="B14" s="18">
        <f>99017-50000</f>
        <v>49017</v>
      </c>
      <c r="E14" s="7" t="s">
        <v>20</v>
      </c>
      <c r="H14" s="7" t="s">
        <v>254</v>
      </c>
      <c r="I14" s="7" t="s">
        <v>290</v>
      </c>
      <c r="J14" s="7" t="s">
        <v>6</v>
      </c>
      <c r="K14" s="7" t="s">
        <v>341</v>
      </c>
    </row>
    <row r="15" spans="1:12" s="19" customFormat="1" x14ac:dyDescent="0.25">
      <c r="A15" s="25" t="s">
        <v>21</v>
      </c>
      <c r="B15" s="26">
        <v>9399</v>
      </c>
      <c r="E15" s="19" t="s">
        <v>22</v>
      </c>
      <c r="F15" s="19" t="s">
        <v>120</v>
      </c>
      <c r="H15" s="19" t="s">
        <v>255</v>
      </c>
    </row>
    <row r="16" spans="1:12" x14ac:dyDescent="0.25">
      <c r="A16" s="5" t="s">
        <v>23</v>
      </c>
      <c r="B16" s="17">
        <v>5372</v>
      </c>
      <c r="E16" s="7" t="s">
        <v>6</v>
      </c>
      <c r="F16" s="7" t="s">
        <v>6</v>
      </c>
      <c r="G16" s="7" t="s">
        <v>170</v>
      </c>
      <c r="H16" s="7" t="s">
        <v>6</v>
      </c>
      <c r="J16" s="7" t="s">
        <v>6</v>
      </c>
      <c r="K16" s="7" t="str">
        <f>J16</f>
        <v xml:space="preserve">RINGING NOT RESPONDING </v>
      </c>
    </row>
    <row r="17" spans="1:11" x14ac:dyDescent="0.25">
      <c r="A17" s="5" t="s">
        <v>24</v>
      </c>
      <c r="B17" s="17">
        <v>60584</v>
      </c>
      <c r="E17" s="7" t="s">
        <v>6</v>
      </c>
      <c r="F17" s="7" t="s">
        <v>97</v>
      </c>
      <c r="G17" s="7" t="s">
        <v>170</v>
      </c>
      <c r="H17" s="7" t="s">
        <v>6</v>
      </c>
      <c r="I17" s="7" t="s">
        <v>6</v>
      </c>
      <c r="J17" s="7" t="s">
        <v>97</v>
      </c>
      <c r="K17" s="7" t="s">
        <v>342</v>
      </c>
    </row>
    <row r="18" spans="1:11" x14ac:dyDescent="0.25">
      <c r="A18" s="5" t="s">
        <v>25</v>
      </c>
      <c r="B18" s="17">
        <v>25760</v>
      </c>
      <c r="E18" s="7" t="s">
        <v>6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6</v>
      </c>
      <c r="K18" s="7" t="str">
        <f>K16</f>
        <v xml:space="preserve">RINGING NOT RESPONDING </v>
      </c>
    </row>
    <row r="19" spans="1:11" x14ac:dyDescent="0.25">
      <c r="A19" s="5" t="s">
        <v>26</v>
      </c>
      <c r="B19" s="17">
        <v>19279</v>
      </c>
      <c r="E19" s="7" t="s">
        <v>6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6</v>
      </c>
      <c r="K19" s="7" t="str">
        <f>K18</f>
        <v xml:space="preserve">RINGING NOT RESPONDING </v>
      </c>
    </row>
    <row r="20" spans="1:11" x14ac:dyDescent="0.25">
      <c r="A20" s="5" t="s">
        <v>27</v>
      </c>
      <c r="B20" s="17">
        <v>10000</v>
      </c>
      <c r="E20" s="7" t="s">
        <v>6</v>
      </c>
      <c r="F20" s="7" t="s">
        <v>6</v>
      </c>
      <c r="G20" s="7" t="s">
        <v>6</v>
      </c>
      <c r="H20" s="7" t="s">
        <v>6</v>
      </c>
      <c r="I20" s="7" t="s">
        <v>291</v>
      </c>
      <c r="K20" s="7" t="str">
        <f>K19</f>
        <v xml:space="preserve">RINGING NOT RESPONDING </v>
      </c>
    </row>
    <row r="21" spans="1:11" x14ac:dyDescent="0.25">
      <c r="A21" s="5" t="s">
        <v>28</v>
      </c>
      <c r="B21" s="17">
        <v>9634</v>
      </c>
      <c r="E21" s="7" t="s">
        <v>6</v>
      </c>
      <c r="F21" s="7" t="s">
        <v>6</v>
      </c>
      <c r="G21" s="7" t="s">
        <v>6</v>
      </c>
      <c r="H21" s="7" t="s">
        <v>256</v>
      </c>
      <c r="I21" s="7" t="s">
        <v>299</v>
      </c>
      <c r="J21" s="7" t="s">
        <v>300</v>
      </c>
      <c r="K21" s="7" t="str">
        <f>J17</f>
        <v xml:space="preserve">NUMBER BUSY </v>
      </c>
    </row>
    <row r="22" spans="1:11" x14ac:dyDescent="0.25">
      <c r="A22" s="5" t="s">
        <v>29</v>
      </c>
      <c r="B22" s="17">
        <v>17262</v>
      </c>
      <c r="E22" s="7" t="s">
        <v>30</v>
      </c>
      <c r="F22" s="7" t="s">
        <v>97</v>
      </c>
      <c r="G22" s="7" t="s">
        <v>97</v>
      </c>
      <c r="H22" s="7" t="s">
        <v>6</v>
      </c>
      <c r="I22" s="7" t="s">
        <v>119</v>
      </c>
      <c r="J22" s="7" t="s">
        <v>6</v>
      </c>
      <c r="K22" s="7" t="str">
        <f>K21</f>
        <v xml:space="preserve">NUMBER BUSY </v>
      </c>
    </row>
    <row r="23" spans="1:11" x14ac:dyDescent="0.25">
      <c r="A23" s="5" t="s">
        <v>31</v>
      </c>
      <c r="B23" s="17">
        <v>5197</v>
      </c>
      <c r="E23" s="7" t="s">
        <v>6</v>
      </c>
      <c r="F23" s="7" t="s">
        <v>6</v>
      </c>
      <c r="G23" s="7" t="s">
        <v>6</v>
      </c>
      <c r="H23" s="7" t="s">
        <v>6</v>
      </c>
      <c r="I23" s="7" t="s">
        <v>301</v>
      </c>
      <c r="J23" s="7" t="s">
        <v>6</v>
      </c>
      <c r="K23" s="7" t="str">
        <f>K22</f>
        <v xml:space="preserve">NUMBER BUSY </v>
      </c>
    </row>
    <row r="24" spans="1:11" x14ac:dyDescent="0.25">
      <c r="A24" s="11" t="s">
        <v>33</v>
      </c>
      <c r="B24" s="17">
        <v>2580</v>
      </c>
      <c r="C24" s="21">
        <v>2580</v>
      </c>
      <c r="D24" s="7">
        <v>0</v>
      </c>
      <c r="E24" s="7" t="s">
        <v>30</v>
      </c>
      <c r="F24" s="7" t="s">
        <v>6</v>
      </c>
      <c r="G24" s="7" t="s">
        <v>6</v>
      </c>
      <c r="H24" s="7" t="s">
        <v>257</v>
      </c>
    </row>
    <row r="25" spans="1:11" x14ac:dyDescent="0.25">
      <c r="A25" s="11" t="s">
        <v>34</v>
      </c>
      <c r="B25" s="17">
        <v>2472</v>
      </c>
      <c r="E25" s="7" t="s">
        <v>35</v>
      </c>
      <c r="H25" s="7" t="s">
        <v>258</v>
      </c>
      <c r="I25" s="7" t="s">
        <v>302</v>
      </c>
      <c r="K25" s="7" t="str">
        <f>K20</f>
        <v xml:space="preserve">RINGING NOT RESPONDING </v>
      </c>
    </row>
    <row r="26" spans="1:11" x14ac:dyDescent="0.25">
      <c r="A26" s="11" t="s">
        <v>36</v>
      </c>
      <c r="B26" s="17">
        <v>2561</v>
      </c>
      <c r="E26" s="7" t="s">
        <v>37</v>
      </c>
      <c r="H26" s="7" t="s">
        <v>252</v>
      </c>
      <c r="I26" s="7" t="s">
        <v>275</v>
      </c>
      <c r="J26" s="7" t="s">
        <v>318</v>
      </c>
      <c r="K26" s="7" t="s">
        <v>343</v>
      </c>
    </row>
    <row r="27" spans="1:11" s="19" customFormat="1" x14ac:dyDescent="0.25">
      <c r="A27" s="25" t="s">
        <v>38</v>
      </c>
      <c r="B27" s="26">
        <v>4181</v>
      </c>
      <c r="E27" s="19" t="s">
        <v>39</v>
      </c>
      <c r="F27" s="19" t="s">
        <v>125</v>
      </c>
      <c r="H27" s="19" t="s">
        <v>6</v>
      </c>
      <c r="I27" s="19" t="s">
        <v>303</v>
      </c>
    </row>
    <row r="28" spans="1:11" x14ac:dyDescent="0.25">
      <c r="A28" s="11" t="s">
        <v>40</v>
      </c>
      <c r="B28" s="17">
        <v>6352</v>
      </c>
      <c r="C28" s="21">
        <v>6352</v>
      </c>
      <c r="D28" s="7">
        <v>0</v>
      </c>
      <c r="E28" s="10" t="s">
        <v>41</v>
      </c>
      <c r="F28" s="7" t="s">
        <v>126</v>
      </c>
      <c r="G28" s="7" t="s">
        <v>168</v>
      </c>
      <c r="H28" s="7" t="s">
        <v>159</v>
      </c>
      <c r="I28" s="7" t="s">
        <v>244</v>
      </c>
    </row>
    <row r="29" spans="1:11" x14ac:dyDescent="0.25">
      <c r="A29" s="11" t="s">
        <v>42</v>
      </c>
      <c r="B29" s="17">
        <v>29454</v>
      </c>
      <c r="C29" s="21">
        <v>29454</v>
      </c>
      <c r="D29" s="7">
        <v>0</v>
      </c>
      <c r="E29" s="10" t="s">
        <v>43</v>
      </c>
      <c r="G29" s="7" t="s">
        <v>171</v>
      </c>
      <c r="H29" s="7" t="s">
        <v>259</v>
      </c>
      <c r="I29" s="7" t="s">
        <v>286</v>
      </c>
    </row>
    <row r="30" spans="1:11" x14ac:dyDescent="0.25">
      <c r="A30" s="11" t="s">
        <v>44</v>
      </c>
      <c r="B30" s="17">
        <v>24579</v>
      </c>
      <c r="C30" s="6">
        <v>24579</v>
      </c>
      <c r="D30" s="7">
        <v>0</v>
      </c>
      <c r="E30" s="10" t="s">
        <v>95</v>
      </c>
      <c r="H30" s="7" t="s">
        <v>102</v>
      </c>
    </row>
    <row r="31" spans="1:11" x14ac:dyDescent="0.25">
      <c r="A31" s="11" t="s">
        <v>45</v>
      </c>
      <c r="B31" s="17">
        <v>8173</v>
      </c>
      <c r="C31" s="17">
        <v>8173</v>
      </c>
      <c r="D31" s="7">
        <v>0</v>
      </c>
      <c r="E31" s="10" t="s">
        <v>96</v>
      </c>
      <c r="F31" s="7" t="s">
        <v>127</v>
      </c>
      <c r="G31" s="7" t="s">
        <v>176</v>
      </c>
      <c r="H31" s="7" t="s">
        <v>247</v>
      </c>
      <c r="I31" s="7" t="s">
        <v>287</v>
      </c>
    </row>
    <row r="32" spans="1:11" s="19" customFormat="1" x14ac:dyDescent="0.25">
      <c r="A32" s="25" t="s">
        <v>46</v>
      </c>
      <c r="B32" s="26">
        <v>4079</v>
      </c>
      <c r="E32" s="19" t="s">
        <v>94</v>
      </c>
      <c r="F32" s="19" t="s">
        <v>6</v>
      </c>
      <c r="G32" s="19" t="s">
        <v>170</v>
      </c>
      <c r="H32" s="19" t="s">
        <v>260</v>
      </c>
      <c r="I32" s="19" t="s">
        <v>304</v>
      </c>
    </row>
    <row r="33" spans="1:12" x14ac:dyDescent="0.25">
      <c r="A33" s="11" t="s">
        <v>47</v>
      </c>
      <c r="B33" s="17">
        <v>6289</v>
      </c>
      <c r="E33" s="10" t="s">
        <v>97</v>
      </c>
      <c r="F33" s="7" t="s">
        <v>97</v>
      </c>
      <c r="G33" s="7" t="s">
        <v>170</v>
      </c>
      <c r="H33" s="7" t="s">
        <v>260</v>
      </c>
      <c r="I33" s="7" t="s">
        <v>253</v>
      </c>
      <c r="J33" s="7" t="s">
        <v>260</v>
      </c>
    </row>
    <row r="34" spans="1:12" x14ac:dyDescent="0.25">
      <c r="A34" s="11" t="s">
        <v>48</v>
      </c>
      <c r="B34" s="17">
        <v>9268</v>
      </c>
      <c r="E34" s="10" t="s">
        <v>6</v>
      </c>
      <c r="F34" s="10" t="s">
        <v>6</v>
      </c>
      <c r="G34" s="10" t="s">
        <v>6</v>
      </c>
      <c r="H34" s="7" t="s">
        <v>260</v>
      </c>
      <c r="I34" s="10" t="s">
        <v>6</v>
      </c>
      <c r="J34" s="10" t="s">
        <v>6</v>
      </c>
    </row>
    <row r="35" spans="1:12" x14ac:dyDescent="0.25">
      <c r="A35" s="11" t="s">
        <v>49</v>
      </c>
      <c r="B35" s="17">
        <v>6780</v>
      </c>
      <c r="C35" s="17">
        <v>6780</v>
      </c>
      <c r="D35" s="7">
        <v>0</v>
      </c>
      <c r="E35" s="10" t="s">
        <v>97</v>
      </c>
      <c r="F35" s="7" t="s">
        <v>97</v>
      </c>
      <c r="G35" s="7" t="s">
        <v>97</v>
      </c>
      <c r="H35" s="7" t="s">
        <v>97</v>
      </c>
      <c r="I35" s="10" t="s">
        <v>6</v>
      </c>
      <c r="J35" s="10" t="s">
        <v>6</v>
      </c>
      <c r="K35" s="7" t="s">
        <v>344</v>
      </c>
    </row>
    <row r="36" spans="1:12" x14ac:dyDescent="0.25">
      <c r="A36" s="11" t="s">
        <v>50</v>
      </c>
      <c r="B36" s="17">
        <v>14106</v>
      </c>
      <c r="E36" s="10" t="s">
        <v>6</v>
      </c>
      <c r="F36" s="10" t="s">
        <v>6</v>
      </c>
      <c r="G36" s="10" t="s">
        <v>6</v>
      </c>
      <c r="H36" s="7" t="s">
        <v>97</v>
      </c>
      <c r="I36" s="7" t="s">
        <v>305</v>
      </c>
    </row>
    <row r="37" spans="1:12" x14ac:dyDescent="0.25">
      <c r="A37" s="11" t="s">
        <v>51</v>
      </c>
      <c r="B37" s="17">
        <v>4601</v>
      </c>
      <c r="C37" s="21">
        <v>4601</v>
      </c>
      <c r="E37" s="7" t="s">
        <v>98</v>
      </c>
      <c r="F37" s="7" t="s">
        <v>99</v>
      </c>
      <c r="G37" s="7" t="s">
        <v>182</v>
      </c>
      <c r="H37" s="7" t="s">
        <v>257</v>
      </c>
    </row>
    <row r="38" spans="1:12" x14ac:dyDescent="0.25">
      <c r="A38" s="11" t="s">
        <v>52</v>
      </c>
      <c r="B38" s="17">
        <v>24988</v>
      </c>
      <c r="C38" s="6">
        <v>24988</v>
      </c>
      <c r="D38" s="7">
        <v>0</v>
      </c>
      <c r="E38" s="10" t="s">
        <v>100</v>
      </c>
      <c r="F38" s="7" t="s">
        <v>129</v>
      </c>
      <c r="H38" s="7" t="s">
        <v>102</v>
      </c>
    </row>
    <row r="39" spans="1:12" x14ac:dyDescent="0.25">
      <c r="A39" s="11" t="s">
        <v>53</v>
      </c>
      <c r="B39" s="17">
        <v>1648</v>
      </c>
      <c r="C39" s="17">
        <v>1648</v>
      </c>
      <c r="D39" s="7">
        <v>0</v>
      </c>
      <c r="E39" s="10" t="s">
        <v>101</v>
      </c>
      <c r="F39" s="7" t="s">
        <v>97</v>
      </c>
      <c r="G39" s="7" t="s">
        <v>182</v>
      </c>
      <c r="H39" s="10" t="s">
        <v>6</v>
      </c>
      <c r="I39" s="7" t="s">
        <v>145</v>
      </c>
    </row>
    <row r="40" spans="1:12" x14ac:dyDescent="0.25">
      <c r="A40" s="11" t="s">
        <v>54</v>
      </c>
      <c r="B40" s="17">
        <v>1356</v>
      </c>
      <c r="C40" s="6">
        <v>1356</v>
      </c>
      <c r="E40" s="10" t="s">
        <v>102</v>
      </c>
      <c r="H40" s="7" t="s">
        <v>102</v>
      </c>
    </row>
    <row r="41" spans="1:12" x14ac:dyDescent="0.25">
      <c r="A41" s="11" t="s">
        <v>55</v>
      </c>
      <c r="B41" s="17">
        <v>29625</v>
      </c>
      <c r="C41" s="21">
        <v>29625</v>
      </c>
      <c r="E41" s="10" t="s">
        <v>103</v>
      </c>
      <c r="G41" s="7" t="s">
        <v>183</v>
      </c>
      <c r="H41" s="7" t="s">
        <v>102</v>
      </c>
    </row>
    <row r="42" spans="1:12" x14ac:dyDescent="0.25">
      <c r="A42" s="11" t="s">
        <v>56</v>
      </c>
      <c r="B42" s="17">
        <v>12623</v>
      </c>
      <c r="E42" s="10" t="s">
        <v>6</v>
      </c>
      <c r="G42" s="10" t="s">
        <v>6</v>
      </c>
      <c r="H42" s="7" t="s">
        <v>97</v>
      </c>
      <c r="I42" s="10" t="s">
        <v>6</v>
      </c>
    </row>
    <row r="43" spans="1:12" x14ac:dyDescent="0.25">
      <c r="A43" s="11" t="s">
        <v>57</v>
      </c>
      <c r="B43" s="17">
        <v>6372</v>
      </c>
      <c r="E43" s="10" t="s">
        <v>6</v>
      </c>
      <c r="G43" s="7" t="s">
        <v>170</v>
      </c>
      <c r="H43" s="10" t="s">
        <v>6</v>
      </c>
      <c r="J43" s="10" t="s">
        <v>6</v>
      </c>
    </row>
    <row r="44" spans="1:12" x14ac:dyDescent="0.25">
      <c r="A44" s="11" t="s">
        <v>58</v>
      </c>
      <c r="B44" s="17">
        <v>15868</v>
      </c>
      <c r="C44" s="18">
        <f>B44</f>
        <v>15868</v>
      </c>
      <c r="D44" s="18">
        <f>B44-C44</f>
        <v>0</v>
      </c>
      <c r="E44" s="10" t="s">
        <v>43</v>
      </c>
      <c r="G44" s="10" t="s">
        <v>43</v>
      </c>
      <c r="H44" s="10" t="s">
        <v>43</v>
      </c>
      <c r="J44" s="10" t="s">
        <v>43</v>
      </c>
      <c r="L44" s="7" t="s">
        <v>345</v>
      </c>
    </row>
    <row r="45" spans="1:12" x14ac:dyDescent="0.25">
      <c r="A45" s="11" t="s">
        <v>59</v>
      </c>
      <c r="B45" s="17">
        <v>24581</v>
      </c>
      <c r="C45" s="8">
        <v>24581</v>
      </c>
      <c r="D45" s="7">
        <v>0</v>
      </c>
      <c r="E45" s="7" t="s">
        <v>115</v>
      </c>
      <c r="H45" s="7" t="s">
        <v>102</v>
      </c>
    </row>
    <row r="46" spans="1:12" x14ac:dyDescent="0.25">
      <c r="A46" s="7" t="s">
        <v>162</v>
      </c>
      <c r="B46" s="18">
        <v>9255</v>
      </c>
      <c r="E46" s="10" t="s">
        <v>30</v>
      </c>
      <c r="G46" s="10" t="s">
        <v>30</v>
      </c>
      <c r="H46" s="10" t="s">
        <v>30</v>
      </c>
      <c r="I46" s="10" t="s">
        <v>30</v>
      </c>
      <c r="J46" s="10" t="s">
        <v>30</v>
      </c>
    </row>
    <row r="47" spans="1:12" x14ac:dyDescent="0.25">
      <c r="A47" s="7" t="s">
        <v>163</v>
      </c>
      <c r="B47" s="18">
        <v>1982</v>
      </c>
      <c r="C47" s="7">
        <v>1982</v>
      </c>
      <c r="D47" s="7">
        <v>0</v>
      </c>
      <c r="G47" s="7" t="s">
        <v>164</v>
      </c>
      <c r="H47" s="7" t="s">
        <v>102</v>
      </c>
    </row>
    <row r="48" spans="1:12" s="19" customFormat="1" x14ac:dyDescent="0.25">
      <c r="A48" s="19" t="s">
        <v>165</v>
      </c>
      <c r="B48" s="20" t="s">
        <v>166</v>
      </c>
      <c r="C48" s="20" t="s">
        <v>166</v>
      </c>
      <c r="D48" s="19">
        <v>0</v>
      </c>
      <c r="G48" s="19" t="s">
        <v>167</v>
      </c>
      <c r="H48" s="19" t="s">
        <v>261</v>
      </c>
      <c r="I48" s="19" t="s">
        <v>306</v>
      </c>
      <c r="K48" s="19" t="s">
        <v>322</v>
      </c>
    </row>
    <row r="49" spans="1:10" x14ac:dyDescent="0.25">
      <c r="A49" s="7" t="s">
        <v>169</v>
      </c>
      <c r="B49" s="18">
        <v>37491</v>
      </c>
      <c r="G49" s="7" t="s">
        <v>170</v>
      </c>
      <c r="H49" s="7" t="s">
        <v>170</v>
      </c>
      <c r="I49" s="7" t="s">
        <v>170</v>
      </c>
      <c r="J49" s="7" t="s">
        <v>319</v>
      </c>
    </row>
    <row r="50" spans="1:10" x14ac:dyDescent="0.25">
      <c r="A50" s="7" t="s">
        <v>172</v>
      </c>
      <c r="B50" s="18">
        <v>2440</v>
      </c>
      <c r="G50" s="7" t="s">
        <v>173</v>
      </c>
      <c r="H50" s="10" t="s">
        <v>6</v>
      </c>
      <c r="I50" s="7" t="s">
        <v>307</v>
      </c>
      <c r="J50" s="10" t="s">
        <v>6</v>
      </c>
    </row>
    <row r="51" spans="1:10" x14ac:dyDescent="0.25">
      <c r="A51" s="7" t="s">
        <v>174</v>
      </c>
      <c r="B51" s="18">
        <v>13321</v>
      </c>
      <c r="G51" s="7" t="s">
        <v>175</v>
      </c>
    </row>
    <row r="52" spans="1:10" x14ac:dyDescent="0.25">
      <c r="A52" s="7" t="s">
        <v>177</v>
      </c>
      <c r="B52" s="18">
        <v>8855</v>
      </c>
      <c r="G52" s="10" t="s">
        <v>178</v>
      </c>
      <c r="H52" s="7" t="s">
        <v>262</v>
      </c>
    </row>
    <row r="53" spans="1:10" x14ac:dyDescent="0.25">
      <c r="A53" s="7" t="s">
        <v>179</v>
      </c>
      <c r="B53" s="18">
        <v>11615</v>
      </c>
      <c r="C53" s="23">
        <v>11615</v>
      </c>
      <c r="D53" s="7">
        <v>0</v>
      </c>
      <c r="E53" s="7">
        <v>9292000809</v>
      </c>
      <c r="F53" s="7" t="s">
        <v>180</v>
      </c>
      <c r="G53" s="10" t="s">
        <v>181</v>
      </c>
      <c r="H53" s="7" t="s">
        <v>263</v>
      </c>
      <c r="I53" s="7" t="s">
        <v>145</v>
      </c>
    </row>
    <row r="54" spans="1:10" x14ac:dyDescent="0.25">
      <c r="A54" s="7" t="s">
        <v>185</v>
      </c>
      <c r="B54" s="18">
        <v>21943</v>
      </c>
      <c r="H54" s="7" t="s">
        <v>189</v>
      </c>
      <c r="J54" s="7" t="s">
        <v>189</v>
      </c>
    </row>
    <row r="55" spans="1:10" x14ac:dyDescent="0.25">
      <c r="A55" s="7" t="s">
        <v>186</v>
      </c>
      <c r="B55" s="18">
        <v>6009</v>
      </c>
      <c r="G55" s="7" t="s">
        <v>189</v>
      </c>
      <c r="H55" s="7" t="s">
        <v>189</v>
      </c>
      <c r="I55" s="7" t="s">
        <v>189</v>
      </c>
      <c r="J55" s="7" t="s">
        <v>189</v>
      </c>
    </row>
    <row r="56" spans="1:10" s="12" customFormat="1" x14ac:dyDescent="0.25">
      <c r="A56" s="12" t="s">
        <v>187</v>
      </c>
      <c r="B56" s="27">
        <v>15381</v>
      </c>
      <c r="C56" s="27">
        <v>15381</v>
      </c>
      <c r="D56" s="12">
        <v>0</v>
      </c>
      <c r="G56" s="12" t="s">
        <v>190</v>
      </c>
      <c r="H56" s="12" t="s">
        <v>261</v>
      </c>
      <c r="I56" s="12" t="s">
        <v>231</v>
      </c>
    </row>
    <row r="57" spans="1:10" x14ac:dyDescent="0.25">
      <c r="A57" s="7" t="s">
        <v>245</v>
      </c>
      <c r="B57" s="18">
        <v>5152</v>
      </c>
    </row>
    <row r="58" spans="1:10" x14ac:dyDescent="0.25">
      <c r="A58" s="7" t="s">
        <v>246</v>
      </c>
      <c r="B58" s="18">
        <v>100</v>
      </c>
      <c r="E58" s="7">
        <v>8686705353</v>
      </c>
      <c r="H58" s="7" t="s">
        <v>264</v>
      </c>
    </row>
    <row r="59" spans="1:10" x14ac:dyDescent="0.25">
      <c r="A59" s="7" t="s">
        <v>188</v>
      </c>
      <c r="B59" s="18">
        <v>28248</v>
      </c>
      <c r="G59" s="7" t="s">
        <v>170</v>
      </c>
      <c r="H59" s="7" t="s">
        <v>189</v>
      </c>
      <c r="I59" s="7" t="s">
        <v>189</v>
      </c>
      <c r="J59" s="7" t="s">
        <v>320</v>
      </c>
    </row>
    <row r="60" spans="1:10" x14ac:dyDescent="0.25">
      <c r="A60" s="19" t="s">
        <v>224</v>
      </c>
      <c r="B60" s="20">
        <f>SUM(B2:B59)</f>
        <v>834924</v>
      </c>
      <c r="C60" s="19">
        <f>SUM(C2:C59)</f>
        <v>339689</v>
      </c>
      <c r="D60" s="19">
        <f>834924-307682</f>
        <v>527242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E22" sqref="E22"/>
    </sheetView>
  </sheetViews>
  <sheetFormatPr defaultRowHeight="15" x14ac:dyDescent="0.25"/>
  <cols>
    <col min="1" max="1" width="31.5703125" bestFit="1" customWidth="1"/>
    <col min="2" max="2" width="16.42578125" bestFit="1" customWidth="1"/>
    <col min="3" max="3" width="14.42578125" bestFit="1" customWidth="1"/>
    <col min="4" max="4" width="18.42578125" bestFit="1" customWidth="1"/>
    <col min="5" max="5" width="31.42578125" customWidth="1"/>
    <col min="6" max="6" width="26.140625" bestFit="1" customWidth="1"/>
    <col min="7" max="7" width="31.140625" bestFit="1" customWidth="1"/>
    <col min="8" max="8" width="15.140625" bestFit="1" customWidth="1"/>
    <col min="9" max="9" width="38.85546875" bestFit="1" customWidth="1"/>
    <col min="10" max="10" width="38.28515625" bestFit="1" customWidth="1"/>
    <col min="11" max="11" width="26.28515625" customWidth="1"/>
    <col min="12" max="12" width="28.5703125" bestFit="1" customWidth="1"/>
  </cols>
  <sheetData>
    <row r="1" spans="1:13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60</v>
      </c>
      <c r="F1" s="4" t="s">
        <v>60</v>
      </c>
      <c r="G1" s="4" t="s">
        <v>60</v>
      </c>
      <c r="H1" s="4" t="s">
        <v>4</v>
      </c>
      <c r="I1" s="4" t="s">
        <v>4</v>
      </c>
      <c r="J1" s="4" t="s">
        <v>4</v>
      </c>
      <c r="K1" s="4" t="s">
        <v>4</v>
      </c>
      <c r="L1" s="4" t="s">
        <v>4</v>
      </c>
    </row>
    <row r="2" spans="1:13" x14ac:dyDescent="0.25">
      <c r="A2" s="33" t="s">
        <v>61</v>
      </c>
      <c r="B2" s="6">
        <v>500</v>
      </c>
      <c r="C2" s="7"/>
      <c r="D2" s="7"/>
      <c r="E2" s="7"/>
      <c r="F2" s="7"/>
      <c r="G2" s="7"/>
      <c r="H2" s="7"/>
      <c r="I2" s="7"/>
      <c r="J2" s="7"/>
      <c r="K2" s="7"/>
    </row>
    <row r="3" spans="1:13" x14ac:dyDescent="0.25">
      <c r="A3" s="5" t="s">
        <v>62</v>
      </c>
      <c r="B3" s="6">
        <v>28309</v>
      </c>
      <c r="C3" s="6">
        <v>28309</v>
      </c>
      <c r="D3" s="7">
        <v>0</v>
      </c>
      <c r="E3" s="7"/>
      <c r="F3" s="7"/>
      <c r="G3" s="7" t="s">
        <v>147</v>
      </c>
      <c r="H3" s="7"/>
      <c r="I3" s="7" t="s">
        <v>231</v>
      </c>
      <c r="J3" s="7"/>
      <c r="K3" s="7"/>
    </row>
    <row r="4" spans="1:13" x14ac:dyDescent="0.25">
      <c r="A4" s="5" t="s">
        <v>63</v>
      </c>
      <c r="B4" s="6">
        <v>19922</v>
      </c>
      <c r="C4" s="6">
        <v>19922</v>
      </c>
      <c r="D4" s="7">
        <v>0</v>
      </c>
      <c r="E4" s="7" t="s">
        <v>6</v>
      </c>
      <c r="F4" s="7" t="s">
        <v>6</v>
      </c>
      <c r="G4" s="7" t="s">
        <v>6</v>
      </c>
      <c r="H4" s="7" t="s">
        <v>160</v>
      </c>
      <c r="I4" s="10" t="s">
        <v>117</v>
      </c>
      <c r="J4" s="7"/>
      <c r="K4" s="7"/>
    </row>
    <row r="5" spans="1:13" x14ac:dyDescent="0.25">
      <c r="A5" s="33" t="s">
        <v>64</v>
      </c>
      <c r="B5" s="6">
        <v>644322</v>
      </c>
      <c r="C5" s="7"/>
      <c r="D5" s="7"/>
      <c r="E5" s="7" t="s">
        <v>94</v>
      </c>
      <c r="F5" s="7" t="s">
        <v>94</v>
      </c>
      <c r="G5" s="7" t="s">
        <v>94</v>
      </c>
      <c r="H5" s="7"/>
      <c r="I5" s="7" t="s">
        <v>94</v>
      </c>
      <c r="J5" s="7"/>
      <c r="K5" s="7"/>
    </row>
    <row r="6" spans="1:13" x14ac:dyDescent="0.25">
      <c r="A6" s="5" t="s">
        <v>65</v>
      </c>
      <c r="B6" s="6">
        <v>271</v>
      </c>
      <c r="C6" s="7"/>
      <c r="D6" s="7"/>
      <c r="E6" s="7"/>
      <c r="F6" s="7"/>
      <c r="G6" s="7"/>
      <c r="H6" s="7"/>
      <c r="I6" s="7"/>
      <c r="J6" s="7"/>
      <c r="K6" s="7"/>
    </row>
    <row r="7" spans="1:13" x14ac:dyDescent="0.25">
      <c r="A7" s="5" t="s">
        <v>66</v>
      </c>
      <c r="B7" s="7">
        <f>108003-58728</f>
        <v>49275</v>
      </c>
      <c r="C7" s="7">
        <f>108003-58728</f>
        <v>49275</v>
      </c>
      <c r="D7" s="7">
        <v>0</v>
      </c>
      <c r="E7" s="7" t="s">
        <v>92</v>
      </c>
      <c r="F7" s="7"/>
      <c r="G7" s="7" t="s">
        <v>94</v>
      </c>
      <c r="H7" s="7" t="s">
        <v>129</v>
      </c>
      <c r="I7" s="7"/>
      <c r="J7" s="7"/>
      <c r="K7" s="7"/>
    </row>
    <row r="8" spans="1:13" x14ac:dyDescent="0.25">
      <c r="A8" s="5" t="s">
        <v>67</v>
      </c>
      <c r="B8" s="7">
        <f>52486-32086</f>
        <v>20400</v>
      </c>
      <c r="C8" s="7">
        <f>10000+10000</f>
        <v>20000</v>
      </c>
      <c r="D8" s="7">
        <f>B8-C8</f>
        <v>400</v>
      </c>
      <c r="E8" s="7" t="s">
        <v>6</v>
      </c>
      <c r="F8" s="7" t="s">
        <v>6</v>
      </c>
      <c r="G8" s="7" t="s">
        <v>146</v>
      </c>
      <c r="H8" s="10" t="s">
        <v>97</v>
      </c>
      <c r="I8" s="10" t="s">
        <v>97</v>
      </c>
      <c r="J8" s="7" t="s">
        <v>6</v>
      </c>
      <c r="K8" s="7" t="s">
        <v>6</v>
      </c>
      <c r="L8" s="32" t="s">
        <v>328</v>
      </c>
    </row>
    <row r="9" spans="1:13" x14ac:dyDescent="0.25">
      <c r="A9" s="5" t="s">
        <v>68</v>
      </c>
      <c r="B9" s="6">
        <v>83496</v>
      </c>
      <c r="C9" s="7"/>
      <c r="D9" s="7"/>
      <c r="E9" s="7" t="s">
        <v>6</v>
      </c>
      <c r="F9" s="10" t="s">
        <v>113</v>
      </c>
      <c r="G9" s="7" t="s">
        <v>6</v>
      </c>
      <c r="H9" s="7"/>
      <c r="I9" s="10" t="s">
        <v>229</v>
      </c>
      <c r="J9" s="10" t="s">
        <v>281</v>
      </c>
      <c r="K9" s="7"/>
      <c r="L9" s="7" t="s">
        <v>6</v>
      </c>
    </row>
    <row r="10" spans="1:13" x14ac:dyDescent="0.25">
      <c r="A10" s="5" t="s">
        <v>69</v>
      </c>
      <c r="B10" s="7">
        <f>23098-2000</f>
        <v>21098</v>
      </c>
      <c r="C10" s="7"/>
      <c r="D10" s="7"/>
      <c r="E10" s="7" t="s">
        <v>6</v>
      </c>
      <c r="F10" s="10" t="s">
        <v>114</v>
      </c>
      <c r="G10" s="7" t="s">
        <v>148</v>
      </c>
      <c r="H10" s="7"/>
      <c r="I10" s="10" t="s">
        <v>230</v>
      </c>
      <c r="J10" s="10" t="s">
        <v>182</v>
      </c>
      <c r="K10" s="7"/>
      <c r="L10" s="32" t="s">
        <v>329</v>
      </c>
    </row>
    <row r="11" spans="1:13" x14ac:dyDescent="0.25">
      <c r="A11" s="7" t="s">
        <v>70</v>
      </c>
      <c r="B11" s="7">
        <v>75814</v>
      </c>
      <c r="C11" s="7">
        <f>30000+45814</f>
        <v>75814</v>
      </c>
      <c r="D11" s="7"/>
      <c r="E11" s="7" t="s">
        <v>93</v>
      </c>
      <c r="F11" s="7" t="s">
        <v>6</v>
      </c>
      <c r="G11" s="7" t="s">
        <v>114</v>
      </c>
      <c r="H11" s="7" t="s">
        <v>159</v>
      </c>
      <c r="I11" s="7"/>
      <c r="J11" s="7"/>
      <c r="K11" s="7"/>
    </row>
    <row r="12" spans="1:13" x14ac:dyDescent="0.25">
      <c r="A12" s="7" t="s">
        <v>116</v>
      </c>
      <c r="B12" s="7">
        <v>103322</v>
      </c>
      <c r="C12" s="7">
        <f>50000+53322</f>
        <v>103322</v>
      </c>
      <c r="D12" s="7"/>
      <c r="E12" s="7"/>
      <c r="F12" s="10" t="s">
        <v>117</v>
      </c>
      <c r="G12" s="7" t="s">
        <v>117</v>
      </c>
      <c r="H12" s="7"/>
      <c r="I12" s="7"/>
      <c r="J12" s="7"/>
      <c r="K12" s="7"/>
    </row>
    <row r="13" spans="1:13" x14ac:dyDescent="0.25">
      <c r="A13" s="34" t="s">
        <v>130</v>
      </c>
      <c r="B13" s="7">
        <v>67462</v>
      </c>
      <c r="C13" s="7">
        <v>20000</v>
      </c>
      <c r="D13" s="7">
        <f>B13-C13</f>
        <v>47462</v>
      </c>
      <c r="E13" s="7"/>
      <c r="F13" s="7"/>
      <c r="G13" s="10" t="s">
        <v>103</v>
      </c>
      <c r="H13" s="7"/>
      <c r="I13" s="7"/>
      <c r="J13" s="7"/>
      <c r="K13" s="7"/>
      <c r="L13" t="s">
        <v>325</v>
      </c>
      <c r="M13" t="s">
        <v>326</v>
      </c>
    </row>
    <row r="14" spans="1:13" x14ac:dyDescent="0.25">
      <c r="A14" s="7" t="s">
        <v>131</v>
      </c>
      <c r="B14" s="7">
        <v>29807</v>
      </c>
      <c r="C14" s="7">
        <v>29807</v>
      </c>
      <c r="D14" s="7">
        <v>0</v>
      </c>
      <c r="E14" s="7"/>
      <c r="F14" s="7"/>
      <c r="G14" s="7" t="s">
        <v>6</v>
      </c>
      <c r="H14" s="7"/>
      <c r="I14" s="7" t="s">
        <v>231</v>
      </c>
      <c r="J14" s="7"/>
      <c r="K14" s="7"/>
    </row>
    <row r="15" spans="1:13" x14ac:dyDescent="0.25">
      <c r="A15" s="7" t="s">
        <v>116</v>
      </c>
      <c r="B15" s="7">
        <v>103322</v>
      </c>
      <c r="C15" s="7">
        <v>103322</v>
      </c>
      <c r="D15" s="7">
        <v>0</v>
      </c>
      <c r="E15" s="7"/>
      <c r="F15" s="7" t="s">
        <v>117</v>
      </c>
      <c r="G15" s="7"/>
      <c r="H15" s="7"/>
      <c r="I15" s="7"/>
      <c r="J15" s="7"/>
      <c r="K15" s="7"/>
    </row>
    <row r="16" spans="1:13" x14ac:dyDescent="0.25">
      <c r="A16" s="7" t="s">
        <v>132</v>
      </c>
      <c r="B16" s="7">
        <v>219807</v>
      </c>
      <c r="C16" s="7">
        <v>17626</v>
      </c>
      <c r="D16" s="7">
        <f>219807-17626</f>
        <v>202181</v>
      </c>
      <c r="E16" s="7"/>
      <c r="F16" s="7"/>
      <c r="G16" s="10" t="s">
        <v>149</v>
      </c>
      <c r="H16" s="7"/>
      <c r="I16" s="7" t="s">
        <v>232</v>
      </c>
      <c r="J16" s="7" t="s">
        <v>282</v>
      </c>
      <c r="K16" s="7" t="s">
        <v>6</v>
      </c>
      <c r="L16" s="32" t="s">
        <v>330</v>
      </c>
    </row>
    <row r="17" spans="1:12" x14ac:dyDescent="0.25">
      <c r="A17" s="7" t="s">
        <v>133</v>
      </c>
      <c r="B17" s="7">
        <v>146950</v>
      </c>
      <c r="C17" s="7">
        <v>146950</v>
      </c>
      <c r="D17" s="7">
        <v>0</v>
      </c>
      <c r="E17" s="7"/>
      <c r="F17" s="7"/>
      <c r="G17" s="10" t="s">
        <v>126</v>
      </c>
      <c r="H17" s="7"/>
      <c r="I17" s="7" t="s">
        <v>233</v>
      </c>
      <c r="J17" s="7" t="s">
        <v>283</v>
      </c>
      <c r="K17" s="10" t="s">
        <v>257</v>
      </c>
    </row>
    <row r="18" spans="1:12" x14ac:dyDescent="0.25">
      <c r="A18" s="7" t="s">
        <v>134</v>
      </c>
      <c r="B18" s="7">
        <v>146949</v>
      </c>
      <c r="C18" s="7">
        <f>39095+62855</f>
        <v>101950</v>
      </c>
      <c r="D18" s="7">
        <f>146949-101950</f>
        <v>44999</v>
      </c>
      <c r="E18" s="7"/>
      <c r="F18" s="7"/>
      <c r="G18" s="7"/>
      <c r="H18" s="7"/>
      <c r="I18" s="7" t="s">
        <v>200</v>
      </c>
      <c r="J18" s="7"/>
      <c r="K18" s="7"/>
    </row>
    <row r="19" spans="1:12" x14ac:dyDescent="0.25">
      <c r="A19" s="7" t="s">
        <v>135</v>
      </c>
      <c r="B19" s="7">
        <v>10739</v>
      </c>
      <c r="C19" s="7">
        <v>10739</v>
      </c>
      <c r="D19" s="7">
        <v>0</v>
      </c>
      <c r="E19" s="7"/>
      <c r="F19" s="7"/>
      <c r="G19" s="7"/>
      <c r="H19" s="7"/>
      <c r="I19" s="7" t="s">
        <v>234</v>
      </c>
      <c r="J19" s="7" t="s">
        <v>284</v>
      </c>
      <c r="K19" s="7"/>
    </row>
    <row r="20" spans="1:12" x14ac:dyDescent="0.25">
      <c r="A20" s="7" t="s">
        <v>136</v>
      </c>
      <c r="B20" s="7">
        <v>181091</v>
      </c>
      <c r="C20" s="7">
        <v>34985</v>
      </c>
      <c r="D20" s="7">
        <f>181091-34985</f>
        <v>146106</v>
      </c>
      <c r="E20" s="7"/>
      <c r="F20" s="7"/>
      <c r="G20" s="7" t="s">
        <v>6</v>
      </c>
      <c r="H20" s="7"/>
      <c r="I20" s="7"/>
      <c r="J20" s="7"/>
      <c r="K20" s="7"/>
    </row>
    <row r="21" spans="1:12" x14ac:dyDescent="0.25">
      <c r="A21" s="7" t="s">
        <v>137</v>
      </c>
      <c r="B21" s="7">
        <v>135197</v>
      </c>
      <c r="C21" s="7"/>
      <c r="D21" s="7"/>
      <c r="E21" s="7"/>
      <c r="F21" s="7"/>
      <c r="G21" s="7" t="s">
        <v>150</v>
      </c>
      <c r="H21" s="7"/>
      <c r="I21" s="7" t="s">
        <v>235</v>
      </c>
      <c r="J21" s="7"/>
      <c r="K21" s="7" t="s">
        <v>321</v>
      </c>
      <c r="L21" s="32" t="s">
        <v>317</v>
      </c>
    </row>
    <row r="22" spans="1:12" x14ac:dyDescent="0.25">
      <c r="A22" s="7" t="s">
        <v>138</v>
      </c>
      <c r="B22" s="7">
        <v>54760</v>
      </c>
      <c r="C22" s="7">
        <v>29230</v>
      </c>
      <c r="D22" s="7">
        <f>54760-29230</f>
        <v>25530</v>
      </c>
      <c r="E22" s="7"/>
      <c r="F22" s="7"/>
      <c r="G22" s="7" t="s">
        <v>151</v>
      </c>
      <c r="H22" s="7" t="s">
        <v>223</v>
      </c>
      <c r="I22" s="7"/>
      <c r="J22" s="7"/>
      <c r="K22" s="7"/>
      <c r="L22" t="s">
        <v>331</v>
      </c>
    </row>
    <row r="23" spans="1:12" x14ac:dyDescent="0.25">
      <c r="A23" s="7" t="s">
        <v>139</v>
      </c>
      <c r="B23" s="7">
        <v>109427</v>
      </c>
      <c r="C23" s="7">
        <f>43289+43289</f>
        <v>86578</v>
      </c>
      <c r="D23" s="7">
        <f>109427-86578</f>
        <v>22849</v>
      </c>
      <c r="E23" s="7"/>
      <c r="F23" s="7"/>
      <c r="G23" s="7" t="s">
        <v>97</v>
      </c>
      <c r="H23" s="7"/>
      <c r="I23" s="7"/>
      <c r="J23" s="7"/>
      <c r="K23" s="7"/>
    </row>
    <row r="24" spans="1:12" x14ac:dyDescent="0.25">
      <c r="A24" s="7" t="s">
        <v>140</v>
      </c>
      <c r="B24" s="7">
        <v>82798</v>
      </c>
      <c r="C24" s="7"/>
      <c r="D24" s="7"/>
      <c r="E24" s="7"/>
      <c r="F24" s="7"/>
      <c r="G24" s="7" t="s">
        <v>152</v>
      </c>
      <c r="H24" s="7"/>
      <c r="I24" s="7" t="s">
        <v>236</v>
      </c>
      <c r="J24" s="7" t="s">
        <v>277</v>
      </c>
      <c r="K24" s="7" t="s">
        <v>317</v>
      </c>
      <c r="L24" s="32" t="s">
        <v>332</v>
      </c>
    </row>
    <row r="25" spans="1:12" x14ac:dyDescent="0.25">
      <c r="A25" s="7" t="s">
        <v>141</v>
      </c>
      <c r="B25" s="7">
        <v>289042</v>
      </c>
      <c r="C25" s="7">
        <v>152603</v>
      </c>
      <c r="D25" s="7">
        <f>289042-152603</f>
        <v>136439</v>
      </c>
      <c r="E25" s="7"/>
      <c r="F25" s="7" t="s">
        <v>102</v>
      </c>
      <c r="G25" s="7" t="s">
        <v>102</v>
      </c>
      <c r="H25" s="7"/>
      <c r="I25" s="7"/>
      <c r="J25" s="7"/>
      <c r="K25" s="7"/>
    </row>
    <row r="26" spans="1:12" x14ac:dyDescent="0.25">
      <c r="A26" s="7" t="s">
        <v>142</v>
      </c>
      <c r="B26" s="7">
        <v>1130483</v>
      </c>
      <c r="C26" s="7">
        <v>364491</v>
      </c>
      <c r="D26" s="7">
        <v>765992</v>
      </c>
      <c r="E26" s="7"/>
      <c r="F26" s="7" t="s">
        <v>102</v>
      </c>
      <c r="G26" s="7" t="s">
        <v>102</v>
      </c>
      <c r="H26" s="7"/>
      <c r="I26" s="7"/>
      <c r="J26" s="7"/>
      <c r="K26" s="7"/>
      <c r="L26" t="s">
        <v>333</v>
      </c>
    </row>
    <row r="27" spans="1:12" x14ac:dyDescent="0.25">
      <c r="A27" s="7" t="s">
        <v>143</v>
      </c>
      <c r="B27" s="7">
        <v>137021</v>
      </c>
      <c r="C27" s="7"/>
      <c r="D27" s="7"/>
      <c r="E27" s="7"/>
      <c r="F27" s="7"/>
      <c r="G27" s="7" t="s">
        <v>153</v>
      </c>
      <c r="H27" s="7"/>
      <c r="I27" s="7"/>
      <c r="J27" s="7" t="s">
        <v>285</v>
      </c>
      <c r="K27" s="7"/>
      <c r="L27" t="s">
        <v>285</v>
      </c>
    </row>
    <row r="28" spans="1:12" s="24" customFormat="1" x14ac:dyDescent="0.25">
      <c r="A28" s="19" t="s">
        <v>227</v>
      </c>
      <c r="B28" s="19">
        <v>46833</v>
      </c>
      <c r="C28" s="19">
        <v>20526</v>
      </c>
      <c r="D28" s="19">
        <f>B28-C28</f>
        <v>26307</v>
      </c>
      <c r="E28" s="19"/>
      <c r="F28" s="19"/>
      <c r="G28" s="19"/>
      <c r="H28" s="19"/>
      <c r="I28" s="19" t="s">
        <v>6</v>
      </c>
      <c r="J28" s="19" t="s">
        <v>279</v>
      </c>
      <c r="K28" s="19"/>
      <c r="L28" s="24" t="s">
        <v>323</v>
      </c>
    </row>
    <row r="29" spans="1:12" x14ac:dyDescent="0.25">
      <c r="A29" s="7" t="s">
        <v>228</v>
      </c>
      <c r="B29" s="7">
        <v>46578</v>
      </c>
      <c r="C29" s="7"/>
      <c r="D29" s="7"/>
      <c r="E29" s="7"/>
      <c r="F29" s="7"/>
      <c r="G29" s="7"/>
      <c r="H29" s="7"/>
      <c r="I29" s="7" t="s">
        <v>6</v>
      </c>
      <c r="J29" s="7" t="s">
        <v>278</v>
      </c>
      <c r="K29" s="7"/>
      <c r="L29" t="str">
        <f>L21</f>
        <v>RINGING NOT RESPONDING</v>
      </c>
    </row>
    <row r="30" spans="1:12" x14ac:dyDescent="0.25">
      <c r="A30" s="7" t="s">
        <v>226</v>
      </c>
      <c r="B30" s="7">
        <v>23318</v>
      </c>
      <c r="C30" s="22">
        <v>23318</v>
      </c>
      <c r="D30" s="7">
        <v>0</v>
      </c>
      <c r="E30" s="7"/>
      <c r="F30" s="7"/>
      <c r="G30" s="7"/>
      <c r="H30" s="7"/>
      <c r="I30" s="7" t="s">
        <v>170</v>
      </c>
      <c r="J30" s="7"/>
      <c r="K30" s="7"/>
    </row>
    <row r="31" spans="1:12" s="24" customFormat="1" x14ac:dyDescent="0.25">
      <c r="A31" s="19" t="s">
        <v>144</v>
      </c>
      <c r="B31" s="19">
        <v>141197</v>
      </c>
      <c r="C31" s="19"/>
      <c r="D31" s="19"/>
      <c r="E31" s="19"/>
      <c r="F31" s="19"/>
      <c r="G31" s="19" t="s">
        <v>154</v>
      </c>
      <c r="H31" s="19"/>
      <c r="I31" s="19" t="s">
        <v>240</v>
      </c>
      <c r="J31" s="19" t="s">
        <v>280</v>
      </c>
      <c r="K31" s="19"/>
      <c r="L31" s="24" t="s">
        <v>334</v>
      </c>
    </row>
    <row r="32" spans="1:12" x14ac:dyDescent="0.25">
      <c r="A32" s="19" t="s">
        <v>225</v>
      </c>
      <c r="B32" s="20">
        <f>SUM(B2:B31)</f>
        <v>4149510</v>
      </c>
      <c r="C32" s="20">
        <f>SUM(C4:C31)</f>
        <v>1410458</v>
      </c>
      <c r="D32" s="19">
        <f>4149510-1207982</f>
        <v>2941528</v>
      </c>
      <c r="E32" s="7"/>
      <c r="F32" s="7"/>
      <c r="G32" s="7"/>
      <c r="H32" s="7"/>
      <c r="I32" s="7"/>
      <c r="J32" s="7"/>
      <c r="K32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15" workbookViewId="0">
      <selection activeCell="D38" sqref="D38"/>
    </sheetView>
  </sheetViews>
  <sheetFormatPr defaultRowHeight="15" x14ac:dyDescent="0.25"/>
  <cols>
    <col min="1" max="1" width="38.85546875" style="13" bestFit="1" customWidth="1"/>
    <col min="2" max="2" width="16.42578125" style="13" bestFit="1" customWidth="1"/>
    <col min="3" max="3" width="14.42578125" style="13" bestFit="1" customWidth="1"/>
    <col min="4" max="4" width="18.42578125" style="13" bestFit="1" customWidth="1"/>
    <col min="5" max="5" width="32.5703125" style="13" bestFit="1" customWidth="1"/>
    <col min="6" max="6" width="18.28515625" style="13" bestFit="1" customWidth="1"/>
    <col min="7" max="7" width="50.5703125" style="13" bestFit="1" customWidth="1"/>
    <col min="8" max="8" width="41.7109375" style="13" bestFit="1" customWidth="1"/>
    <col min="9" max="9" width="44.140625" style="13" bestFit="1" customWidth="1"/>
    <col min="10" max="10" width="42.42578125" style="13" bestFit="1" customWidth="1"/>
    <col min="11" max="16384" width="9.140625" style="13"/>
  </cols>
  <sheetData>
    <row r="1" spans="1:10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60</v>
      </c>
      <c r="F1" s="4" t="s">
        <v>60</v>
      </c>
      <c r="G1" s="4" t="s">
        <v>60</v>
      </c>
      <c r="H1" s="4" t="s">
        <v>60</v>
      </c>
      <c r="I1" s="4" t="s">
        <v>60</v>
      </c>
      <c r="J1" s="4" t="s">
        <v>60</v>
      </c>
    </row>
    <row r="2" spans="1:10" x14ac:dyDescent="0.25">
      <c r="A2" s="5" t="s">
        <v>71</v>
      </c>
      <c r="B2" s="6">
        <v>8136</v>
      </c>
      <c r="C2" s="7"/>
      <c r="D2" s="7"/>
      <c r="E2" s="7" t="s">
        <v>104</v>
      </c>
      <c r="F2" s="7"/>
      <c r="G2" s="7" t="s">
        <v>191</v>
      </c>
      <c r="H2" s="7"/>
      <c r="I2" s="7"/>
    </row>
    <row r="3" spans="1:10" x14ac:dyDescent="0.25">
      <c r="A3" s="5" t="s">
        <v>72</v>
      </c>
      <c r="B3" s="7">
        <f>12200-7000-2200</f>
        <v>3000</v>
      </c>
      <c r="C3" s="7">
        <v>2600</v>
      </c>
      <c r="D3" s="7">
        <f>B3-C3</f>
        <v>400</v>
      </c>
      <c r="E3" s="7" t="s">
        <v>104</v>
      </c>
      <c r="F3" s="7"/>
      <c r="G3" s="7" t="s">
        <v>104</v>
      </c>
      <c r="H3" s="7" t="s">
        <v>104</v>
      </c>
      <c r="I3" s="7" t="s">
        <v>104</v>
      </c>
      <c r="J3" s="13" t="s">
        <v>335</v>
      </c>
    </row>
    <row r="4" spans="1:10" x14ac:dyDescent="0.25">
      <c r="A4" s="5" t="s">
        <v>73</v>
      </c>
      <c r="B4" s="6">
        <v>17721</v>
      </c>
      <c r="C4" s="6">
        <v>17721</v>
      </c>
      <c r="D4" s="7">
        <v>0</v>
      </c>
      <c r="E4" s="7" t="s">
        <v>104</v>
      </c>
      <c r="F4" s="7" t="s">
        <v>128</v>
      </c>
      <c r="G4" s="7"/>
      <c r="H4" s="7" t="s">
        <v>102</v>
      </c>
      <c r="I4" s="7"/>
    </row>
    <row r="5" spans="1:10" x14ac:dyDescent="0.25">
      <c r="A5" s="5" t="s">
        <v>74</v>
      </c>
      <c r="B5" s="6">
        <v>70</v>
      </c>
      <c r="C5" s="7">
        <v>70</v>
      </c>
      <c r="D5" s="18">
        <f>B5-C5</f>
        <v>0</v>
      </c>
      <c r="E5" s="7"/>
      <c r="F5" s="7"/>
      <c r="G5" s="7"/>
      <c r="H5" s="7"/>
      <c r="I5" s="7"/>
      <c r="J5" s="13" t="s">
        <v>200</v>
      </c>
    </row>
    <row r="6" spans="1:10" x14ac:dyDescent="0.25">
      <c r="A6" s="33" t="s">
        <v>75</v>
      </c>
      <c r="B6" s="8">
        <v>4947</v>
      </c>
      <c r="C6" s="7"/>
      <c r="D6" s="7"/>
      <c r="E6" s="7"/>
      <c r="F6" s="7"/>
      <c r="G6" s="7"/>
      <c r="H6" s="7"/>
      <c r="I6" s="7"/>
    </row>
    <row r="7" spans="1:10" x14ac:dyDescent="0.25">
      <c r="A7" s="5" t="s">
        <v>76</v>
      </c>
      <c r="B7" s="6">
        <v>10479</v>
      </c>
      <c r="C7" s="6">
        <v>10479</v>
      </c>
      <c r="D7" s="7">
        <v>0</v>
      </c>
      <c r="E7" s="7" t="s">
        <v>105</v>
      </c>
      <c r="F7" s="7"/>
      <c r="G7" s="7"/>
      <c r="H7" s="7"/>
      <c r="I7" s="7"/>
    </row>
    <row r="8" spans="1:10" x14ac:dyDescent="0.25">
      <c r="A8" s="33" t="s">
        <v>77</v>
      </c>
      <c r="B8" s="8">
        <v>2733</v>
      </c>
      <c r="C8" s="7"/>
      <c r="D8" s="7"/>
      <c r="E8" s="7" t="s">
        <v>106</v>
      </c>
      <c r="F8" s="7"/>
      <c r="G8" s="7"/>
      <c r="H8" s="7"/>
      <c r="I8" s="7"/>
    </row>
    <row r="9" spans="1:10" x14ac:dyDescent="0.25">
      <c r="A9" s="5" t="s">
        <v>78</v>
      </c>
      <c r="B9" s="7">
        <f>13396-7000</f>
        <v>6396</v>
      </c>
      <c r="C9" s="7">
        <f>13396-7000</f>
        <v>6396</v>
      </c>
      <c r="D9" s="7">
        <v>0</v>
      </c>
      <c r="E9" s="7" t="s">
        <v>105</v>
      </c>
      <c r="F9" s="7" t="s">
        <v>145</v>
      </c>
      <c r="G9" s="7"/>
      <c r="H9" s="7" t="s">
        <v>117</v>
      </c>
      <c r="I9" s="7"/>
    </row>
    <row r="10" spans="1:10" x14ac:dyDescent="0.25">
      <c r="A10" s="33" t="s">
        <v>79</v>
      </c>
      <c r="B10" s="6">
        <v>3500</v>
      </c>
      <c r="C10" s="7"/>
      <c r="D10" s="7"/>
      <c r="E10" s="7"/>
      <c r="F10" s="7"/>
      <c r="G10" s="7"/>
      <c r="H10" s="7" t="s">
        <v>273</v>
      </c>
      <c r="I10" s="7"/>
    </row>
    <row r="11" spans="1:10" x14ac:dyDescent="0.25">
      <c r="A11" s="5" t="s">
        <v>80</v>
      </c>
      <c r="B11" s="6">
        <v>42121</v>
      </c>
      <c r="C11" s="7"/>
      <c r="D11" s="7"/>
      <c r="E11" s="7" t="s">
        <v>107</v>
      </c>
      <c r="F11" s="7"/>
      <c r="G11" s="7" t="s">
        <v>107</v>
      </c>
      <c r="H11" s="7" t="s">
        <v>272</v>
      </c>
      <c r="I11" s="7" t="s">
        <v>292</v>
      </c>
      <c r="J11" s="13" t="s">
        <v>170</v>
      </c>
    </row>
    <row r="12" spans="1:10" x14ac:dyDescent="0.25">
      <c r="A12" s="5" t="s">
        <v>81</v>
      </c>
      <c r="B12" s="7">
        <f>10732-3500-5000</f>
        <v>2232</v>
      </c>
      <c r="C12" s="7"/>
      <c r="D12" s="7"/>
      <c r="E12" s="7" t="s">
        <v>108</v>
      </c>
      <c r="F12" s="7"/>
      <c r="G12" s="7" t="s">
        <v>107</v>
      </c>
      <c r="H12" s="7" t="s">
        <v>107</v>
      </c>
      <c r="I12" s="7" t="s">
        <v>107</v>
      </c>
      <c r="J12" s="13" t="str">
        <f>I12</f>
        <v>ringing not resonding</v>
      </c>
    </row>
    <row r="13" spans="1:10" x14ac:dyDescent="0.25">
      <c r="A13" s="5" t="s">
        <v>82</v>
      </c>
      <c r="B13" s="7">
        <f>12200-6000</f>
        <v>6200</v>
      </c>
      <c r="C13" s="7">
        <f>12200-6000</f>
        <v>6200</v>
      </c>
      <c r="D13" s="7">
        <v>0</v>
      </c>
      <c r="E13" s="7" t="s">
        <v>107</v>
      </c>
      <c r="F13" s="7"/>
      <c r="G13" s="7" t="s">
        <v>170</v>
      </c>
      <c r="H13" s="7" t="s">
        <v>271</v>
      </c>
      <c r="I13" s="7" t="s">
        <v>107</v>
      </c>
      <c r="J13" s="13" t="s">
        <v>324</v>
      </c>
    </row>
    <row r="14" spans="1:10" x14ac:dyDescent="0.25">
      <c r="A14" s="5" t="s">
        <v>83</v>
      </c>
      <c r="B14" s="6">
        <v>6182</v>
      </c>
      <c r="C14" s="7"/>
      <c r="D14" s="7"/>
      <c r="E14" s="7" t="s">
        <v>107</v>
      </c>
      <c r="F14" s="7"/>
      <c r="G14" s="7"/>
      <c r="H14" s="7" t="s">
        <v>107</v>
      </c>
      <c r="I14" s="7" t="s">
        <v>293</v>
      </c>
      <c r="J14" s="13" t="str">
        <f>J12</f>
        <v>ringing not resonding</v>
      </c>
    </row>
    <row r="15" spans="1:10" x14ac:dyDescent="0.25">
      <c r="A15" s="35" t="s">
        <v>84</v>
      </c>
      <c r="B15" s="6">
        <v>211</v>
      </c>
      <c r="C15" s="7"/>
      <c r="D15" s="7"/>
      <c r="E15" s="7" t="s">
        <v>109</v>
      </c>
      <c r="F15" s="7"/>
      <c r="G15" s="7"/>
      <c r="H15" s="7"/>
      <c r="I15" s="7"/>
    </row>
    <row r="16" spans="1:10" x14ac:dyDescent="0.25">
      <c r="A16" s="35" t="s">
        <v>85</v>
      </c>
      <c r="B16" s="7">
        <v>27466</v>
      </c>
      <c r="C16" s="7"/>
      <c r="D16" s="7"/>
      <c r="E16" s="7" t="s">
        <v>110</v>
      </c>
      <c r="F16" s="7"/>
      <c r="G16" s="7" t="s">
        <v>195</v>
      </c>
      <c r="H16" s="7"/>
      <c r="I16" s="7" t="s">
        <v>294</v>
      </c>
    </row>
    <row r="17" spans="1:10" x14ac:dyDescent="0.25">
      <c r="A17" s="5" t="s">
        <v>86</v>
      </c>
      <c r="B17" s="7">
        <v>7705</v>
      </c>
      <c r="C17" s="7">
        <v>7705</v>
      </c>
      <c r="D17" s="7">
        <v>0</v>
      </c>
      <c r="E17" s="7" t="s">
        <v>111</v>
      </c>
      <c r="F17" s="7"/>
      <c r="G17" s="7"/>
      <c r="H17" s="7" t="s">
        <v>102</v>
      </c>
      <c r="I17" s="7"/>
    </row>
    <row r="18" spans="1:10" x14ac:dyDescent="0.25">
      <c r="A18" s="5" t="s">
        <v>87</v>
      </c>
      <c r="B18" s="6">
        <v>2476</v>
      </c>
      <c r="C18" s="7"/>
      <c r="D18" s="7"/>
      <c r="E18" s="7" t="s">
        <v>107</v>
      </c>
      <c r="F18" s="7"/>
      <c r="G18" s="7" t="s">
        <v>198</v>
      </c>
      <c r="H18" s="7" t="s">
        <v>107</v>
      </c>
      <c r="I18" s="7" t="s">
        <v>295</v>
      </c>
      <c r="J18" s="13" t="str">
        <f>J14</f>
        <v>ringing not resonding</v>
      </c>
    </row>
    <row r="19" spans="1:10" x14ac:dyDescent="0.25">
      <c r="A19" s="5" t="s">
        <v>88</v>
      </c>
      <c r="B19" s="6">
        <v>3580</v>
      </c>
      <c r="C19" s="7"/>
      <c r="D19" s="7"/>
      <c r="E19" s="7" t="s">
        <v>112</v>
      </c>
      <c r="F19" s="7"/>
      <c r="G19" s="7"/>
      <c r="H19" s="7" t="s">
        <v>270</v>
      </c>
      <c r="I19" s="7"/>
      <c r="J19" s="13" t="s">
        <v>336</v>
      </c>
    </row>
    <row r="20" spans="1:10" x14ac:dyDescent="0.25">
      <c r="A20" s="5" t="s">
        <v>89</v>
      </c>
      <c r="B20" s="6">
        <v>886</v>
      </c>
      <c r="C20" s="6">
        <v>886</v>
      </c>
      <c r="D20" s="7">
        <v>0</v>
      </c>
      <c r="E20" s="7" t="s">
        <v>112</v>
      </c>
      <c r="F20" s="7"/>
      <c r="G20" s="7"/>
      <c r="H20" s="7" t="s">
        <v>112</v>
      </c>
      <c r="I20" s="7"/>
      <c r="J20" s="13" t="s">
        <v>324</v>
      </c>
    </row>
    <row r="21" spans="1:10" x14ac:dyDescent="0.25">
      <c r="A21" s="5" t="s">
        <v>90</v>
      </c>
      <c r="B21" s="6">
        <v>104942</v>
      </c>
      <c r="C21" s="7"/>
      <c r="D21" s="7"/>
      <c r="E21" s="7" t="s">
        <v>107</v>
      </c>
      <c r="F21" s="7"/>
      <c r="G21" s="7" t="s">
        <v>107</v>
      </c>
      <c r="H21" s="7" t="s">
        <v>107</v>
      </c>
      <c r="I21" s="7" t="s">
        <v>107</v>
      </c>
      <c r="J21" s="13" t="str">
        <f>I21</f>
        <v>ringing not resonding</v>
      </c>
    </row>
    <row r="22" spans="1:10" x14ac:dyDescent="0.25">
      <c r="A22" s="5" t="s">
        <v>91</v>
      </c>
      <c r="B22" s="6">
        <v>11511</v>
      </c>
      <c r="C22" s="40">
        <f>B22</f>
        <v>11511</v>
      </c>
      <c r="D22" s="7">
        <v>0</v>
      </c>
      <c r="E22" s="7" t="s">
        <v>107</v>
      </c>
      <c r="F22" s="7"/>
      <c r="G22" s="7"/>
      <c r="H22" s="7" t="s">
        <v>107</v>
      </c>
      <c r="I22" s="7" t="s">
        <v>107</v>
      </c>
      <c r="J22" s="13" t="str">
        <f>I22</f>
        <v>ringing not resonding</v>
      </c>
    </row>
    <row r="23" spans="1:10" x14ac:dyDescent="0.25">
      <c r="A23" s="7" t="s">
        <v>158</v>
      </c>
      <c r="B23" s="7">
        <v>1906</v>
      </c>
      <c r="C23" s="7">
        <v>1906</v>
      </c>
      <c r="D23" s="7"/>
      <c r="E23" s="7"/>
      <c r="F23" s="7"/>
      <c r="G23" s="7" t="s">
        <v>221</v>
      </c>
      <c r="H23" s="7" t="s">
        <v>102</v>
      </c>
      <c r="I23" s="7"/>
    </row>
    <row r="24" spans="1:10" x14ac:dyDescent="0.25">
      <c r="A24" s="7" t="s">
        <v>192</v>
      </c>
      <c r="B24" s="7">
        <v>8720</v>
      </c>
      <c r="C24" s="7">
        <f>B24</f>
        <v>8720</v>
      </c>
      <c r="D24" s="7">
        <v>0</v>
      </c>
      <c r="E24" s="7"/>
      <c r="F24" s="7"/>
      <c r="G24" s="7" t="s">
        <v>193</v>
      </c>
      <c r="H24" s="7" t="s">
        <v>269</v>
      </c>
      <c r="J24" s="7" t="s">
        <v>337</v>
      </c>
    </row>
    <row r="25" spans="1:10" x14ac:dyDescent="0.25">
      <c r="A25" s="7" t="s">
        <v>194</v>
      </c>
      <c r="B25" s="7">
        <v>10164</v>
      </c>
      <c r="C25" s="7"/>
      <c r="D25" s="7"/>
      <c r="E25" s="7"/>
      <c r="F25" s="7"/>
      <c r="G25" s="7" t="s">
        <v>6</v>
      </c>
      <c r="H25" s="7" t="s">
        <v>6</v>
      </c>
      <c r="I25" s="7" t="s">
        <v>6</v>
      </c>
      <c r="J25" s="13" t="str">
        <f>I25</f>
        <v xml:space="preserve">RINGING NOT RESPONDING </v>
      </c>
    </row>
    <row r="26" spans="1:10" x14ac:dyDescent="0.25">
      <c r="A26" s="7" t="s">
        <v>196</v>
      </c>
      <c r="B26" s="7">
        <v>62468</v>
      </c>
      <c r="C26" s="7">
        <v>59388</v>
      </c>
      <c r="D26" s="7">
        <f>62468-59388</f>
        <v>3080</v>
      </c>
      <c r="E26" s="7"/>
      <c r="F26" s="7"/>
      <c r="G26" s="7" t="s">
        <v>197</v>
      </c>
      <c r="H26" s="7"/>
      <c r="I26" s="7" t="s">
        <v>308</v>
      </c>
    </row>
    <row r="27" spans="1:10" x14ac:dyDescent="0.25">
      <c r="A27" s="7" t="s">
        <v>199</v>
      </c>
      <c r="B27" s="7">
        <v>2918</v>
      </c>
      <c r="C27" s="7">
        <v>2918</v>
      </c>
      <c r="D27" s="7"/>
      <c r="E27" s="7"/>
      <c r="F27" s="7"/>
      <c r="G27" s="7" t="s">
        <v>200</v>
      </c>
      <c r="H27" s="7"/>
      <c r="I27" s="7"/>
    </row>
    <row r="28" spans="1:10" x14ac:dyDescent="0.25">
      <c r="A28" s="7" t="s">
        <v>201</v>
      </c>
      <c r="B28" s="7">
        <v>33254</v>
      </c>
      <c r="C28" s="7"/>
      <c r="D28" s="7"/>
      <c r="E28" s="7"/>
      <c r="F28" s="7"/>
      <c r="G28" s="7" t="s">
        <v>202</v>
      </c>
      <c r="H28" s="7"/>
      <c r="I28" s="7"/>
      <c r="J28" s="13" t="str">
        <f>J25</f>
        <v xml:space="preserve">RINGING NOT RESPONDING </v>
      </c>
    </row>
    <row r="29" spans="1:10" x14ac:dyDescent="0.25">
      <c r="A29" s="7" t="s">
        <v>203</v>
      </c>
      <c r="B29" s="7">
        <v>88870</v>
      </c>
      <c r="C29" s="7">
        <v>88870</v>
      </c>
      <c r="D29" s="7">
        <v>0</v>
      </c>
      <c r="E29" s="7"/>
      <c r="F29" s="7"/>
      <c r="G29" s="7" t="s">
        <v>204</v>
      </c>
      <c r="H29" s="7" t="s">
        <v>268</v>
      </c>
      <c r="I29" s="7" t="s">
        <v>257</v>
      </c>
    </row>
    <row r="30" spans="1:10" x14ac:dyDescent="0.25">
      <c r="A30" s="7" t="s">
        <v>205</v>
      </c>
      <c r="B30" s="7">
        <v>5520</v>
      </c>
      <c r="C30" s="7"/>
      <c r="D30" s="7"/>
      <c r="E30" s="7"/>
      <c r="F30" s="7"/>
      <c r="G30" s="7" t="s">
        <v>206</v>
      </c>
      <c r="H30" s="7" t="s">
        <v>267</v>
      </c>
      <c r="I30" s="7"/>
      <c r="J30" s="13" t="s">
        <v>338</v>
      </c>
    </row>
    <row r="31" spans="1:10" x14ac:dyDescent="0.25">
      <c r="A31" s="7" t="s">
        <v>207</v>
      </c>
      <c r="B31" s="7">
        <v>4912</v>
      </c>
      <c r="C31" s="7">
        <v>4912</v>
      </c>
      <c r="D31" s="7">
        <v>0</v>
      </c>
      <c r="E31" s="7"/>
      <c r="F31" s="7"/>
      <c r="G31" s="7" t="s">
        <v>200</v>
      </c>
      <c r="H31" s="7" t="s">
        <v>102</v>
      </c>
      <c r="I31" s="7"/>
    </row>
    <row r="32" spans="1:10" x14ac:dyDescent="0.25">
      <c r="A32" s="7" t="s">
        <v>208</v>
      </c>
      <c r="B32" s="7">
        <v>37104</v>
      </c>
      <c r="C32" s="7"/>
      <c r="D32" s="7"/>
      <c r="E32" s="7"/>
      <c r="F32" s="7"/>
      <c r="G32" s="7" t="s">
        <v>97</v>
      </c>
      <c r="H32" s="7" t="s">
        <v>170</v>
      </c>
      <c r="I32" s="7" t="s">
        <v>170</v>
      </c>
      <c r="J32" s="13" t="str">
        <f>J28</f>
        <v xml:space="preserve">RINGING NOT RESPONDING </v>
      </c>
    </row>
    <row r="33" spans="1:10" s="7" customFormat="1" x14ac:dyDescent="0.25">
      <c r="A33" s="7" t="s">
        <v>209</v>
      </c>
      <c r="B33" s="7">
        <v>23496</v>
      </c>
      <c r="C33" s="7">
        <f>15873+7623</f>
        <v>23496</v>
      </c>
      <c r="D33" s="7">
        <f>B33-C33</f>
        <v>0</v>
      </c>
      <c r="G33" s="7" t="s">
        <v>210</v>
      </c>
      <c r="H33" s="7" t="s">
        <v>6</v>
      </c>
      <c r="I33" s="7" t="s">
        <v>296</v>
      </c>
      <c r="J33" s="14" t="str">
        <f>J32</f>
        <v xml:space="preserve">RINGING NOT RESPONDING </v>
      </c>
    </row>
    <row r="34" spans="1:10" s="7" customFormat="1" x14ac:dyDescent="0.25">
      <c r="A34" s="7" t="s">
        <v>211</v>
      </c>
      <c r="B34" s="7">
        <v>2568</v>
      </c>
      <c r="C34" s="22">
        <v>2568</v>
      </c>
      <c r="D34" s="7">
        <v>0</v>
      </c>
      <c r="G34" s="7" t="s">
        <v>118</v>
      </c>
      <c r="H34" s="7" t="s">
        <v>274</v>
      </c>
      <c r="I34" s="7" t="s">
        <v>200</v>
      </c>
      <c r="J34" s="14"/>
    </row>
    <row r="35" spans="1:10" x14ac:dyDescent="0.25">
      <c r="A35" s="7" t="s">
        <v>212</v>
      </c>
      <c r="B35" s="7">
        <v>8190</v>
      </c>
      <c r="C35" s="7"/>
      <c r="D35" s="7"/>
      <c r="E35" s="7"/>
      <c r="F35" s="7"/>
      <c r="G35" s="7" t="s">
        <v>213</v>
      </c>
      <c r="H35" s="7" t="s">
        <v>213</v>
      </c>
      <c r="I35" s="7" t="s">
        <v>170</v>
      </c>
      <c r="J35" s="7" t="s">
        <v>213</v>
      </c>
    </row>
    <row r="36" spans="1:10" x14ac:dyDescent="0.25">
      <c r="A36" s="7" t="s">
        <v>214</v>
      </c>
      <c r="B36" s="7">
        <v>6100</v>
      </c>
      <c r="C36" s="7"/>
      <c r="D36" s="7"/>
      <c r="E36" s="7"/>
      <c r="F36" s="7"/>
      <c r="G36" s="7" t="s">
        <v>215</v>
      </c>
      <c r="H36" s="7" t="s">
        <v>266</v>
      </c>
      <c r="I36" s="7" t="s">
        <v>6</v>
      </c>
      <c r="J36" s="13" t="str">
        <f>J33</f>
        <v xml:space="preserve">RINGING NOT RESPONDING </v>
      </c>
    </row>
    <row r="37" spans="1:10" x14ac:dyDescent="0.25">
      <c r="A37" s="7" t="s">
        <v>216</v>
      </c>
      <c r="B37" s="7">
        <v>2287</v>
      </c>
      <c r="C37" s="7">
        <f>B37</f>
        <v>2287</v>
      </c>
      <c r="D37" s="7">
        <v>0</v>
      </c>
      <c r="E37" s="7"/>
      <c r="F37" s="7"/>
      <c r="G37" s="7" t="s">
        <v>97</v>
      </c>
      <c r="H37" s="7" t="s">
        <v>118</v>
      </c>
      <c r="I37" s="7" t="s">
        <v>297</v>
      </c>
      <c r="J37" s="13" t="str">
        <f>G37</f>
        <v xml:space="preserve">NUMBER BUSY </v>
      </c>
    </row>
    <row r="38" spans="1:10" x14ac:dyDescent="0.25">
      <c r="A38" s="37" t="s">
        <v>217</v>
      </c>
      <c r="B38" s="7">
        <v>2795</v>
      </c>
      <c r="C38" s="7"/>
      <c r="D38" s="7"/>
      <c r="E38" s="7"/>
      <c r="F38" s="7"/>
      <c r="G38" s="7" t="s">
        <v>218</v>
      </c>
      <c r="H38" s="7" t="s">
        <v>218</v>
      </c>
      <c r="I38" s="7"/>
    </row>
    <row r="39" spans="1:10" x14ac:dyDescent="0.25">
      <c r="A39" s="7" t="s">
        <v>219</v>
      </c>
      <c r="B39" s="7">
        <v>96214</v>
      </c>
      <c r="C39" s="7"/>
      <c r="D39" s="7"/>
      <c r="E39" s="7"/>
      <c r="F39" s="7"/>
      <c r="G39" s="7" t="s">
        <v>118</v>
      </c>
      <c r="H39" s="7" t="s">
        <v>265</v>
      </c>
      <c r="I39" s="7" t="s">
        <v>298</v>
      </c>
      <c r="J39" s="13" t="s">
        <v>337</v>
      </c>
    </row>
    <row r="40" spans="1:10" x14ac:dyDescent="0.25">
      <c r="A40" s="7" t="s">
        <v>243</v>
      </c>
      <c r="B40" s="7">
        <f>17710+8855</f>
        <v>26565</v>
      </c>
      <c r="C40" s="7"/>
      <c r="D40" s="7"/>
      <c r="E40" s="7"/>
      <c r="F40" s="7"/>
      <c r="G40" s="7"/>
      <c r="H40" s="7" t="s">
        <v>118</v>
      </c>
      <c r="I40" s="7" t="s">
        <v>6</v>
      </c>
      <c r="J40" s="13" t="str">
        <f>H40</f>
        <v>NUMBER NOT CONNETED</v>
      </c>
    </row>
    <row r="41" spans="1:10" x14ac:dyDescent="0.25">
      <c r="A41" s="7" t="s">
        <v>220</v>
      </c>
      <c r="B41" s="7">
        <v>9548</v>
      </c>
      <c r="C41" s="22">
        <v>9548</v>
      </c>
      <c r="D41" s="7">
        <v>0</v>
      </c>
      <c r="E41" s="7"/>
      <c r="F41" s="7"/>
      <c r="G41" s="7" t="s">
        <v>118</v>
      </c>
      <c r="H41" s="7" t="s">
        <v>111</v>
      </c>
      <c r="I41" s="7"/>
    </row>
    <row r="42" spans="1:10" x14ac:dyDescent="0.25">
      <c r="A42" s="7" t="s">
        <v>241</v>
      </c>
      <c r="B42" s="7">
        <v>15738</v>
      </c>
      <c r="C42" s="22">
        <v>15738</v>
      </c>
      <c r="D42" s="7">
        <v>0</v>
      </c>
      <c r="E42" s="7"/>
      <c r="F42" s="7"/>
      <c r="G42" s="7" t="s">
        <v>223</v>
      </c>
      <c r="H42" s="7" t="s">
        <v>102</v>
      </c>
      <c r="I42" s="7"/>
    </row>
    <row r="43" spans="1:10" x14ac:dyDescent="0.25">
      <c r="A43" s="7" t="s">
        <v>242</v>
      </c>
      <c r="B43" s="7">
        <v>3561</v>
      </c>
      <c r="C43" s="7">
        <v>3561</v>
      </c>
      <c r="D43" s="7">
        <v>0</v>
      </c>
      <c r="E43" s="7"/>
      <c r="F43" s="7"/>
      <c r="G43" s="7"/>
      <c r="H43" s="7" t="s">
        <v>276</v>
      </c>
      <c r="I43" s="7"/>
      <c r="J43" s="13" t="s">
        <v>324</v>
      </c>
    </row>
    <row r="44" spans="1:10" x14ac:dyDescent="0.25">
      <c r="A44" s="7" t="s">
        <v>327</v>
      </c>
      <c r="B44" s="7">
        <v>2156</v>
      </c>
      <c r="C44" s="7">
        <v>2156</v>
      </c>
      <c r="D44" s="7">
        <v>0</v>
      </c>
      <c r="E44" s="7"/>
      <c r="F44" s="7"/>
      <c r="G44" s="7"/>
      <c r="H44" s="7"/>
      <c r="I44" s="7"/>
      <c r="J44" s="13" t="s">
        <v>324</v>
      </c>
    </row>
    <row r="45" spans="1:10" x14ac:dyDescent="0.25">
      <c r="A45" s="7" t="s">
        <v>222</v>
      </c>
      <c r="B45" s="7">
        <v>37125</v>
      </c>
      <c r="C45" s="7">
        <v>37125</v>
      </c>
      <c r="D45" s="7">
        <v>0</v>
      </c>
      <c r="E45" s="7"/>
      <c r="F45" s="7"/>
      <c r="G45" s="7" t="s">
        <v>223</v>
      </c>
      <c r="H45" s="7"/>
      <c r="I45" s="7"/>
    </row>
    <row r="46" spans="1:10" x14ac:dyDescent="0.25">
      <c r="A46" s="19" t="s">
        <v>225</v>
      </c>
      <c r="B46" s="20">
        <f>SUM(B2:B45)</f>
        <v>764673</v>
      </c>
      <c r="C46" s="20">
        <f>SUM(C2:C45)</f>
        <v>326761</v>
      </c>
      <c r="D46" s="19">
        <f>762517-266929</f>
        <v>495588</v>
      </c>
      <c r="E46" s="7"/>
      <c r="F46" s="7"/>
      <c r="G46" s="7"/>
      <c r="H46" s="7"/>
      <c r="I46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P19" sqref="P19"/>
    </sheetView>
  </sheetViews>
  <sheetFormatPr defaultRowHeight="15" x14ac:dyDescent="0.25"/>
  <cols>
    <col min="1" max="1" width="23.85546875" bestFit="1" customWidth="1"/>
    <col min="2" max="2" width="9.5703125" bestFit="1" customWidth="1"/>
    <col min="3" max="3" width="26.28515625" bestFit="1" customWidth="1"/>
  </cols>
  <sheetData>
    <row r="1" spans="1:3" x14ac:dyDescent="0.25">
      <c r="A1" s="9" t="s">
        <v>121</v>
      </c>
      <c r="B1" s="9" t="s">
        <v>122</v>
      </c>
      <c r="C1" s="9" t="s">
        <v>60</v>
      </c>
    </row>
    <row r="2" spans="1:3" x14ac:dyDescent="0.25">
      <c r="A2" s="1" t="s">
        <v>123</v>
      </c>
      <c r="B2" s="1">
        <v>11596</v>
      </c>
      <c r="C2" s="1" t="s">
        <v>124</v>
      </c>
    </row>
    <row r="3" spans="1:3" x14ac:dyDescent="0.25">
      <c r="A3" s="1" t="s">
        <v>346</v>
      </c>
      <c r="B3" s="1">
        <v>10739</v>
      </c>
      <c r="C3" s="1" t="s">
        <v>347</v>
      </c>
    </row>
    <row r="4" spans="1:3" x14ac:dyDescent="0.25">
      <c r="A4" s="1" t="s">
        <v>348</v>
      </c>
      <c r="B4" s="1">
        <v>22980</v>
      </c>
      <c r="C4" s="1" t="str">
        <f>C3</f>
        <v>Discount</v>
      </c>
    </row>
    <row r="5" spans="1:3" x14ac:dyDescent="0.25">
      <c r="A5" s="1" t="s">
        <v>237</v>
      </c>
      <c r="B5" s="1">
        <v>547</v>
      </c>
      <c r="C5" s="1" t="s">
        <v>349</v>
      </c>
    </row>
    <row r="6" spans="1:3" x14ac:dyDescent="0.25">
      <c r="A6" s="1" t="s">
        <v>238</v>
      </c>
      <c r="B6" s="1">
        <f>B5</f>
        <v>547</v>
      </c>
      <c r="C6" s="1" t="str">
        <f>C5</f>
        <v>Stock Rertuned</v>
      </c>
    </row>
    <row r="7" spans="1:3" x14ac:dyDescent="0.25">
      <c r="A7" s="1" t="s">
        <v>239</v>
      </c>
      <c r="B7" s="1">
        <f>B6</f>
        <v>547</v>
      </c>
      <c r="C7" s="1" t="str">
        <f>C6</f>
        <v>Stock Rertuned</v>
      </c>
    </row>
    <row r="8" spans="1:3" x14ac:dyDescent="0.25">
      <c r="A8" s="1" t="s">
        <v>350</v>
      </c>
      <c r="B8" s="1">
        <v>26307</v>
      </c>
      <c r="C8" s="1" t="str">
        <f>C7</f>
        <v>Stock Rertuned</v>
      </c>
    </row>
    <row r="23" spans="1:1" x14ac:dyDescent="0.25">
      <c r="A2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8"/>
  <sheetViews>
    <sheetView workbookViewId="0">
      <selection activeCell="C15" sqref="C15"/>
    </sheetView>
  </sheetViews>
  <sheetFormatPr defaultRowHeight="15" x14ac:dyDescent="0.25"/>
  <cols>
    <col min="2" max="2" width="13" customWidth="1"/>
    <col min="3" max="3" width="19" customWidth="1"/>
    <col min="4" max="4" width="20.42578125" customWidth="1"/>
    <col min="5" max="5" width="21.7109375" customWidth="1"/>
    <col min="6" max="6" width="18.42578125" bestFit="1" customWidth="1"/>
  </cols>
  <sheetData>
    <row r="4" spans="3:6" x14ac:dyDescent="0.25">
      <c r="C4" s="30" t="s">
        <v>314</v>
      </c>
      <c r="D4" s="30" t="s">
        <v>309</v>
      </c>
      <c r="E4" s="30" t="s">
        <v>310</v>
      </c>
      <c r="F4" s="30" t="s">
        <v>315</v>
      </c>
    </row>
    <row r="5" spans="3:6" x14ac:dyDescent="0.25">
      <c r="C5" s="30" t="s">
        <v>311</v>
      </c>
      <c r="D5" s="29">
        <v>4149510</v>
      </c>
      <c r="E5" s="29">
        <v>1207982</v>
      </c>
      <c r="F5" s="28">
        <f>4149510-1207982</f>
        <v>2941528</v>
      </c>
    </row>
    <row r="6" spans="3:6" x14ac:dyDescent="0.25">
      <c r="C6" s="30" t="s">
        <v>312</v>
      </c>
      <c r="D6" s="29">
        <v>834924</v>
      </c>
      <c r="E6" s="28">
        <v>307682</v>
      </c>
      <c r="F6" s="28">
        <f>834924-307682</f>
        <v>527242</v>
      </c>
    </row>
    <row r="7" spans="3:6" x14ac:dyDescent="0.25">
      <c r="C7" s="30" t="s">
        <v>313</v>
      </c>
      <c r="D7" s="28">
        <v>762517</v>
      </c>
      <c r="E7" s="28">
        <v>266929</v>
      </c>
      <c r="F7" s="28">
        <v>495588</v>
      </c>
    </row>
    <row r="8" spans="3:6" x14ac:dyDescent="0.25">
      <c r="C8" s="30" t="s">
        <v>309</v>
      </c>
      <c r="D8" s="31">
        <f>SUM(D5:D7)</f>
        <v>5746951</v>
      </c>
      <c r="E8" s="31">
        <f>SUM(E5:E7)</f>
        <v>1782593</v>
      </c>
      <c r="F8" s="4">
        <f>SUM(F5:F7)</f>
        <v>3964358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NAJEEB </vt:lpstr>
      <vt:lpstr>MUJHID</vt:lpstr>
      <vt:lpstr>VINOD </vt:lpstr>
      <vt:lpstr>CREDIT NOTE LIST </vt:lpstr>
      <vt:lpstr>paid 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2026-05-02T06:13:54Z</dcterms:created>
  <dcterms:modified xsi:type="dcterms:W3CDTF">2026-05-22T10:02:34Z</dcterms:modified>
</cp:coreProperties>
</file>